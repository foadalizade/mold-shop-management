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JTK-Files\قالب سازی\1405\گزارش هفتگی\"/>
    </mc:Choice>
  </mc:AlternateContent>
  <xr:revisionPtr revIDLastSave="0" documentId="13_ncr:1_{4D567072-58E8-4BFD-AE7B-37242A1B45F9}" xr6:coauthVersionLast="47" xr6:coauthVersionMax="47" xr10:uidLastSave="{00000000-0000-0000-0000-000000000000}"/>
  <bookViews>
    <workbookView xWindow="-120" yWindow="-120" windowWidth="24240" windowHeight="13020" firstSheet="9" activeTab="23" xr2:uid="{0F337104-B9E7-467E-93C1-CBBF3731AB70}"/>
  </bookViews>
  <sheets>
    <sheet name="2" sheetId="52" r:id="rId1"/>
    <sheet name="3" sheetId="53" r:id="rId2"/>
    <sheet name="4" sheetId="54" r:id="rId3"/>
    <sheet name="5" sheetId="57" r:id="rId4"/>
    <sheet name="6" sheetId="56" r:id="rId5"/>
    <sheet name="7" sheetId="58" r:id="rId6"/>
    <sheet name="8" sheetId="59" r:id="rId7"/>
    <sheet name="9" sheetId="60" r:id="rId8"/>
    <sheet name="10" sheetId="62" r:id="rId9"/>
    <sheet name="11" sheetId="63" r:id="rId10"/>
    <sheet name="12" sheetId="64" r:id="rId11"/>
    <sheet name="13" sheetId="65" r:id="rId12"/>
    <sheet name="14" sheetId="66" r:id="rId13"/>
    <sheet name="15" sheetId="67" r:id="rId14"/>
    <sheet name="16" sheetId="68" r:id="rId15"/>
    <sheet name="17" sheetId="69" r:id="rId16"/>
    <sheet name="18" sheetId="70" r:id="rId17"/>
    <sheet name="19" sheetId="71" r:id="rId18"/>
    <sheet name="20" sheetId="72" r:id="rId19"/>
    <sheet name="21" sheetId="73" r:id="rId20"/>
    <sheet name="22" sheetId="74" r:id="rId21"/>
    <sheet name="23" sheetId="75" r:id="rId22"/>
    <sheet name="24" sheetId="76" r:id="rId23"/>
    <sheet name="25" sheetId="77" r:id="rId24"/>
  </sheets>
  <externalReferences>
    <externalReference r:id="rId25"/>
  </externalReferences>
  <definedNames>
    <definedName name="_xlnm.Print_Titles" localSheetId="8">'10'!$1:$3</definedName>
    <definedName name="_xlnm.Print_Titles" localSheetId="9">'11'!$1:$3</definedName>
    <definedName name="_xlnm.Print_Titles" localSheetId="10">'12'!$1:$3</definedName>
    <definedName name="_xlnm.Print_Titles" localSheetId="11">'13'!$1:$3</definedName>
    <definedName name="_xlnm.Print_Titles" localSheetId="12">'14'!$1:$3</definedName>
    <definedName name="_xlnm.Print_Titles" localSheetId="13">'15'!$1:$3</definedName>
    <definedName name="_xlnm.Print_Titles" localSheetId="14">'16'!$1:$3</definedName>
    <definedName name="_xlnm.Print_Titles" localSheetId="15">'17'!$1:$3</definedName>
    <definedName name="_xlnm.Print_Titles" localSheetId="16">'18'!$1:$3</definedName>
    <definedName name="_xlnm.Print_Titles" localSheetId="17">'19'!$1:$3</definedName>
    <definedName name="_xlnm.Print_Titles" localSheetId="0">'2'!$1:$3</definedName>
    <definedName name="_xlnm.Print_Titles" localSheetId="18">'20'!$1:$3</definedName>
    <definedName name="_xlnm.Print_Titles" localSheetId="19">'21'!$1:$3</definedName>
    <definedName name="_xlnm.Print_Titles" localSheetId="20">'22'!$1:$3</definedName>
    <definedName name="_xlnm.Print_Titles" localSheetId="21">'23'!$1:$3</definedName>
    <definedName name="_xlnm.Print_Titles" localSheetId="22">'24'!$1:$3</definedName>
    <definedName name="_xlnm.Print_Titles" localSheetId="23">'25'!$1:$3</definedName>
    <definedName name="_xlnm.Print_Titles" localSheetId="1">'3'!$1:$3</definedName>
    <definedName name="_xlnm.Print_Titles" localSheetId="2">'4'!$1:$3</definedName>
    <definedName name="_xlnm.Print_Titles" localSheetId="3">'5'!$1:$3</definedName>
    <definedName name="_xlnm.Print_Titles" localSheetId="4">'6'!$1:$3</definedName>
    <definedName name="_xlnm.Print_Titles" localSheetId="5">'7'!$1:$3</definedName>
    <definedName name="_xlnm.Print_Titles" localSheetId="6">'8'!$1:$3</definedName>
    <definedName name="_xlnm.Print_Titles" localSheetId="7">'9'!$1:$3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0" i="77" l="1"/>
  <c r="X20" i="77"/>
  <c r="Y20" i="77"/>
  <c r="Z20" i="77"/>
  <c r="AA20" i="77"/>
  <c r="AB20" i="77"/>
  <c r="V20" i="77"/>
  <c r="W47" i="77"/>
  <c r="X47" i="77"/>
  <c r="Y47" i="77"/>
  <c r="Z47" i="77"/>
  <c r="AA47" i="77"/>
  <c r="AB47" i="77"/>
  <c r="V47" i="77"/>
  <c r="W51" i="77" a="1"/>
  <c r="W51" i="77" s="1"/>
  <c r="X51" i="77" a="1"/>
  <c r="X51" i="77" s="1"/>
  <c r="Y51" i="77" a="1"/>
  <c r="Y51" i="77" s="1"/>
  <c r="Z51" i="77" a="1"/>
  <c r="Z51" i="77" s="1"/>
  <c r="AA51" i="77" a="1"/>
  <c r="AA51" i="77" s="1"/>
  <c r="AB51" i="77" a="1"/>
  <c r="AB51" i="77" s="1"/>
  <c r="V51" i="77" a="1"/>
  <c r="V51" i="77" s="1"/>
  <c r="P50" i="77"/>
  <c r="Q50" i="77"/>
  <c r="S50" i="77"/>
  <c r="T50" i="77"/>
  <c r="U50" i="77"/>
  <c r="H50" i="77" s="1"/>
  <c r="O50" i="77"/>
  <c r="P45" i="77"/>
  <c r="S45" i="77"/>
  <c r="T45" i="77"/>
  <c r="U45" i="77"/>
  <c r="H45" i="77" s="1"/>
  <c r="O54" i="77"/>
  <c r="P53" i="77"/>
  <c r="Q53" i="77"/>
  <c r="R53" i="77"/>
  <c r="T53" i="77"/>
  <c r="U53" i="77"/>
  <c r="P52" i="77"/>
  <c r="Q52" i="77"/>
  <c r="S52" i="77"/>
  <c r="T52" i="77"/>
  <c r="U52" i="77"/>
  <c r="H52" i="77" s="1"/>
  <c r="O52" i="77"/>
  <c r="P51" i="77"/>
  <c r="Q51" i="77"/>
  <c r="T51" i="77"/>
  <c r="U51" i="77"/>
  <c r="H51" i="77" s="1"/>
  <c r="O51" i="77"/>
  <c r="P27" i="77"/>
  <c r="Q27" i="77"/>
  <c r="R27" i="77"/>
  <c r="T27" i="77"/>
  <c r="U27" i="77"/>
  <c r="H27" i="77" s="1"/>
  <c r="O27" i="77"/>
  <c r="R22" i="77"/>
  <c r="T22" i="77"/>
  <c r="U22" i="77"/>
  <c r="H22" i="77" s="1"/>
  <c r="O22" i="77"/>
  <c r="L55" i="77"/>
  <c r="K55" i="77"/>
  <c r="J55" i="77"/>
  <c r="AB54" i="77" a="1"/>
  <c r="AB54" i="77" s="1"/>
  <c r="AA54" i="77"/>
  <c r="AA54" i="77" a="1"/>
  <c r="Z54" i="77" a="1"/>
  <c r="Z54" i="77" s="1"/>
  <c r="Y54" i="77"/>
  <c r="Y54" i="77" a="1"/>
  <c r="X54" i="77" a="1"/>
  <c r="X54" i="77" s="1"/>
  <c r="W54" i="77" a="1"/>
  <c r="W54" i="77" s="1"/>
  <c r="V54" i="77" a="1"/>
  <c r="V54" i="77" s="1"/>
  <c r="U54" i="77"/>
  <c r="H54" i="77" s="1"/>
  <c r="T54" i="77"/>
  <c r="S54" i="77"/>
  <c r="R54" i="77"/>
  <c r="Q54" i="77"/>
  <c r="P54" i="77"/>
  <c r="AB53" i="77" a="1"/>
  <c r="AB53" i="77" s="1"/>
  <c r="AA53" i="77" a="1"/>
  <c r="AA53" i="77" s="1"/>
  <c r="Z53" i="77" a="1"/>
  <c r="Z53" i="77" s="1"/>
  <c r="Y53" i="77" a="1"/>
  <c r="Y53" i="77" s="1"/>
  <c r="X53" i="77" a="1"/>
  <c r="X53" i="77" s="1"/>
  <c r="W53" i="77" a="1"/>
  <c r="W53" i="77" s="1"/>
  <c r="V53" i="77" a="1"/>
  <c r="V53" i="77" s="1"/>
  <c r="H53" i="77"/>
  <c r="AB52" i="77"/>
  <c r="AB52" i="77" a="1"/>
  <c r="AA52" i="77" a="1"/>
  <c r="AA52" i="77" s="1"/>
  <c r="Z52" i="77" a="1"/>
  <c r="Z52" i="77" s="1"/>
  <c r="Y52" i="77" a="1"/>
  <c r="Y52" i="77" s="1"/>
  <c r="X52" i="77" a="1"/>
  <c r="X52" i="77" s="1"/>
  <c r="W52" i="77" a="1"/>
  <c r="W52" i="77" s="1"/>
  <c r="V52" i="77"/>
  <c r="V52" i="77" a="1"/>
  <c r="AB50" i="77" a="1"/>
  <c r="AB50" i="77" s="1"/>
  <c r="AA50" i="77" a="1"/>
  <c r="AA50" i="77" s="1"/>
  <c r="Z50" i="77" a="1"/>
  <c r="Z50" i="77" s="1"/>
  <c r="Y50" i="77"/>
  <c r="Y50" i="77" a="1"/>
  <c r="X50" i="77" a="1"/>
  <c r="X50" i="77" s="1"/>
  <c r="W50" i="77"/>
  <c r="W50" i="77" a="1"/>
  <c r="V50" i="77" a="1"/>
  <c r="V50" i="77" s="1"/>
  <c r="AB49" i="77" a="1"/>
  <c r="AB49" i="77" s="1"/>
  <c r="AA49" i="77" a="1"/>
  <c r="AA49" i="77" s="1"/>
  <c r="Z49" i="77" a="1"/>
  <c r="Z49" i="77" s="1"/>
  <c r="Y49" i="77" a="1"/>
  <c r="Y49" i="77" s="1"/>
  <c r="X49" i="77" a="1"/>
  <c r="X49" i="77" s="1"/>
  <c r="W49" i="77" a="1"/>
  <c r="W49" i="77" s="1"/>
  <c r="V49" i="77" a="1"/>
  <c r="V49" i="77" s="1"/>
  <c r="U49" i="77"/>
  <c r="H49" i="77" s="1"/>
  <c r="T49" i="77"/>
  <c r="AB48" i="77" a="1"/>
  <c r="AB48" i="77" s="1"/>
  <c r="AA48" i="77" a="1"/>
  <c r="AA48" i="77" s="1"/>
  <c r="Z48" i="77"/>
  <c r="Z48" i="77" a="1"/>
  <c r="Y48" i="77" a="1"/>
  <c r="Y48" i="77" s="1"/>
  <c r="X48" i="77"/>
  <c r="X48" i="77" a="1"/>
  <c r="W48" i="77" a="1"/>
  <c r="W48" i="77" s="1"/>
  <c r="V48" i="77" a="1"/>
  <c r="V48" i="77" s="1"/>
  <c r="U48" i="77"/>
  <c r="H48" i="77" s="1"/>
  <c r="T48" i="77"/>
  <c r="S48" i="77"/>
  <c r="P48" i="77"/>
  <c r="O48" i="77"/>
  <c r="U47" i="77"/>
  <c r="H47" i="77" s="1"/>
  <c r="T47" i="77"/>
  <c r="AB46" i="77"/>
  <c r="AA46" i="77"/>
  <c r="Z46" i="77"/>
  <c r="Y46" i="77"/>
  <c r="X46" i="77"/>
  <c r="W46" i="77"/>
  <c r="V46" i="77"/>
  <c r="U46" i="77"/>
  <c r="H46" i="77" s="1"/>
  <c r="T46" i="77"/>
  <c r="S46" i="77"/>
  <c r="R46" i="77"/>
  <c r="Q46" i="77"/>
  <c r="P46" i="77"/>
  <c r="O46" i="77"/>
  <c r="AB45" i="77"/>
  <c r="AA45" i="77"/>
  <c r="Z45" i="77"/>
  <c r="Y45" i="77"/>
  <c r="X45" i="77"/>
  <c r="W45" i="77"/>
  <c r="V45" i="77"/>
  <c r="AB44" i="77"/>
  <c r="AA44" i="77"/>
  <c r="Z44" i="77"/>
  <c r="I44" i="77" s="1"/>
  <c r="Y44" i="77"/>
  <c r="X44" i="77"/>
  <c r="W44" i="77"/>
  <c r="V44" i="77"/>
  <c r="U44" i="77"/>
  <c r="T44" i="77"/>
  <c r="S44" i="77"/>
  <c r="R44" i="77"/>
  <c r="Q44" i="77"/>
  <c r="P44" i="77"/>
  <c r="O44" i="77"/>
  <c r="H44" i="77"/>
  <c r="AB43" i="77"/>
  <c r="AA43" i="77"/>
  <c r="Z43" i="77"/>
  <c r="Y43" i="77"/>
  <c r="X43" i="77"/>
  <c r="W43" i="77"/>
  <c r="V43" i="77"/>
  <c r="U43" i="77"/>
  <c r="H43" i="77" s="1"/>
  <c r="T43" i="77"/>
  <c r="S43" i="77"/>
  <c r="R43" i="77"/>
  <c r="Q43" i="77"/>
  <c r="P43" i="77"/>
  <c r="O43" i="77"/>
  <c r="AB42" i="77"/>
  <c r="AA42" i="77"/>
  <c r="W42" i="77"/>
  <c r="U42" i="77"/>
  <c r="H42" i="77" s="1"/>
  <c r="T42" i="77"/>
  <c r="P42" i="77"/>
  <c r="AB41" i="77"/>
  <c r="AA41" i="77"/>
  <c r="Z41" i="77"/>
  <c r="I41" i="77" s="1"/>
  <c r="Y41" i="77"/>
  <c r="X41" i="77"/>
  <c r="W41" i="77"/>
  <c r="V41" i="77"/>
  <c r="U41" i="77"/>
  <c r="T41" i="77"/>
  <c r="S41" i="77"/>
  <c r="R41" i="77"/>
  <c r="G41" i="77" s="1"/>
  <c r="Q41" i="77"/>
  <c r="P41" i="77"/>
  <c r="O41" i="77"/>
  <c r="H41" i="77"/>
  <c r="AB40" i="77"/>
  <c r="AA40" i="77"/>
  <c r="U40" i="77"/>
  <c r="H40" i="77" s="1"/>
  <c r="T40" i="77"/>
  <c r="S40" i="77"/>
  <c r="P40" i="77"/>
  <c r="O40" i="77"/>
  <c r="AB39" i="77"/>
  <c r="AA39" i="77"/>
  <c r="Z39" i="77"/>
  <c r="Y39" i="77"/>
  <c r="X39" i="77"/>
  <c r="W39" i="77"/>
  <c r="V39" i="77"/>
  <c r="H39" i="77"/>
  <c r="G39" i="77"/>
  <c r="AB38" i="77"/>
  <c r="AA38" i="77"/>
  <c r="U38" i="77"/>
  <c r="H38" i="77" s="1"/>
  <c r="T38" i="77"/>
  <c r="AB37" i="77"/>
  <c r="AA37" i="77"/>
  <c r="Z37" i="77"/>
  <c r="Y37" i="77"/>
  <c r="X37" i="77"/>
  <c r="W37" i="77"/>
  <c r="V37" i="77"/>
  <c r="T37" i="77"/>
  <c r="S37" i="77"/>
  <c r="R37" i="77"/>
  <c r="Q37" i="77"/>
  <c r="P37" i="77"/>
  <c r="O37" i="77"/>
  <c r="AB36" i="77"/>
  <c r="AA36" i="77"/>
  <c r="Z36" i="77"/>
  <c r="Y36" i="77"/>
  <c r="X36" i="77"/>
  <c r="W36" i="77"/>
  <c r="V36" i="77"/>
  <c r="U36" i="77"/>
  <c r="U37" i="77" s="1"/>
  <c r="H37" i="77" s="1"/>
  <c r="T36" i="77"/>
  <c r="S36" i="77"/>
  <c r="R36" i="77"/>
  <c r="Q36" i="77"/>
  <c r="P36" i="77"/>
  <c r="O36" i="77"/>
  <c r="AB35" i="77"/>
  <c r="AA35" i="77"/>
  <c r="Z35" i="77"/>
  <c r="Y35" i="77"/>
  <c r="X35" i="77"/>
  <c r="W35" i="77"/>
  <c r="V35" i="77"/>
  <c r="T35" i="77"/>
  <c r="S35" i="77"/>
  <c r="R35" i="77"/>
  <c r="Q35" i="77"/>
  <c r="P35" i="77"/>
  <c r="G35" i="77" s="1"/>
  <c r="O35" i="77"/>
  <c r="AB34" i="77"/>
  <c r="AA34" i="77"/>
  <c r="U34" i="77"/>
  <c r="H34" i="77" s="1"/>
  <c r="T34" i="77"/>
  <c r="AB33" i="77"/>
  <c r="AA33" i="77"/>
  <c r="Z33" i="77"/>
  <c r="Y33" i="77"/>
  <c r="X33" i="77"/>
  <c r="W33" i="77"/>
  <c r="V33" i="77"/>
  <c r="U33" i="77"/>
  <c r="T33" i="77"/>
  <c r="S33" i="77"/>
  <c r="R33" i="77"/>
  <c r="Q33" i="77"/>
  <c r="P33" i="77"/>
  <c r="O33" i="77"/>
  <c r="H33" i="77"/>
  <c r="AB32" i="77"/>
  <c r="AA32" i="77"/>
  <c r="U32" i="77"/>
  <c r="H32" i="77" s="1"/>
  <c r="T32" i="77"/>
  <c r="D32" i="77"/>
  <c r="AB31" i="77"/>
  <c r="AA31" i="77"/>
  <c r="Z31" i="77"/>
  <c r="Y31" i="77"/>
  <c r="X31" i="77"/>
  <c r="W31" i="77"/>
  <c r="V31" i="77"/>
  <c r="U31" i="77"/>
  <c r="H31" i="77" s="1"/>
  <c r="T31" i="77"/>
  <c r="S31" i="77"/>
  <c r="R31" i="77"/>
  <c r="Q31" i="77"/>
  <c r="P31" i="77"/>
  <c r="O31" i="77"/>
  <c r="AB30" i="77"/>
  <c r="AA30" i="77"/>
  <c r="Z30" i="77"/>
  <c r="Y30" i="77"/>
  <c r="X30" i="77"/>
  <c r="W30" i="77"/>
  <c r="V30" i="77"/>
  <c r="U30" i="77"/>
  <c r="H30" i="77" s="1"/>
  <c r="T30" i="77"/>
  <c r="R30" i="77"/>
  <c r="AB29" i="77"/>
  <c r="AA29" i="77"/>
  <c r="Z29" i="77"/>
  <c r="Y29" i="77"/>
  <c r="X29" i="77"/>
  <c r="W29" i="77"/>
  <c r="V29" i="77"/>
  <c r="U29" i="77"/>
  <c r="H29" i="77" s="1"/>
  <c r="T29" i="77"/>
  <c r="S29" i="77"/>
  <c r="R29" i="77"/>
  <c r="Q29" i="77"/>
  <c r="P29" i="77"/>
  <c r="O29" i="77"/>
  <c r="AB28" i="77"/>
  <c r="AA28" i="77"/>
  <c r="Z28" i="77"/>
  <c r="Y28" i="77"/>
  <c r="X28" i="77"/>
  <c r="W28" i="77"/>
  <c r="I28" i="77" s="1"/>
  <c r="V28" i="77"/>
  <c r="U28" i="77"/>
  <c r="T28" i="77"/>
  <c r="S28" i="77"/>
  <c r="R28" i="77"/>
  <c r="Q28" i="77"/>
  <c r="P28" i="77"/>
  <c r="O28" i="77"/>
  <c r="H28" i="77"/>
  <c r="AB27" i="77"/>
  <c r="AA27" i="77"/>
  <c r="Z27" i="77"/>
  <c r="Y27" i="77"/>
  <c r="X27" i="77"/>
  <c r="W27" i="77"/>
  <c r="V27" i="77"/>
  <c r="AA26" i="77"/>
  <c r="Z26" i="77"/>
  <c r="Y26" i="77"/>
  <c r="X26" i="77"/>
  <c r="W26" i="77"/>
  <c r="V26" i="77"/>
  <c r="U26" i="77"/>
  <c r="H26" i="77" s="1"/>
  <c r="T26" i="77"/>
  <c r="S26" i="77"/>
  <c r="R26" i="77"/>
  <c r="Q26" i="77"/>
  <c r="P26" i="77"/>
  <c r="O26" i="77"/>
  <c r="AB25" i="77"/>
  <c r="AB26" i="77" s="1"/>
  <c r="AA25" i="77"/>
  <c r="Z25" i="77"/>
  <c r="Y25" i="77"/>
  <c r="X25" i="77"/>
  <c r="W25" i="77"/>
  <c r="V25" i="77"/>
  <c r="U25" i="77"/>
  <c r="T25" i="77"/>
  <c r="S25" i="77"/>
  <c r="R25" i="77"/>
  <c r="Q25" i="77"/>
  <c r="P25" i="77"/>
  <c r="O25" i="77"/>
  <c r="I25" i="77"/>
  <c r="H25" i="77"/>
  <c r="AB24" i="77"/>
  <c r="AA24" i="77"/>
  <c r="Z24" i="77"/>
  <c r="Y24" i="77"/>
  <c r="X24" i="77"/>
  <c r="W24" i="77"/>
  <c r="V24" i="77"/>
  <c r="U24" i="77"/>
  <c r="H24" i="77" s="1"/>
  <c r="T24" i="77"/>
  <c r="AB23" i="77"/>
  <c r="AA23" i="77"/>
  <c r="Z23" i="77"/>
  <c r="Y23" i="77"/>
  <c r="X23" i="77"/>
  <c r="W23" i="77"/>
  <c r="V23" i="77"/>
  <c r="U23" i="77"/>
  <c r="T23" i="77"/>
  <c r="S23" i="77"/>
  <c r="R23" i="77"/>
  <c r="Q23" i="77"/>
  <c r="P23" i="77"/>
  <c r="O23" i="77"/>
  <c r="H23" i="77"/>
  <c r="AB22" i="77"/>
  <c r="AA22" i="77"/>
  <c r="Z22" i="77"/>
  <c r="Y22" i="77"/>
  <c r="X22" i="77"/>
  <c r="W22" i="77"/>
  <c r="V22" i="77"/>
  <c r="AB21" i="77"/>
  <c r="AA21" i="77"/>
  <c r="Z21" i="77"/>
  <c r="Y21" i="77"/>
  <c r="X21" i="77"/>
  <c r="W21" i="77"/>
  <c r="V21" i="77"/>
  <c r="U20" i="77"/>
  <c r="U21" i="77" s="1"/>
  <c r="H21" i="77" s="1"/>
  <c r="T20" i="77"/>
  <c r="AB19" i="77"/>
  <c r="AA19" i="77"/>
  <c r="Z19" i="77"/>
  <c r="Y19" i="77"/>
  <c r="X19" i="77"/>
  <c r="W19" i="77"/>
  <c r="V19" i="77"/>
  <c r="U19" i="77"/>
  <c r="H19" i="77" s="1"/>
  <c r="T19" i="77"/>
  <c r="S19" i="77"/>
  <c r="R19" i="77"/>
  <c r="Q19" i="77"/>
  <c r="P19" i="77"/>
  <c r="O19" i="77"/>
  <c r="AB18" i="77"/>
  <c r="AA18" i="77"/>
  <c r="V18" i="77"/>
  <c r="U18" i="77"/>
  <c r="H18" i="77" s="1"/>
  <c r="T18" i="77"/>
  <c r="AB17" i="77"/>
  <c r="AA17" i="77"/>
  <c r="U17" i="77"/>
  <c r="H17" i="77" s="1"/>
  <c r="T17" i="77"/>
  <c r="AB16" i="77"/>
  <c r="AA16" i="77"/>
  <c r="Z16" i="77"/>
  <c r="Y16" i="77"/>
  <c r="X16" i="77"/>
  <c r="W16" i="77"/>
  <c r="V16" i="77"/>
  <c r="U16" i="77"/>
  <c r="H16" i="77" s="1"/>
  <c r="T16" i="77"/>
  <c r="AB15" i="77"/>
  <c r="AA15" i="77"/>
  <c r="Z15" i="77"/>
  <c r="Y15" i="77"/>
  <c r="X15" i="77"/>
  <c r="W15" i="77"/>
  <c r="V15" i="77"/>
  <c r="U15" i="77"/>
  <c r="H15" i="77" s="1"/>
  <c r="T15" i="77"/>
  <c r="S15" i="77"/>
  <c r="R15" i="77"/>
  <c r="P15" i="77"/>
  <c r="O15" i="77"/>
  <c r="AB14" i="77"/>
  <c r="AA14" i="77"/>
  <c r="Z14" i="77"/>
  <c r="Y14" i="77"/>
  <c r="X14" i="77"/>
  <c r="I14" i="77" s="1"/>
  <c r="W14" i="77"/>
  <c r="V14" i="77"/>
  <c r="U14" i="77"/>
  <c r="H14" i="77" s="1"/>
  <c r="T14" i="77"/>
  <c r="S14" i="77"/>
  <c r="R14" i="77"/>
  <c r="Q14" i="77"/>
  <c r="P14" i="77"/>
  <c r="O14" i="77"/>
  <c r="AB13" i="77"/>
  <c r="AA13" i="77"/>
  <c r="Z13" i="77"/>
  <c r="Y13" i="77"/>
  <c r="X13" i="77"/>
  <c r="W13" i="77"/>
  <c r="V13" i="77"/>
  <c r="U13" i="77"/>
  <c r="H13" i="77" s="1"/>
  <c r="T13" i="77"/>
  <c r="S13" i="77"/>
  <c r="R13" i="77"/>
  <c r="Q13" i="77"/>
  <c r="P13" i="77"/>
  <c r="O13" i="77"/>
  <c r="AB12" i="77"/>
  <c r="AA12" i="77"/>
  <c r="Z12" i="77"/>
  <c r="Y12" i="77"/>
  <c r="X12" i="77"/>
  <c r="W12" i="77"/>
  <c r="V12" i="77"/>
  <c r="U12" i="77"/>
  <c r="H12" i="77" s="1"/>
  <c r="T12" i="77"/>
  <c r="N11" i="77"/>
  <c r="I11" i="77"/>
  <c r="H11" i="77"/>
  <c r="G11" i="77"/>
  <c r="M11" i="77" s="1"/>
  <c r="AB10" i="77"/>
  <c r="AA10" i="77"/>
  <c r="Z10" i="77"/>
  <c r="Y10" i="77"/>
  <c r="X10" i="77"/>
  <c r="W10" i="77"/>
  <c r="V10" i="77"/>
  <c r="U10" i="77"/>
  <c r="H10" i="77" s="1"/>
  <c r="T10" i="77"/>
  <c r="AB9" i="77"/>
  <c r="AA9" i="77"/>
  <c r="Z9" i="77"/>
  <c r="Y9" i="77"/>
  <c r="X9" i="77"/>
  <c r="W9" i="77"/>
  <c r="V9" i="77"/>
  <c r="U9" i="77"/>
  <c r="H9" i="77" s="1"/>
  <c r="T9" i="77"/>
  <c r="S9" i="77"/>
  <c r="R9" i="77"/>
  <c r="Q9" i="77"/>
  <c r="P9" i="77"/>
  <c r="O9" i="77"/>
  <c r="AB8" i="77"/>
  <c r="AA8" i="77"/>
  <c r="Z8" i="77"/>
  <c r="Y8" i="77"/>
  <c r="X8" i="77"/>
  <c r="W8" i="77"/>
  <c r="V8" i="77"/>
  <c r="U8" i="77"/>
  <c r="H8" i="77" s="1"/>
  <c r="T8" i="77"/>
  <c r="S8" i="77"/>
  <c r="R8" i="77"/>
  <c r="Q8" i="77"/>
  <c r="P8" i="77"/>
  <c r="O8" i="77"/>
  <c r="AB7" i="77"/>
  <c r="AA7" i="77"/>
  <c r="Z7" i="77"/>
  <c r="Y7" i="77"/>
  <c r="X7" i="77"/>
  <c r="W7" i="77"/>
  <c r="V7" i="77"/>
  <c r="U7" i="77"/>
  <c r="H7" i="77" s="1"/>
  <c r="T7" i="77"/>
  <c r="AB6" i="77"/>
  <c r="AA6" i="77"/>
  <c r="Z6" i="77"/>
  <c r="W6" i="77"/>
  <c r="V6" i="77"/>
  <c r="U6" i="77"/>
  <c r="H6" i="77" s="1"/>
  <c r="Y6" i="77" s="1"/>
  <c r="T6" i="77"/>
  <c r="S6" i="77"/>
  <c r="R6" i="77"/>
  <c r="Q6" i="77"/>
  <c r="P6" i="77"/>
  <c r="O6" i="77"/>
  <c r="AB5" i="77"/>
  <c r="AA5" i="77"/>
  <c r="Z5" i="77"/>
  <c r="Y5" i="77"/>
  <c r="X5" i="77"/>
  <c r="W5" i="77"/>
  <c r="V5" i="77"/>
  <c r="U5" i="77"/>
  <c r="H5" i="77" s="1"/>
  <c r="T5" i="77"/>
  <c r="S5" i="77"/>
  <c r="R5" i="77"/>
  <c r="Q5" i="77"/>
  <c r="P5" i="77"/>
  <c r="O5" i="77"/>
  <c r="D5" i="77"/>
  <c r="AB4" i="77"/>
  <c r="AA4" i="77"/>
  <c r="U4" i="77"/>
  <c r="H4" i="77" s="1"/>
  <c r="T4" i="77"/>
  <c r="W32" i="76"/>
  <c r="X32" i="76"/>
  <c r="Z32" i="76"/>
  <c r="AA32" i="76"/>
  <c r="AB32" i="76"/>
  <c r="W34" i="76"/>
  <c r="AA34" i="76"/>
  <c r="AB34" i="76"/>
  <c r="V34" i="76"/>
  <c r="W36" i="76"/>
  <c r="X36" i="76"/>
  <c r="Y36" i="76"/>
  <c r="Z36" i="76"/>
  <c r="AA36" i="76"/>
  <c r="AB36" i="76"/>
  <c r="V36" i="76"/>
  <c r="W38" i="76"/>
  <c r="Y38" i="76"/>
  <c r="AA38" i="76"/>
  <c r="AB38" i="76"/>
  <c r="W40" i="76"/>
  <c r="AA40" i="76"/>
  <c r="AB40" i="76"/>
  <c r="V40" i="76"/>
  <c r="W42" i="76"/>
  <c r="AA42" i="76"/>
  <c r="AB42" i="76"/>
  <c r="O54" i="76"/>
  <c r="O53" i="76"/>
  <c r="O52" i="76"/>
  <c r="O51" i="76"/>
  <c r="O50" i="76"/>
  <c r="O48" i="76"/>
  <c r="Q46" i="76"/>
  <c r="R46" i="76"/>
  <c r="S46" i="76"/>
  <c r="T46" i="76"/>
  <c r="U46" i="76"/>
  <c r="H46" i="76" s="1"/>
  <c r="O46" i="76"/>
  <c r="Q45" i="76"/>
  <c r="R45" i="76"/>
  <c r="S45" i="76"/>
  <c r="T45" i="76"/>
  <c r="U45" i="76"/>
  <c r="H45" i="76" s="1"/>
  <c r="O40" i="76"/>
  <c r="O36" i="76"/>
  <c r="O34" i="76"/>
  <c r="Q30" i="76"/>
  <c r="R30" i="76"/>
  <c r="S30" i="76"/>
  <c r="T30" i="76"/>
  <c r="U30" i="76"/>
  <c r="H30" i="76" s="1"/>
  <c r="O27" i="76"/>
  <c r="O20" i="76"/>
  <c r="P16" i="76"/>
  <c r="Q16" i="76"/>
  <c r="T16" i="76"/>
  <c r="U16" i="76"/>
  <c r="H16" i="76" s="1"/>
  <c r="O15" i="76"/>
  <c r="O14" i="76"/>
  <c r="P14" i="76"/>
  <c r="P12" i="76"/>
  <c r="P4" i="76"/>
  <c r="L55" i="76"/>
  <c r="K55" i="76"/>
  <c r="J55" i="76"/>
  <c r="AB54" i="76" a="1"/>
  <c r="AB54" i="76" s="1"/>
  <c r="AA54" i="76" a="1"/>
  <c r="AA54" i="76" s="1"/>
  <c r="Z54" i="76" a="1"/>
  <c r="Z54" i="76" s="1"/>
  <c r="Y54" i="76" a="1"/>
  <c r="Y54" i="76" s="1"/>
  <c r="X54" i="76" a="1"/>
  <c r="X54" i="76" s="1"/>
  <c r="W54" i="76" a="1"/>
  <c r="W54" i="76" s="1"/>
  <c r="V54" i="76" a="1"/>
  <c r="V54" i="76" s="1"/>
  <c r="U54" i="76"/>
  <c r="H54" i="76" s="1"/>
  <c r="T54" i="76"/>
  <c r="S54" i="76"/>
  <c r="R54" i="76"/>
  <c r="Q54" i="76"/>
  <c r="P54" i="76"/>
  <c r="AB53" i="76" a="1"/>
  <c r="AB53" i="76" s="1"/>
  <c r="AA53" i="76" a="1"/>
  <c r="AA53" i="76" s="1"/>
  <c r="Z53" i="76" a="1"/>
  <c r="Z53" i="76" s="1"/>
  <c r="Y53" i="76" a="1"/>
  <c r="Y53" i="76" s="1"/>
  <c r="X53" i="76" a="1"/>
  <c r="X53" i="76" s="1"/>
  <c r="W53" i="76" a="1"/>
  <c r="W53" i="76" s="1"/>
  <c r="V53" i="76" a="1"/>
  <c r="V53" i="76" s="1"/>
  <c r="U53" i="76"/>
  <c r="H53" i="76" s="1"/>
  <c r="T53" i="76"/>
  <c r="S53" i="76"/>
  <c r="R53" i="76"/>
  <c r="Q53" i="76"/>
  <c r="P53" i="76"/>
  <c r="AB52" i="76" a="1"/>
  <c r="AB52" i="76" s="1"/>
  <c r="AA52" i="76" a="1"/>
  <c r="AA52" i="76" s="1"/>
  <c r="Z52" i="76" a="1"/>
  <c r="Z52" i="76" s="1"/>
  <c r="Y52" i="76" a="1"/>
  <c r="Y52" i="76" s="1"/>
  <c r="X52" i="76" a="1"/>
  <c r="X52" i="76" s="1"/>
  <c r="W52" i="76" a="1"/>
  <c r="W52" i="76" s="1"/>
  <c r="V52" i="76" a="1"/>
  <c r="V52" i="76" s="1"/>
  <c r="U52" i="76"/>
  <c r="H52" i="76" s="1"/>
  <c r="T52" i="76"/>
  <c r="S52" i="76"/>
  <c r="R52" i="76"/>
  <c r="Q52" i="76"/>
  <c r="P52" i="76"/>
  <c r="AB51" i="76" a="1"/>
  <c r="AB51" i="76" s="1"/>
  <c r="AA51" i="76" a="1"/>
  <c r="AA51" i="76" s="1"/>
  <c r="Z51" i="76" a="1"/>
  <c r="Z51" i="76" s="1"/>
  <c r="Y51" i="76" a="1"/>
  <c r="Y51" i="76" s="1"/>
  <c r="X51" i="76" a="1"/>
  <c r="X51" i="76" s="1"/>
  <c r="W51" i="76" a="1"/>
  <c r="W51" i="76" s="1"/>
  <c r="V51" i="76" a="1"/>
  <c r="V51" i="76" s="1"/>
  <c r="U51" i="76"/>
  <c r="H51" i="76" s="1"/>
  <c r="T51" i="76"/>
  <c r="S51" i="76"/>
  <c r="R51" i="76"/>
  <c r="Q51" i="76"/>
  <c r="P51" i="76"/>
  <c r="AB50" i="76" a="1"/>
  <c r="AB50" i="76" s="1"/>
  <c r="AA50" i="76" a="1"/>
  <c r="AA50" i="76" s="1"/>
  <c r="Z50" i="76" a="1"/>
  <c r="Z50" i="76" s="1"/>
  <c r="Y50" i="76" a="1"/>
  <c r="Y50" i="76" s="1"/>
  <c r="X50" i="76" a="1"/>
  <c r="X50" i="76" s="1"/>
  <c r="W50" i="76" a="1"/>
  <c r="W50" i="76" s="1"/>
  <c r="V50" i="76" a="1"/>
  <c r="V50" i="76" s="1"/>
  <c r="U50" i="76"/>
  <c r="H50" i="76" s="1"/>
  <c r="T50" i="76"/>
  <c r="Q50" i="76"/>
  <c r="P50" i="76"/>
  <c r="AB49" i="76" a="1"/>
  <c r="AB49" i="76" s="1"/>
  <c r="AA49" i="76" a="1"/>
  <c r="AA49" i="76" s="1"/>
  <c r="Z49" i="76" a="1"/>
  <c r="Z49" i="76" s="1"/>
  <c r="Y49" i="76" a="1"/>
  <c r="Y49" i="76" s="1"/>
  <c r="X49" i="76" a="1"/>
  <c r="X49" i="76" s="1"/>
  <c r="W49" i="76" a="1"/>
  <c r="W49" i="76" s="1"/>
  <c r="V49" i="76" a="1"/>
  <c r="V49" i="76" s="1"/>
  <c r="U49" i="76"/>
  <c r="H49" i="76" s="1"/>
  <c r="T49" i="76"/>
  <c r="AB48" i="76" a="1"/>
  <c r="AB48" i="76" s="1"/>
  <c r="AA48" i="76" a="1"/>
  <c r="AA48" i="76" s="1"/>
  <c r="Z48" i="76" a="1"/>
  <c r="Z48" i="76" s="1"/>
  <c r="Y48" i="76" a="1"/>
  <c r="Y48" i="76" s="1"/>
  <c r="X48" i="76" a="1"/>
  <c r="X48" i="76" s="1"/>
  <c r="W48" i="76" a="1"/>
  <c r="W48" i="76" s="1"/>
  <c r="V48" i="76" a="1"/>
  <c r="V48" i="76" s="1"/>
  <c r="U48" i="76"/>
  <c r="H48" i="76" s="1"/>
  <c r="T48" i="76"/>
  <c r="S48" i="76"/>
  <c r="R48" i="76"/>
  <c r="AB47" i="76" a="1"/>
  <c r="AB47" i="76" s="1"/>
  <c r="AA47" i="76" a="1"/>
  <c r="AA47" i="76" s="1"/>
  <c r="Z47" i="76" a="1"/>
  <c r="Z47" i="76" s="1"/>
  <c r="Y47" i="76" a="1"/>
  <c r="Y47" i="76" s="1"/>
  <c r="X47" i="76" a="1"/>
  <c r="X47" i="76" s="1"/>
  <c r="W47" i="76" a="1"/>
  <c r="W47" i="76" s="1"/>
  <c r="V47" i="76" a="1"/>
  <c r="V47" i="76" s="1"/>
  <c r="U47" i="76"/>
  <c r="H47" i="76" s="1"/>
  <c r="T47" i="76"/>
  <c r="Q47" i="76"/>
  <c r="AB46" i="76"/>
  <c r="AA46" i="76"/>
  <c r="Z46" i="76"/>
  <c r="Y46" i="76"/>
  <c r="X46" i="76"/>
  <c r="W46" i="76"/>
  <c r="V46" i="76"/>
  <c r="P46" i="76"/>
  <c r="AB45" i="76"/>
  <c r="AA45" i="76"/>
  <c r="Z45" i="76"/>
  <c r="Y45" i="76"/>
  <c r="X45" i="76"/>
  <c r="W45" i="76"/>
  <c r="V45" i="76"/>
  <c r="AB44" i="76"/>
  <c r="AA44" i="76"/>
  <c r="Z44" i="76"/>
  <c r="Y44" i="76"/>
  <c r="X44" i="76"/>
  <c r="W44" i="76"/>
  <c r="V44" i="76"/>
  <c r="U44" i="76"/>
  <c r="H44" i="76" s="1"/>
  <c r="T44" i="76"/>
  <c r="S44" i="76"/>
  <c r="R44" i="76"/>
  <c r="Q44" i="76"/>
  <c r="P44" i="76"/>
  <c r="O44" i="76"/>
  <c r="AB43" i="76"/>
  <c r="AA43" i="76"/>
  <c r="Z43" i="76"/>
  <c r="Y43" i="76"/>
  <c r="X43" i="76"/>
  <c r="W43" i="76"/>
  <c r="V43" i="76"/>
  <c r="U43" i="76"/>
  <c r="H43" i="76" s="1"/>
  <c r="T43" i="76"/>
  <c r="S43" i="76"/>
  <c r="R43" i="76"/>
  <c r="Q43" i="76"/>
  <c r="P43" i="76"/>
  <c r="O43" i="76"/>
  <c r="U42" i="76"/>
  <c r="H42" i="76" s="1"/>
  <c r="T42" i="76"/>
  <c r="P42" i="76"/>
  <c r="AB41" i="76"/>
  <c r="AA41" i="76"/>
  <c r="Z41" i="76"/>
  <c r="Y41" i="76"/>
  <c r="X41" i="76"/>
  <c r="W41" i="76"/>
  <c r="V41" i="76"/>
  <c r="U41" i="76"/>
  <c r="H41" i="76" s="1"/>
  <c r="T41" i="76"/>
  <c r="S41" i="76"/>
  <c r="R41" i="76"/>
  <c r="Q41" i="76"/>
  <c r="P41" i="76"/>
  <c r="O41" i="76"/>
  <c r="U40" i="76"/>
  <c r="H40" i="76" s="1"/>
  <c r="T40" i="76"/>
  <c r="S40" i="76"/>
  <c r="P40" i="76"/>
  <c r="AB39" i="76"/>
  <c r="AA39" i="76"/>
  <c r="Z39" i="76"/>
  <c r="Y39" i="76"/>
  <c r="X39" i="76"/>
  <c r="W39" i="76"/>
  <c r="V39" i="76"/>
  <c r="H39" i="76"/>
  <c r="G39" i="76"/>
  <c r="U38" i="76"/>
  <c r="H38" i="76" s="1"/>
  <c r="T38" i="76"/>
  <c r="R38" i="76"/>
  <c r="P38" i="76"/>
  <c r="AB37" i="76"/>
  <c r="AA37" i="76"/>
  <c r="Z37" i="76"/>
  <c r="Y37" i="76"/>
  <c r="X37" i="76"/>
  <c r="W37" i="76"/>
  <c r="V37" i="76"/>
  <c r="T37" i="76"/>
  <c r="S37" i="76"/>
  <c r="R37" i="76"/>
  <c r="Q37" i="76"/>
  <c r="P37" i="76"/>
  <c r="O37" i="76"/>
  <c r="U36" i="76"/>
  <c r="H36" i="76" s="1"/>
  <c r="T36" i="76"/>
  <c r="S36" i="76"/>
  <c r="R36" i="76"/>
  <c r="Q36" i="76"/>
  <c r="P36" i="76"/>
  <c r="AB35" i="76"/>
  <c r="AA35" i="76"/>
  <c r="Z35" i="76"/>
  <c r="Y35" i="76"/>
  <c r="X35" i="76"/>
  <c r="W35" i="76"/>
  <c r="V35" i="76"/>
  <c r="T35" i="76"/>
  <c r="S35" i="76"/>
  <c r="R35" i="76"/>
  <c r="Q35" i="76"/>
  <c r="P35" i="76"/>
  <c r="O35" i="76"/>
  <c r="U34" i="76"/>
  <c r="U35" i="76" s="1"/>
  <c r="H35" i="76" s="1"/>
  <c r="T34" i="76"/>
  <c r="P34" i="76"/>
  <c r="AB33" i="76"/>
  <c r="AA33" i="76"/>
  <c r="Z33" i="76"/>
  <c r="Y33" i="76"/>
  <c r="X33" i="76"/>
  <c r="W33" i="76"/>
  <c r="V33" i="76"/>
  <c r="U33" i="76"/>
  <c r="H33" i="76" s="1"/>
  <c r="T33" i="76"/>
  <c r="S33" i="76"/>
  <c r="R33" i="76"/>
  <c r="Q33" i="76"/>
  <c r="P33" i="76"/>
  <c r="O33" i="76"/>
  <c r="U32" i="76"/>
  <c r="H32" i="76" s="1"/>
  <c r="T32" i="76"/>
  <c r="S32" i="76"/>
  <c r="P32" i="76"/>
  <c r="D32" i="76"/>
  <c r="AB31" i="76"/>
  <c r="AA31" i="76"/>
  <c r="Z31" i="76"/>
  <c r="Y31" i="76"/>
  <c r="X31" i="76"/>
  <c r="W31" i="76"/>
  <c r="V31" i="76"/>
  <c r="U31" i="76"/>
  <c r="H31" i="76" s="1"/>
  <c r="T31" i="76"/>
  <c r="S31" i="76"/>
  <c r="R31" i="76"/>
  <c r="Q31" i="76"/>
  <c r="P31" i="76"/>
  <c r="O31" i="76"/>
  <c r="AB30" i="76"/>
  <c r="AA30" i="76"/>
  <c r="Z30" i="76"/>
  <c r="Y30" i="76"/>
  <c r="X30" i="76"/>
  <c r="W30" i="76"/>
  <c r="V30" i="76"/>
  <c r="AB29" i="76"/>
  <c r="AA29" i="76"/>
  <c r="Z29" i="76"/>
  <c r="Y29" i="76"/>
  <c r="X29" i="76"/>
  <c r="W29" i="76"/>
  <c r="V29" i="76"/>
  <c r="U29" i="76"/>
  <c r="H29" i="76" s="1"/>
  <c r="T29" i="76"/>
  <c r="S29" i="76"/>
  <c r="R29" i="76"/>
  <c r="Q29" i="76"/>
  <c r="P29" i="76"/>
  <c r="O29" i="76"/>
  <c r="AB28" i="76"/>
  <c r="AA28" i="76"/>
  <c r="Z28" i="76"/>
  <c r="Y28" i="76"/>
  <c r="X28" i="76"/>
  <c r="W28" i="76"/>
  <c r="V28" i="76"/>
  <c r="U28" i="76"/>
  <c r="H28" i="76" s="1"/>
  <c r="T28" i="76"/>
  <c r="S28" i="76"/>
  <c r="R28" i="76"/>
  <c r="Q28" i="76"/>
  <c r="P28" i="76"/>
  <c r="O28" i="76"/>
  <c r="AB27" i="76"/>
  <c r="AA27" i="76"/>
  <c r="Z27" i="76"/>
  <c r="Y27" i="76"/>
  <c r="X27" i="76"/>
  <c r="W27" i="76"/>
  <c r="V27" i="76"/>
  <c r="U27" i="76"/>
  <c r="H27" i="76" s="1"/>
  <c r="T27" i="76"/>
  <c r="S27" i="76"/>
  <c r="R27" i="76"/>
  <c r="Q27" i="76"/>
  <c r="P27" i="76"/>
  <c r="AA26" i="76"/>
  <c r="Z26" i="76"/>
  <c r="Y26" i="76"/>
  <c r="X26" i="76"/>
  <c r="W26" i="76"/>
  <c r="V26" i="76"/>
  <c r="T26" i="76"/>
  <c r="S26" i="76"/>
  <c r="R26" i="76"/>
  <c r="Q26" i="76"/>
  <c r="P26" i="76"/>
  <c r="O26" i="76"/>
  <c r="AB25" i="76"/>
  <c r="AB26" i="76" s="1"/>
  <c r="AA25" i="76"/>
  <c r="Z25" i="76"/>
  <c r="Y25" i="76"/>
  <c r="X25" i="76"/>
  <c r="W25" i="76"/>
  <c r="V25" i="76"/>
  <c r="U25" i="76"/>
  <c r="H25" i="76" s="1"/>
  <c r="T25" i="76"/>
  <c r="S25" i="76"/>
  <c r="R25" i="76"/>
  <c r="Q25" i="76"/>
  <c r="P25" i="76"/>
  <c r="O25" i="76"/>
  <c r="AB24" i="76"/>
  <c r="AA24" i="76"/>
  <c r="Z24" i="76"/>
  <c r="Y24" i="76"/>
  <c r="X24" i="76"/>
  <c r="W24" i="76"/>
  <c r="V24" i="76"/>
  <c r="U24" i="76"/>
  <c r="H24" i="76" s="1"/>
  <c r="T24" i="76"/>
  <c r="Q24" i="76"/>
  <c r="AB23" i="76"/>
  <c r="AA23" i="76"/>
  <c r="Z23" i="76"/>
  <c r="Y23" i="76"/>
  <c r="X23" i="76"/>
  <c r="W23" i="76"/>
  <c r="V23" i="76"/>
  <c r="U23" i="76"/>
  <c r="H23" i="76" s="1"/>
  <c r="T23" i="76"/>
  <c r="S23" i="76"/>
  <c r="R23" i="76"/>
  <c r="Q23" i="76"/>
  <c r="P23" i="76"/>
  <c r="O23" i="76"/>
  <c r="AB22" i="76"/>
  <c r="AA22" i="76"/>
  <c r="Z22" i="76"/>
  <c r="Y22" i="76"/>
  <c r="X22" i="76"/>
  <c r="W22" i="76"/>
  <c r="V22" i="76"/>
  <c r="U22" i="76"/>
  <c r="H22" i="76" s="1"/>
  <c r="T22" i="76"/>
  <c r="S22" i="76"/>
  <c r="R22" i="76"/>
  <c r="Q22" i="76"/>
  <c r="P22" i="76"/>
  <c r="O22" i="76"/>
  <c r="AB21" i="76"/>
  <c r="AA21" i="76"/>
  <c r="Z21" i="76"/>
  <c r="Y21" i="76"/>
  <c r="X21" i="76"/>
  <c r="W21" i="76"/>
  <c r="V21" i="76"/>
  <c r="AB20" i="76"/>
  <c r="AA20" i="76"/>
  <c r="Z20" i="76"/>
  <c r="Y20" i="76"/>
  <c r="X20" i="76"/>
  <c r="W20" i="76"/>
  <c r="V20" i="76"/>
  <c r="U20" i="76"/>
  <c r="H20" i="76" s="1"/>
  <c r="T20" i="76"/>
  <c r="AB19" i="76"/>
  <c r="AA19" i="76"/>
  <c r="Z19" i="76"/>
  <c r="Y19" i="76"/>
  <c r="X19" i="76"/>
  <c r="W19" i="76"/>
  <c r="V19" i="76"/>
  <c r="U19" i="76"/>
  <c r="H19" i="76" s="1"/>
  <c r="T19" i="76"/>
  <c r="S19" i="76"/>
  <c r="R19" i="76"/>
  <c r="Q19" i="76"/>
  <c r="P19" i="76"/>
  <c r="O19" i="76"/>
  <c r="AB18" i="76"/>
  <c r="AA18" i="76"/>
  <c r="V18" i="76"/>
  <c r="U18" i="76"/>
  <c r="H18" i="76" s="1"/>
  <c r="T18" i="76"/>
  <c r="AB17" i="76"/>
  <c r="AA17" i="76"/>
  <c r="U17" i="76"/>
  <c r="H17" i="76" s="1"/>
  <c r="T17" i="76"/>
  <c r="AB16" i="76"/>
  <c r="AA16" i="76"/>
  <c r="Z16" i="76"/>
  <c r="Y16" i="76"/>
  <c r="X16" i="76"/>
  <c r="W16" i="76"/>
  <c r="V16" i="76"/>
  <c r="AB15" i="76"/>
  <c r="AA15" i="76"/>
  <c r="Z15" i="76"/>
  <c r="Y15" i="76"/>
  <c r="X15" i="76"/>
  <c r="W15" i="76"/>
  <c r="V15" i="76"/>
  <c r="U15" i="76"/>
  <c r="H15" i="76" s="1"/>
  <c r="T15" i="76"/>
  <c r="AB14" i="76"/>
  <c r="AA14" i="76"/>
  <c r="Z14" i="76"/>
  <c r="Y14" i="76"/>
  <c r="X14" i="76"/>
  <c r="W14" i="76"/>
  <c r="V14" i="76"/>
  <c r="U14" i="76"/>
  <c r="H14" i="76" s="1"/>
  <c r="T14" i="76"/>
  <c r="S14" i="76"/>
  <c r="R14" i="76"/>
  <c r="Q14" i="76"/>
  <c r="AB13" i="76"/>
  <c r="AA13" i="76"/>
  <c r="Z13" i="76"/>
  <c r="Y13" i="76"/>
  <c r="X13" i="76"/>
  <c r="W13" i="76"/>
  <c r="V13" i="76"/>
  <c r="U13" i="76"/>
  <c r="H13" i="76" s="1"/>
  <c r="T13" i="76"/>
  <c r="S13" i="76"/>
  <c r="R13" i="76"/>
  <c r="Q13" i="76"/>
  <c r="P13" i="76"/>
  <c r="O13" i="76"/>
  <c r="AB12" i="76"/>
  <c r="AA12" i="76"/>
  <c r="Z12" i="76"/>
  <c r="Y12" i="76"/>
  <c r="X12" i="76"/>
  <c r="W12" i="76"/>
  <c r="V12" i="76"/>
  <c r="U12" i="76"/>
  <c r="H12" i="76" s="1"/>
  <c r="T12" i="76"/>
  <c r="N11" i="76"/>
  <c r="I11" i="76"/>
  <c r="H11" i="76"/>
  <c r="M11" i="76" s="1"/>
  <c r="G11" i="76"/>
  <c r="AB10" i="76"/>
  <c r="AA10" i="76"/>
  <c r="Z10" i="76"/>
  <c r="Y10" i="76"/>
  <c r="X10" i="76"/>
  <c r="W10" i="76"/>
  <c r="V10" i="76"/>
  <c r="U10" i="76"/>
  <c r="H10" i="76" s="1"/>
  <c r="T10" i="76"/>
  <c r="AB9" i="76"/>
  <c r="AA9" i="76"/>
  <c r="Z9" i="76"/>
  <c r="Y9" i="76"/>
  <c r="X9" i="76"/>
  <c r="W9" i="76"/>
  <c r="V9" i="76"/>
  <c r="U9" i="76"/>
  <c r="H9" i="76" s="1"/>
  <c r="T9" i="76"/>
  <c r="S9" i="76"/>
  <c r="R9" i="76"/>
  <c r="Q9" i="76"/>
  <c r="P9" i="76"/>
  <c r="O9" i="76"/>
  <c r="AB8" i="76"/>
  <c r="AA8" i="76"/>
  <c r="Z8" i="76"/>
  <c r="Y8" i="76"/>
  <c r="X8" i="76"/>
  <c r="W8" i="76"/>
  <c r="V8" i="76"/>
  <c r="U8" i="76"/>
  <c r="H8" i="76" s="1"/>
  <c r="T8" i="76"/>
  <c r="S8" i="76"/>
  <c r="R8" i="76"/>
  <c r="Q8" i="76"/>
  <c r="P8" i="76"/>
  <c r="O8" i="76"/>
  <c r="AB7" i="76"/>
  <c r="AA7" i="76"/>
  <c r="Z7" i="76"/>
  <c r="Y7" i="76"/>
  <c r="X7" i="76"/>
  <c r="W7" i="76"/>
  <c r="V7" i="76"/>
  <c r="U7" i="76"/>
  <c r="H7" i="76" s="1"/>
  <c r="T7" i="76"/>
  <c r="AB6" i="76"/>
  <c r="AA6" i="76"/>
  <c r="Z6" i="76"/>
  <c r="W6" i="76"/>
  <c r="V6" i="76"/>
  <c r="U6" i="76"/>
  <c r="H6" i="76" s="1"/>
  <c r="Y6" i="76" s="1"/>
  <c r="T6" i="76"/>
  <c r="S6" i="76"/>
  <c r="R6" i="76"/>
  <c r="Q6" i="76"/>
  <c r="P6" i="76"/>
  <c r="O6" i="76"/>
  <c r="AB5" i="76"/>
  <c r="AA5" i="76"/>
  <c r="Z5" i="76"/>
  <c r="Y5" i="76"/>
  <c r="X5" i="76"/>
  <c r="W5" i="76"/>
  <c r="V5" i="76"/>
  <c r="U5" i="76"/>
  <c r="H5" i="76" s="1"/>
  <c r="T5" i="76"/>
  <c r="S5" i="76"/>
  <c r="R5" i="76"/>
  <c r="Q5" i="76"/>
  <c r="P5" i="76"/>
  <c r="O5" i="76"/>
  <c r="D5" i="76"/>
  <c r="AB4" i="76"/>
  <c r="AA4" i="76"/>
  <c r="U4" i="76"/>
  <c r="H4" i="76" s="1"/>
  <c r="T4" i="76"/>
  <c r="I20" i="77" l="1"/>
  <c r="I39" i="77"/>
  <c r="I46" i="77"/>
  <c r="I8" i="77"/>
  <c r="I24" i="77"/>
  <c r="I35" i="77"/>
  <c r="I45" i="77"/>
  <c r="I16" i="77"/>
  <c r="I21" i="77"/>
  <c r="I22" i="77"/>
  <c r="I23" i="77"/>
  <c r="I29" i="77"/>
  <c r="I30" i="77"/>
  <c r="I31" i="77"/>
  <c r="I47" i="77"/>
  <c r="I27" i="77"/>
  <c r="I33" i="77"/>
  <c r="I37" i="77"/>
  <c r="I10" i="77"/>
  <c r="I13" i="77"/>
  <c r="I15" i="77"/>
  <c r="I43" i="77"/>
  <c r="I9" i="77"/>
  <c r="I12" i="77"/>
  <c r="I19" i="77"/>
  <c r="G33" i="77"/>
  <c r="G26" i="77"/>
  <c r="G23" i="77"/>
  <c r="G43" i="77"/>
  <c r="G6" i="77"/>
  <c r="X6" i="77" s="1"/>
  <c r="I6" i="77" s="1"/>
  <c r="G29" i="77"/>
  <c r="G31" i="77"/>
  <c r="G37" i="77"/>
  <c r="G25" i="77"/>
  <c r="G28" i="77"/>
  <c r="G44" i="77"/>
  <c r="G54" i="77"/>
  <c r="G5" i="77"/>
  <c r="G13" i="77"/>
  <c r="G19" i="77"/>
  <c r="H36" i="77"/>
  <c r="I36" i="77"/>
  <c r="AA55" i="77"/>
  <c r="I7" i="77"/>
  <c r="G14" i="77"/>
  <c r="G46" i="77"/>
  <c r="G9" i="77"/>
  <c r="G36" i="77"/>
  <c r="I5" i="77"/>
  <c r="G8" i="77"/>
  <c r="I49" i="77"/>
  <c r="I51" i="77"/>
  <c r="I53" i="77"/>
  <c r="AB55" i="77"/>
  <c r="I26" i="77"/>
  <c r="I48" i="77"/>
  <c r="I50" i="77"/>
  <c r="I52" i="77"/>
  <c r="I54" i="77"/>
  <c r="H20" i="77"/>
  <c r="U35" i="77"/>
  <c r="H35" i="77" s="1"/>
  <c r="T21" i="77"/>
  <c r="T55" i="77" s="1"/>
  <c r="G6" i="76"/>
  <c r="X6" i="76" s="1"/>
  <c r="I6" i="76" s="1"/>
  <c r="I23" i="76"/>
  <c r="I12" i="76"/>
  <c r="I20" i="76"/>
  <c r="I9" i="76"/>
  <c r="I21" i="76"/>
  <c r="I22" i="76"/>
  <c r="I27" i="76"/>
  <c r="I45" i="76"/>
  <c r="I46" i="76"/>
  <c r="I48" i="76"/>
  <c r="I49" i="76"/>
  <c r="I51" i="76"/>
  <c r="I15" i="76"/>
  <c r="I35" i="76"/>
  <c r="I36" i="76"/>
  <c r="I8" i="76"/>
  <c r="I24" i="76"/>
  <c r="I39" i="76"/>
  <c r="I31" i="76"/>
  <c r="I10" i="76"/>
  <c r="I14" i="76"/>
  <c r="I25" i="76"/>
  <c r="I30" i="76"/>
  <c r="I44" i="76"/>
  <c r="I13" i="76"/>
  <c r="I19" i="76"/>
  <c r="I37" i="76"/>
  <c r="I41" i="76"/>
  <c r="I33" i="76"/>
  <c r="I43" i="76"/>
  <c r="I16" i="76"/>
  <c r="G51" i="76"/>
  <c r="M51" i="76" s="1"/>
  <c r="G5" i="76"/>
  <c r="G22" i="76"/>
  <c r="M22" i="76" s="1"/>
  <c r="G23" i="76"/>
  <c r="G31" i="76"/>
  <c r="G33" i="76"/>
  <c r="G52" i="76"/>
  <c r="G53" i="76"/>
  <c r="G13" i="76"/>
  <c r="G27" i="76"/>
  <c r="G54" i="76"/>
  <c r="I29" i="76"/>
  <c r="U26" i="76"/>
  <c r="H26" i="76" s="1"/>
  <c r="G28" i="76"/>
  <c r="I28" i="76"/>
  <c r="G29" i="76"/>
  <c r="G25" i="76"/>
  <c r="G43" i="76"/>
  <c r="G35" i="76"/>
  <c r="G41" i="76"/>
  <c r="I26" i="76"/>
  <c r="G37" i="76"/>
  <c r="G44" i="76"/>
  <c r="G26" i="76"/>
  <c r="U37" i="76"/>
  <c r="H37" i="76" s="1"/>
  <c r="G46" i="76"/>
  <c r="I5" i="76"/>
  <c r="AA55" i="76"/>
  <c r="I7" i="76"/>
  <c r="U21" i="76"/>
  <c r="H21" i="76" s="1"/>
  <c r="G9" i="76"/>
  <c r="G19" i="76"/>
  <c r="G8" i="76"/>
  <c r="G14" i="76"/>
  <c r="G36" i="76"/>
  <c r="AB55" i="76"/>
  <c r="I47" i="76"/>
  <c r="I50" i="76"/>
  <c r="I52" i="76"/>
  <c r="I53" i="76"/>
  <c r="I54" i="76"/>
  <c r="T21" i="76"/>
  <c r="T55" i="76" s="1"/>
  <c r="H34" i="76"/>
  <c r="N19" i="77" l="1"/>
  <c r="M46" i="77"/>
  <c r="M54" i="77"/>
  <c r="M36" i="77"/>
  <c r="U55" i="77"/>
  <c r="H55" i="77"/>
  <c r="M46" i="76"/>
  <c r="M52" i="76"/>
  <c r="M53" i="76"/>
  <c r="N19" i="76"/>
  <c r="M54" i="76"/>
  <c r="M27" i="76"/>
  <c r="M36" i="76"/>
  <c r="U55" i="76"/>
  <c r="H55" i="76"/>
  <c r="N11" i="75" l="1"/>
  <c r="Q50" i="75"/>
  <c r="R50" i="75"/>
  <c r="S50" i="75"/>
  <c r="T50" i="75"/>
  <c r="U50" i="75"/>
  <c r="H50" i="75" s="1"/>
  <c r="P50" i="75"/>
  <c r="S49" i="75"/>
  <c r="T49" i="75"/>
  <c r="U49" i="75"/>
  <c r="H49" i="75" s="1"/>
  <c r="R48" i="75"/>
  <c r="S48" i="75"/>
  <c r="T48" i="75"/>
  <c r="U48" i="75"/>
  <c r="H48" i="75" s="1"/>
  <c r="V48" i="75" a="1"/>
  <c r="V48" i="75" s="1"/>
  <c r="Q47" i="75"/>
  <c r="R47" i="75"/>
  <c r="T47" i="75"/>
  <c r="U47" i="75"/>
  <c r="Q46" i="75"/>
  <c r="R46" i="75"/>
  <c r="S46" i="75"/>
  <c r="T46" i="75"/>
  <c r="U46" i="75"/>
  <c r="H46" i="75" s="1"/>
  <c r="P46" i="75"/>
  <c r="Q45" i="75"/>
  <c r="S45" i="75"/>
  <c r="T45" i="75"/>
  <c r="U45" i="75"/>
  <c r="H45" i="75" s="1"/>
  <c r="Q42" i="75"/>
  <c r="R42" i="75"/>
  <c r="S42" i="75"/>
  <c r="T42" i="75"/>
  <c r="U42" i="75"/>
  <c r="H42" i="75" s="1"/>
  <c r="P42" i="75"/>
  <c r="S40" i="75"/>
  <c r="T40" i="75"/>
  <c r="U40" i="75"/>
  <c r="H40" i="75" s="1"/>
  <c r="P40" i="75"/>
  <c r="R38" i="75"/>
  <c r="S38" i="75"/>
  <c r="T38" i="75"/>
  <c r="U38" i="75"/>
  <c r="H38" i="75" s="1"/>
  <c r="P38" i="75"/>
  <c r="Q36" i="75"/>
  <c r="R36" i="75"/>
  <c r="S36" i="75"/>
  <c r="T36" i="75"/>
  <c r="U36" i="75"/>
  <c r="U37" i="75" s="1"/>
  <c r="H37" i="75" s="1"/>
  <c r="V36" i="75"/>
  <c r="P36" i="75"/>
  <c r="S34" i="75"/>
  <c r="T34" i="75"/>
  <c r="U34" i="75"/>
  <c r="H34" i="75" s="1"/>
  <c r="P34" i="75"/>
  <c r="O34" i="75"/>
  <c r="S32" i="75"/>
  <c r="T32" i="75"/>
  <c r="U32" i="75"/>
  <c r="H32" i="75" s="1"/>
  <c r="P32" i="75"/>
  <c r="T30" i="75"/>
  <c r="U30" i="75"/>
  <c r="H30" i="75" s="1"/>
  <c r="Q24" i="75"/>
  <c r="S24" i="75"/>
  <c r="T24" i="75"/>
  <c r="U24" i="75"/>
  <c r="H24" i="75" s="1"/>
  <c r="Q19" i="75"/>
  <c r="R19" i="75"/>
  <c r="S19" i="75"/>
  <c r="T19" i="75"/>
  <c r="U19" i="75"/>
  <c r="H19" i="75" s="1"/>
  <c r="P19" i="75"/>
  <c r="T20" i="75"/>
  <c r="U20" i="75"/>
  <c r="H20" i="75" s="1"/>
  <c r="AA18" i="75"/>
  <c r="AB18" i="75"/>
  <c r="T18" i="75"/>
  <c r="U18" i="75"/>
  <c r="H18" i="75" s="1"/>
  <c r="AA17" i="75"/>
  <c r="AB17" i="75"/>
  <c r="T17" i="75"/>
  <c r="U17" i="75"/>
  <c r="H17" i="75" s="1"/>
  <c r="Q16" i="75"/>
  <c r="R16" i="75"/>
  <c r="S16" i="75"/>
  <c r="T16" i="75"/>
  <c r="U16" i="75"/>
  <c r="H16" i="75" s="1"/>
  <c r="P16" i="75"/>
  <c r="T15" i="75"/>
  <c r="U15" i="75"/>
  <c r="H15" i="75" s="1"/>
  <c r="Q14" i="75"/>
  <c r="R14" i="75"/>
  <c r="S14" i="75"/>
  <c r="T14" i="75"/>
  <c r="U14" i="75"/>
  <c r="H14" i="75" s="1"/>
  <c r="P14" i="75"/>
  <c r="P13" i="75"/>
  <c r="O14" i="75"/>
  <c r="O13" i="75"/>
  <c r="T12" i="75"/>
  <c r="U12" i="75"/>
  <c r="H12" i="75" s="1"/>
  <c r="T10" i="75"/>
  <c r="U10" i="75"/>
  <c r="H10" i="75" s="1"/>
  <c r="Q9" i="75"/>
  <c r="R9" i="75"/>
  <c r="S9" i="75"/>
  <c r="T9" i="75"/>
  <c r="U9" i="75"/>
  <c r="H9" i="75" s="1"/>
  <c r="U8" i="75"/>
  <c r="H8" i="75" s="1"/>
  <c r="Q8" i="75"/>
  <c r="R8" i="75"/>
  <c r="S8" i="75"/>
  <c r="T8" i="75"/>
  <c r="P9" i="75"/>
  <c r="P8" i="75"/>
  <c r="D32" i="75"/>
  <c r="D5" i="75"/>
  <c r="W7" i="75"/>
  <c r="X7" i="75"/>
  <c r="Y7" i="75"/>
  <c r="Z7" i="75"/>
  <c r="AA7" i="75"/>
  <c r="AB7" i="75"/>
  <c r="V7" i="75"/>
  <c r="Q7" i="75"/>
  <c r="T7" i="75"/>
  <c r="U7" i="75"/>
  <c r="H7" i="75" s="1"/>
  <c r="Z6" i="75"/>
  <c r="AA6" i="75"/>
  <c r="AB6" i="75"/>
  <c r="X5" i="75"/>
  <c r="Y5" i="75"/>
  <c r="Z5" i="75"/>
  <c r="AA5" i="75"/>
  <c r="AB5" i="75"/>
  <c r="W5" i="75"/>
  <c r="W6" i="75"/>
  <c r="AA4" i="75"/>
  <c r="AB4" i="75"/>
  <c r="T4" i="75"/>
  <c r="U4" i="75"/>
  <c r="H4" i="75" s="1"/>
  <c r="L55" i="75"/>
  <c r="K55" i="75"/>
  <c r="J55" i="75"/>
  <c r="AB54" i="75" a="1"/>
  <c r="AB54" i="75" s="1"/>
  <c r="AA54" i="75" a="1"/>
  <c r="AA54" i="75" s="1"/>
  <c r="Z54" i="75" a="1"/>
  <c r="Z54" i="75" s="1"/>
  <c r="Y54" i="75" a="1"/>
  <c r="Y54" i="75" s="1"/>
  <c r="X54" i="75" a="1"/>
  <c r="X54" i="75" s="1"/>
  <c r="W54" i="75" a="1"/>
  <c r="W54" i="75" s="1"/>
  <c r="V54" i="75" a="1"/>
  <c r="V54" i="75" s="1"/>
  <c r="U54" i="75"/>
  <c r="H54" i="75" s="1"/>
  <c r="T54" i="75"/>
  <c r="S54" i="75"/>
  <c r="R54" i="75"/>
  <c r="Q54" i="75"/>
  <c r="P54" i="75"/>
  <c r="O54" i="75"/>
  <c r="AB53" i="75" a="1"/>
  <c r="AB53" i="75" s="1"/>
  <c r="AA53" i="75" a="1"/>
  <c r="AA53" i="75" s="1"/>
  <c r="Z53" i="75" a="1"/>
  <c r="Z53" i="75" s="1"/>
  <c r="Y53" i="75" a="1"/>
  <c r="Y53" i="75" s="1"/>
  <c r="X53" i="75" a="1"/>
  <c r="X53" i="75" s="1"/>
  <c r="W53" i="75" a="1"/>
  <c r="W53" i="75" s="1"/>
  <c r="V53" i="75" a="1"/>
  <c r="V53" i="75" s="1"/>
  <c r="U53" i="75"/>
  <c r="H53" i="75" s="1"/>
  <c r="S53" i="75"/>
  <c r="AB52" i="75" a="1"/>
  <c r="AB52" i="75" s="1"/>
  <c r="AA52" i="75" a="1"/>
  <c r="AA52" i="75" s="1"/>
  <c r="Z52" i="75" a="1"/>
  <c r="Z52" i="75" s="1"/>
  <c r="Y52" i="75" a="1"/>
  <c r="Y52" i="75" s="1"/>
  <c r="X52" i="75" a="1"/>
  <c r="X52" i="75" s="1"/>
  <c r="W52" i="75" a="1"/>
  <c r="W52" i="75" s="1"/>
  <c r="V52" i="75" a="1"/>
  <c r="V52" i="75" s="1"/>
  <c r="U52" i="75"/>
  <c r="H52" i="75" s="1"/>
  <c r="T52" i="75"/>
  <c r="S52" i="75"/>
  <c r="R52" i="75"/>
  <c r="Q52" i="75"/>
  <c r="P52" i="75"/>
  <c r="O52" i="75"/>
  <c r="AB51" i="75" a="1"/>
  <c r="AB51" i="75" s="1"/>
  <c r="AA51" i="75" a="1"/>
  <c r="AA51" i="75" s="1"/>
  <c r="Z51" i="75" a="1"/>
  <c r="Z51" i="75" s="1"/>
  <c r="Y51" i="75" a="1"/>
  <c r="Y51" i="75" s="1"/>
  <c r="X51" i="75" a="1"/>
  <c r="X51" i="75" s="1"/>
  <c r="W51" i="75" a="1"/>
  <c r="W51" i="75" s="1"/>
  <c r="V51" i="75" a="1"/>
  <c r="V51" i="75" s="1"/>
  <c r="U51" i="75"/>
  <c r="H51" i="75" s="1"/>
  <c r="S51" i="75"/>
  <c r="O51" i="75"/>
  <c r="AB50" i="75" a="1"/>
  <c r="AB50" i="75" s="1"/>
  <c r="AA50" i="75" a="1"/>
  <c r="AA50" i="75" s="1"/>
  <c r="Z50" i="75" a="1"/>
  <c r="Z50" i="75" s="1"/>
  <c r="Y50" i="75" a="1"/>
  <c r="Y50" i="75" s="1"/>
  <c r="X50" i="75" a="1"/>
  <c r="X50" i="75" s="1"/>
  <c r="W50" i="75" a="1"/>
  <c r="W50" i="75" s="1"/>
  <c r="V50" i="75" a="1"/>
  <c r="V50" i="75" s="1"/>
  <c r="O50" i="75"/>
  <c r="AB49" i="75" a="1"/>
  <c r="AB49" i="75" s="1"/>
  <c r="AA49" i="75" a="1"/>
  <c r="AA49" i="75" s="1"/>
  <c r="Z49" i="75" a="1"/>
  <c r="Z49" i="75" s="1"/>
  <c r="Y49" i="75" a="1"/>
  <c r="Y49" i="75" s="1"/>
  <c r="X49" i="75" a="1"/>
  <c r="X49" i="75" s="1"/>
  <c r="W49" i="75" a="1"/>
  <c r="W49" i="75" s="1"/>
  <c r="V49" i="75" a="1"/>
  <c r="V49" i="75" s="1"/>
  <c r="AB48" i="75" a="1"/>
  <c r="AB48" i="75" s="1"/>
  <c r="AA48" i="75" a="1"/>
  <c r="AA48" i="75" s="1"/>
  <c r="Z48" i="75" a="1"/>
  <c r="Z48" i="75" s="1"/>
  <c r="Y48" i="75" a="1"/>
  <c r="Y48" i="75" s="1"/>
  <c r="X48" i="75" a="1"/>
  <c r="X48" i="75" s="1"/>
  <c r="W48" i="75" a="1"/>
  <c r="W48" i="75" s="1"/>
  <c r="AB47" i="75" a="1"/>
  <c r="AB47" i="75" s="1"/>
  <c r="AA47" i="75" a="1"/>
  <c r="AA47" i="75" s="1"/>
  <c r="Z47" i="75" a="1"/>
  <c r="Z47" i="75" s="1"/>
  <c r="Y47" i="75" a="1"/>
  <c r="Y47" i="75" s="1"/>
  <c r="X47" i="75" a="1"/>
  <c r="X47" i="75" s="1"/>
  <c r="W47" i="75" a="1"/>
  <c r="W47" i="75" s="1"/>
  <c r="V47" i="75" a="1"/>
  <c r="V47" i="75" s="1"/>
  <c r="AB46" i="75"/>
  <c r="AA46" i="75"/>
  <c r="Z46" i="75"/>
  <c r="Y46" i="75"/>
  <c r="AB45" i="75"/>
  <c r="AA45" i="75"/>
  <c r="Z45" i="75"/>
  <c r="Y45" i="75"/>
  <c r="X45" i="75"/>
  <c r="W45" i="75"/>
  <c r="AB44" i="75"/>
  <c r="AA44" i="75"/>
  <c r="Z44" i="75"/>
  <c r="Y44" i="75"/>
  <c r="X44" i="75"/>
  <c r="W44" i="75"/>
  <c r="V44" i="75"/>
  <c r="U44" i="75"/>
  <c r="H44" i="75" s="1"/>
  <c r="T44" i="75"/>
  <c r="S44" i="75"/>
  <c r="R44" i="75"/>
  <c r="Q44" i="75"/>
  <c r="P44" i="75"/>
  <c r="O44" i="75"/>
  <c r="AB43" i="75"/>
  <c r="AA43" i="75"/>
  <c r="Z43" i="75"/>
  <c r="Y43" i="75"/>
  <c r="X43" i="75"/>
  <c r="W43" i="75"/>
  <c r="V43" i="75"/>
  <c r="U43" i="75"/>
  <c r="H43" i="75" s="1"/>
  <c r="T43" i="75"/>
  <c r="S43" i="75"/>
  <c r="R43" i="75"/>
  <c r="Q43" i="75"/>
  <c r="P43" i="75"/>
  <c r="O43" i="75"/>
  <c r="AB42" i="75"/>
  <c r="Z42" i="75"/>
  <c r="Y42" i="75"/>
  <c r="X42" i="75"/>
  <c r="W42" i="75"/>
  <c r="V42" i="75"/>
  <c r="O42" i="75"/>
  <c r="AB41" i="75"/>
  <c r="AA41" i="75"/>
  <c r="Z41" i="75"/>
  <c r="Y41" i="75"/>
  <c r="X41" i="75"/>
  <c r="W41" i="75"/>
  <c r="V41" i="75"/>
  <c r="U41" i="75"/>
  <c r="H41" i="75" s="1"/>
  <c r="T41" i="75"/>
  <c r="S41" i="75"/>
  <c r="R41" i="75"/>
  <c r="Q41" i="75"/>
  <c r="P41" i="75"/>
  <c r="O41" i="75"/>
  <c r="AB40" i="75"/>
  <c r="AB39" i="75"/>
  <c r="AA39" i="75"/>
  <c r="Z39" i="75"/>
  <c r="Y39" i="75"/>
  <c r="X39" i="75"/>
  <c r="W39" i="75"/>
  <c r="V39" i="75"/>
  <c r="H39" i="75"/>
  <c r="G39" i="75"/>
  <c r="AB38" i="75"/>
  <c r="AB37" i="75"/>
  <c r="AA37" i="75"/>
  <c r="Z37" i="75"/>
  <c r="Y37" i="75"/>
  <c r="X37" i="75"/>
  <c r="W37" i="75"/>
  <c r="V37" i="75"/>
  <c r="T37" i="75"/>
  <c r="S37" i="75"/>
  <c r="R37" i="75"/>
  <c r="Q37" i="75"/>
  <c r="P37" i="75"/>
  <c r="O37" i="75"/>
  <c r="AB36" i="75"/>
  <c r="AA36" i="75"/>
  <c r="Z36" i="75"/>
  <c r="Y36" i="75"/>
  <c r="X36" i="75"/>
  <c r="W36" i="75"/>
  <c r="O36" i="75"/>
  <c r="AB35" i="75"/>
  <c r="AA35" i="75"/>
  <c r="Z35" i="75"/>
  <c r="Y35" i="75"/>
  <c r="X35" i="75"/>
  <c r="W35" i="75"/>
  <c r="V35" i="75"/>
  <c r="T35" i="75"/>
  <c r="S35" i="75"/>
  <c r="R35" i="75"/>
  <c r="Q35" i="75"/>
  <c r="P35" i="75"/>
  <c r="O35" i="75"/>
  <c r="AB34" i="75"/>
  <c r="AB33" i="75"/>
  <c r="AA33" i="75"/>
  <c r="Z33" i="75"/>
  <c r="Y33" i="75"/>
  <c r="X33" i="75"/>
  <c r="W33" i="75"/>
  <c r="V33" i="75"/>
  <c r="U33" i="75"/>
  <c r="H33" i="75" s="1"/>
  <c r="T33" i="75"/>
  <c r="S33" i="75"/>
  <c r="R33" i="75"/>
  <c r="Q33" i="75"/>
  <c r="P33" i="75"/>
  <c r="O33" i="75"/>
  <c r="AB32" i="75"/>
  <c r="AB31" i="75"/>
  <c r="AA31" i="75"/>
  <c r="Z31" i="75"/>
  <c r="Y31" i="75"/>
  <c r="X31" i="75"/>
  <c r="W31" i="75"/>
  <c r="V31" i="75"/>
  <c r="U31" i="75"/>
  <c r="H31" i="75" s="1"/>
  <c r="T31" i="75"/>
  <c r="S31" i="75"/>
  <c r="R31" i="75"/>
  <c r="Q31" i="75"/>
  <c r="P31" i="75"/>
  <c r="O31" i="75"/>
  <c r="AB30" i="75"/>
  <c r="AB29" i="75"/>
  <c r="AA29" i="75"/>
  <c r="Z29" i="75"/>
  <c r="Y29" i="75"/>
  <c r="X29" i="75"/>
  <c r="W29" i="75"/>
  <c r="V29" i="75"/>
  <c r="U29" i="75"/>
  <c r="H29" i="75" s="1"/>
  <c r="T29" i="75"/>
  <c r="S29" i="75"/>
  <c r="R29" i="75"/>
  <c r="Q29" i="75"/>
  <c r="P29" i="75"/>
  <c r="O29" i="75"/>
  <c r="AB28" i="75"/>
  <c r="AA28" i="75"/>
  <c r="Z28" i="75"/>
  <c r="Y28" i="75"/>
  <c r="X28" i="75"/>
  <c r="W28" i="75"/>
  <c r="V28" i="75"/>
  <c r="U28" i="75"/>
  <c r="H28" i="75" s="1"/>
  <c r="T28" i="75"/>
  <c r="S28" i="75"/>
  <c r="R28" i="75"/>
  <c r="Q28" i="75"/>
  <c r="P28" i="75"/>
  <c r="O28" i="75"/>
  <c r="AB27" i="75"/>
  <c r="AA27" i="75"/>
  <c r="U27" i="75"/>
  <c r="H27" i="75" s="1"/>
  <c r="T27" i="75"/>
  <c r="AA26" i="75"/>
  <c r="Z26" i="75"/>
  <c r="Y26" i="75"/>
  <c r="X26" i="75"/>
  <c r="W26" i="75"/>
  <c r="V26" i="75"/>
  <c r="T26" i="75"/>
  <c r="S26" i="75"/>
  <c r="R26" i="75"/>
  <c r="Q26" i="75"/>
  <c r="P26" i="75"/>
  <c r="O26" i="75"/>
  <c r="AB25" i="75"/>
  <c r="AB26" i="75" s="1"/>
  <c r="AA25" i="75"/>
  <c r="Z25" i="75"/>
  <c r="Y25" i="75"/>
  <c r="X25" i="75"/>
  <c r="W25" i="75"/>
  <c r="V25" i="75"/>
  <c r="U25" i="75"/>
  <c r="U26" i="75" s="1"/>
  <c r="H26" i="75" s="1"/>
  <c r="T25" i="75"/>
  <c r="S25" i="75"/>
  <c r="R25" i="75"/>
  <c r="Q25" i="75"/>
  <c r="P25" i="75"/>
  <c r="O25" i="75"/>
  <c r="AB24" i="75"/>
  <c r="AA24" i="75"/>
  <c r="Z24" i="75"/>
  <c r="W24" i="75"/>
  <c r="AB23" i="75"/>
  <c r="AA23" i="75"/>
  <c r="Z23" i="75"/>
  <c r="Y23" i="75"/>
  <c r="X23" i="75"/>
  <c r="W23" i="75"/>
  <c r="U23" i="75"/>
  <c r="H23" i="75" s="1"/>
  <c r="T23" i="75"/>
  <c r="S23" i="75"/>
  <c r="R23" i="75"/>
  <c r="Q23" i="75"/>
  <c r="P23" i="75"/>
  <c r="AB22" i="75"/>
  <c r="AA22" i="75"/>
  <c r="Z22" i="75"/>
  <c r="Y22" i="75"/>
  <c r="X22" i="75"/>
  <c r="V22" i="75"/>
  <c r="U22" i="75"/>
  <c r="H22" i="75" s="1"/>
  <c r="T22" i="75"/>
  <c r="S22" i="75"/>
  <c r="R22" i="75"/>
  <c r="Q22" i="75"/>
  <c r="O22" i="75"/>
  <c r="AB21" i="75"/>
  <c r="AA21" i="75"/>
  <c r="Z21" i="75"/>
  <c r="Y21" i="75"/>
  <c r="X21" i="75"/>
  <c r="W21" i="75"/>
  <c r="V21" i="75"/>
  <c r="AB20" i="75"/>
  <c r="AB19" i="75"/>
  <c r="AA19" i="75"/>
  <c r="Z19" i="75"/>
  <c r="Y19" i="75"/>
  <c r="X19" i="75"/>
  <c r="W19" i="75"/>
  <c r="V19" i="75"/>
  <c r="O19" i="75"/>
  <c r="AB16" i="75"/>
  <c r="Y16" i="75"/>
  <c r="W16" i="75"/>
  <c r="AB15" i="75"/>
  <c r="AA15" i="75"/>
  <c r="Z15" i="75"/>
  <c r="Y15" i="75"/>
  <c r="X15" i="75"/>
  <c r="V15" i="75"/>
  <c r="O15" i="75"/>
  <c r="AB14" i="75"/>
  <c r="AA14" i="75"/>
  <c r="Z14" i="75"/>
  <c r="Y14" i="75"/>
  <c r="X14" i="75"/>
  <c r="W14" i="75"/>
  <c r="V14" i="75"/>
  <c r="AB13" i="75"/>
  <c r="AA13" i="75"/>
  <c r="Z13" i="75"/>
  <c r="Y13" i="75"/>
  <c r="X13" i="75"/>
  <c r="W13" i="75"/>
  <c r="V13" i="75"/>
  <c r="U13" i="75"/>
  <c r="H13" i="75" s="1"/>
  <c r="T13" i="75"/>
  <c r="S13" i="75"/>
  <c r="R13" i="75"/>
  <c r="Q13" i="75"/>
  <c r="AB12" i="75"/>
  <c r="AA12" i="75"/>
  <c r="I11" i="75"/>
  <c r="H11" i="75"/>
  <c r="G11" i="75"/>
  <c r="AB10" i="75"/>
  <c r="AA10" i="75"/>
  <c r="AB9" i="75"/>
  <c r="AA9" i="75"/>
  <c r="Z9" i="75"/>
  <c r="Y9" i="75"/>
  <c r="X9" i="75"/>
  <c r="W9" i="75"/>
  <c r="V9" i="75"/>
  <c r="O9" i="75"/>
  <c r="AB8" i="75"/>
  <c r="AA8" i="75"/>
  <c r="Z8" i="75"/>
  <c r="Y8" i="75"/>
  <c r="X8" i="75"/>
  <c r="W8" i="75"/>
  <c r="V8" i="75"/>
  <c r="O8" i="75"/>
  <c r="V6" i="75"/>
  <c r="U6" i="75"/>
  <c r="H6" i="75" s="1"/>
  <c r="Y6" i="75" s="1"/>
  <c r="T6" i="75"/>
  <c r="S6" i="75"/>
  <c r="R6" i="75"/>
  <c r="Q6" i="75"/>
  <c r="P6" i="75"/>
  <c r="O6" i="75"/>
  <c r="U5" i="75"/>
  <c r="H5" i="75" s="1"/>
  <c r="T5" i="75"/>
  <c r="S5" i="75"/>
  <c r="R5" i="75"/>
  <c r="Q5" i="75"/>
  <c r="P5" i="75"/>
  <c r="I11" i="74"/>
  <c r="W54" i="74" a="1"/>
  <c r="W54" i="74" s="1"/>
  <c r="X54" i="74" a="1"/>
  <c r="X54" i="74" s="1"/>
  <c r="Y54" i="74" a="1"/>
  <c r="Y54" i="74" s="1"/>
  <c r="Z54" i="74" a="1"/>
  <c r="Z54" i="74" s="1"/>
  <c r="AA54" i="74" a="1"/>
  <c r="AA54" i="74" s="1"/>
  <c r="AB54" i="74" a="1"/>
  <c r="AB54" i="74" s="1"/>
  <c r="W53" i="74" a="1"/>
  <c r="W53" i="74" s="1"/>
  <c r="X53" i="74" a="1"/>
  <c r="X53" i="74" s="1"/>
  <c r="Y53" i="74" a="1"/>
  <c r="Y53" i="74" s="1"/>
  <c r="Z53" i="74" a="1"/>
  <c r="Z53" i="74" s="1"/>
  <c r="AA53" i="74" a="1"/>
  <c r="AA53" i="74" s="1"/>
  <c r="AB53" i="74" a="1"/>
  <c r="AB53" i="74" s="1"/>
  <c r="W52" i="74" a="1"/>
  <c r="W52" i="74" s="1"/>
  <c r="X52" i="74" a="1"/>
  <c r="X52" i="74" s="1"/>
  <c r="Y52" i="74" a="1"/>
  <c r="Y52" i="74" s="1"/>
  <c r="Z52" i="74" a="1"/>
  <c r="Z52" i="74" s="1"/>
  <c r="AA52" i="74" a="1"/>
  <c r="AA52" i="74" s="1"/>
  <c r="AB52" i="74" a="1"/>
  <c r="AB52" i="74" s="1"/>
  <c r="V54" i="74" a="1"/>
  <c r="V54" i="74" s="1"/>
  <c r="V53" i="74" a="1"/>
  <c r="V53" i="74" s="1"/>
  <c r="V52" i="74" a="1"/>
  <c r="V52" i="74" s="1"/>
  <c r="W51" i="74" a="1"/>
  <c r="W51" i="74" s="1"/>
  <c r="X51" i="74" a="1"/>
  <c r="X51" i="74" s="1"/>
  <c r="Y51" i="74" a="1"/>
  <c r="Y51" i="74" s="1"/>
  <c r="Z51" i="74" a="1"/>
  <c r="Z51" i="74" s="1"/>
  <c r="AA51" i="74" a="1"/>
  <c r="AA51" i="74" s="1"/>
  <c r="AB51" i="74" a="1"/>
  <c r="AB51" i="74" s="1"/>
  <c r="V51" i="74" a="1"/>
  <c r="V51" i="74" s="1"/>
  <c r="W50" i="74" a="1"/>
  <c r="W50" i="74" s="1"/>
  <c r="X50" i="74" a="1"/>
  <c r="X50" i="74" s="1"/>
  <c r="Y50" i="74" a="1"/>
  <c r="Y50" i="74" s="1"/>
  <c r="Z50" i="74" a="1"/>
  <c r="Z50" i="74" s="1"/>
  <c r="AA50" i="74" a="1"/>
  <c r="AA50" i="74" s="1"/>
  <c r="AB50" i="74" a="1"/>
  <c r="AB50" i="74" s="1"/>
  <c r="V50" i="74" a="1"/>
  <c r="V50" i="74" s="1"/>
  <c r="W49" i="74" a="1"/>
  <c r="W49" i="74" s="1"/>
  <c r="X49" i="74" a="1"/>
  <c r="X49" i="74" s="1"/>
  <c r="Y49" i="74" a="1"/>
  <c r="Y49" i="74" s="1"/>
  <c r="Z49" i="74" a="1"/>
  <c r="Z49" i="74" s="1"/>
  <c r="AA49" i="74" a="1"/>
  <c r="AA49" i="74" s="1"/>
  <c r="AB49" i="74" a="1"/>
  <c r="AB49" i="74" s="1"/>
  <c r="V49" i="74" a="1"/>
  <c r="V49" i="74" s="1"/>
  <c r="W48" i="74" a="1"/>
  <c r="W48" i="74" s="1"/>
  <c r="X48" i="74" a="1"/>
  <c r="X48" i="74" s="1"/>
  <c r="Y48" i="74" a="1"/>
  <c r="Y48" i="74" s="1"/>
  <c r="Z48" i="74" a="1"/>
  <c r="Z48" i="74" s="1"/>
  <c r="AA48" i="74" a="1"/>
  <c r="AA48" i="74" s="1"/>
  <c r="AB48" i="74" a="1"/>
  <c r="AB48" i="74" s="1"/>
  <c r="V48" i="74" a="1"/>
  <c r="V48" i="74" s="1"/>
  <c r="W47" i="74" a="1"/>
  <c r="W47" i="74" s="1"/>
  <c r="X47" i="74" a="1"/>
  <c r="X47" i="74" s="1"/>
  <c r="Y47" i="74" a="1"/>
  <c r="Y47" i="74" s="1"/>
  <c r="Z47" i="74" a="1"/>
  <c r="Z47" i="74" s="1"/>
  <c r="AA47" i="74" a="1"/>
  <c r="AA47" i="74" s="1"/>
  <c r="AB47" i="74" a="1"/>
  <c r="AB47" i="74" s="1"/>
  <c r="V47" i="74" a="1"/>
  <c r="V47" i="74" s="1"/>
  <c r="Y46" i="74"/>
  <c r="Z46" i="74"/>
  <c r="AA46" i="74"/>
  <c r="AB46" i="74"/>
  <c r="W45" i="74"/>
  <c r="X45" i="74"/>
  <c r="Y45" i="74"/>
  <c r="Z45" i="74"/>
  <c r="AA45" i="74"/>
  <c r="AB45" i="74"/>
  <c r="W44" i="74"/>
  <c r="X44" i="74"/>
  <c r="Y44" i="74"/>
  <c r="Z44" i="74"/>
  <c r="AA44" i="74"/>
  <c r="AB44" i="74"/>
  <c r="V44" i="74"/>
  <c r="W43" i="74"/>
  <c r="X43" i="74"/>
  <c r="Y43" i="74"/>
  <c r="Z43" i="74"/>
  <c r="AA43" i="74"/>
  <c r="AB43" i="74"/>
  <c r="V43" i="74"/>
  <c r="W42" i="74"/>
  <c r="X42" i="74"/>
  <c r="Y42" i="74"/>
  <c r="Z42" i="74"/>
  <c r="AB42" i="74"/>
  <c r="V42" i="74"/>
  <c r="W41" i="74"/>
  <c r="X41" i="74"/>
  <c r="Y41" i="74"/>
  <c r="Z41" i="74"/>
  <c r="AA41" i="74"/>
  <c r="AB41" i="74"/>
  <c r="V41" i="74"/>
  <c r="AB40" i="74"/>
  <c r="W39" i="74"/>
  <c r="X39" i="74"/>
  <c r="Y39" i="74"/>
  <c r="Z39" i="74"/>
  <c r="AA39" i="74"/>
  <c r="AB39" i="74"/>
  <c r="V39" i="74"/>
  <c r="AB38" i="74"/>
  <c r="W37" i="74"/>
  <c r="X37" i="74"/>
  <c r="Y37" i="74"/>
  <c r="Z37" i="74"/>
  <c r="AA37" i="74"/>
  <c r="AB37" i="74"/>
  <c r="V37" i="74"/>
  <c r="W36" i="74"/>
  <c r="X36" i="74"/>
  <c r="Y36" i="74"/>
  <c r="Z36" i="74"/>
  <c r="AA36" i="74"/>
  <c r="AB36" i="74"/>
  <c r="V36" i="74"/>
  <c r="W35" i="74"/>
  <c r="X35" i="74"/>
  <c r="Y35" i="74"/>
  <c r="Z35" i="74"/>
  <c r="AA35" i="74"/>
  <c r="AB35" i="74"/>
  <c r="V35" i="74"/>
  <c r="AB34" i="74"/>
  <c r="W33" i="74"/>
  <c r="X33" i="74"/>
  <c r="Y33" i="74"/>
  <c r="Z33" i="74"/>
  <c r="AA33" i="74"/>
  <c r="AB33" i="74"/>
  <c r="V33" i="74"/>
  <c r="AB32" i="74"/>
  <c r="V31" i="74"/>
  <c r="AB30" i="74"/>
  <c r="V28" i="74"/>
  <c r="AA27" i="74"/>
  <c r="AB27" i="74"/>
  <c r="X22" i="74"/>
  <c r="Y22" i="74"/>
  <c r="Z22" i="74"/>
  <c r="AA22" i="74"/>
  <c r="AB22" i="74"/>
  <c r="W25" i="74"/>
  <c r="X25" i="74"/>
  <c r="Y25" i="74"/>
  <c r="Z25" i="74"/>
  <c r="AA25" i="74"/>
  <c r="AB25" i="74"/>
  <c r="AB26" i="74" s="1"/>
  <c r="W24" i="74"/>
  <c r="Z24" i="74"/>
  <c r="AA24" i="74"/>
  <c r="AB24" i="74"/>
  <c r="W23" i="74"/>
  <c r="X23" i="74"/>
  <c r="Y23" i="74"/>
  <c r="Z23" i="74"/>
  <c r="AA23" i="74"/>
  <c r="AB23" i="74"/>
  <c r="V25" i="74"/>
  <c r="V22" i="74"/>
  <c r="W21" i="74"/>
  <c r="X21" i="74"/>
  <c r="Y21" i="74"/>
  <c r="Z21" i="74"/>
  <c r="AA21" i="74"/>
  <c r="AB21" i="74"/>
  <c r="AB20" i="74"/>
  <c r="W19" i="74"/>
  <c r="X19" i="74"/>
  <c r="Y19" i="74"/>
  <c r="Z19" i="74"/>
  <c r="AA19" i="74"/>
  <c r="AB19" i="74"/>
  <c r="V21" i="74"/>
  <c r="V20" i="74"/>
  <c r="V19" i="74"/>
  <c r="AB18" i="74"/>
  <c r="AB17" i="74"/>
  <c r="W16" i="74"/>
  <c r="Y16" i="74"/>
  <c r="AB16" i="74"/>
  <c r="V16" i="74"/>
  <c r="X15" i="74"/>
  <c r="Y15" i="74"/>
  <c r="Z15" i="74"/>
  <c r="AA15" i="74"/>
  <c r="AB15" i="74"/>
  <c r="V15" i="74"/>
  <c r="W14" i="74"/>
  <c r="X14" i="74"/>
  <c r="Y14" i="74"/>
  <c r="Z14" i="74"/>
  <c r="AA14" i="74"/>
  <c r="AB14" i="74"/>
  <c r="V14" i="74"/>
  <c r="W13" i="74"/>
  <c r="X13" i="74"/>
  <c r="Y13" i="74"/>
  <c r="Z13" i="74"/>
  <c r="AA13" i="74"/>
  <c r="AB13" i="74"/>
  <c r="V13" i="74"/>
  <c r="AA12" i="74"/>
  <c r="AB12" i="74"/>
  <c r="AA10" i="74"/>
  <c r="AB10" i="74"/>
  <c r="W9" i="74"/>
  <c r="X9" i="74"/>
  <c r="Y9" i="74"/>
  <c r="Z9" i="74"/>
  <c r="AA9" i="74"/>
  <c r="AB9" i="74"/>
  <c r="W8" i="74"/>
  <c r="X8" i="74"/>
  <c r="Y8" i="74"/>
  <c r="Z8" i="74"/>
  <c r="AA8" i="74"/>
  <c r="AB8" i="74"/>
  <c r="V9" i="74"/>
  <c r="V8" i="74"/>
  <c r="AB7" i="74"/>
  <c r="W6" i="74"/>
  <c r="X6" i="74"/>
  <c r="Y6" i="74"/>
  <c r="Z6" i="74"/>
  <c r="AA6" i="74"/>
  <c r="AB6" i="74"/>
  <c r="V6" i="74"/>
  <c r="W5" i="74"/>
  <c r="X5" i="74"/>
  <c r="Y5" i="74"/>
  <c r="Z5" i="74"/>
  <c r="AA5" i="74"/>
  <c r="AB5" i="74"/>
  <c r="W4" i="74"/>
  <c r="X4" i="74"/>
  <c r="Y4" i="74"/>
  <c r="Z4" i="74"/>
  <c r="AA4" i="74"/>
  <c r="AB4" i="74"/>
  <c r="V4" i="74"/>
  <c r="AB31" i="74"/>
  <c r="AA31" i="74"/>
  <c r="Z31" i="74"/>
  <c r="Y31" i="74"/>
  <c r="X31" i="74"/>
  <c r="W31" i="74"/>
  <c r="AB29" i="74"/>
  <c r="AA29" i="74"/>
  <c r="Z29" i="74"/>
  <c r="Y29" i="74"/>
  <c r="X29" i="74"/>
  <c r="W29" i="74"/>
  <c r="V29" i="74"/>
  <c r="AB28" i="74"/>
  <c r="AA28" i="74"/>
  <c r="Z28" i="74"/>
  <c r="Y28" i="74"/>
  <c r="X28" i="74"/>
  <c r="W28" i="74"/>
  <c r="AA26" i="74"/>
  <c r="Z26" i="74"/>
  <c r="Y26" i="74"/>
  <c r="X26" i="74"/>
  <c r="W26" i="74"/>
  <c r="V26" i="74"/>
  <c r="H25" i="75" l="1"/>
  <c r="G28" i="75"/>
  <c r="M11" i="75"/>
  <c r="I26" i="75"/>
  <c r="G41" i="75"/>
  <c r="G43" i="75"/>
  <c r="G26" i="75"/>
  <c r="G37" i="75"/>
  <c r="G9" i="75"/>
  <c r="G25" i="75"/>
  <c r="G35" i="75"/>
  <c r="G44" i="75"/>
  <c r="G8" i="75"/>
  <c r="G19" i="75"/>
  <c r="I28" i="75"/>
  <c r="I31" i="75"/>
  <c r="I29" i="75"/>
  <c r="I14" i="75"/>
  <c r="G13" i="75"/>
  <c r="I13" i="75"/>
  <c r="U21" i="75"/>
  <c r="H21" i="75" s="1"/>
  <c r="I35" i="75"/>
  <c r="I41" i="75"/>
  <c r="I8" i="75"/>
  <c r="I51" i="75"/>
  <c r="I19" i="75"/>
  <c r="I21" i="75"/>
  <c r="G29" i="75"/>
  <c r="H36" i="75"/>
  <c r="I36" i="75"/>
  <c r="I37" i="75"/>
  <c r="I39" i="75"/>
  <c r="I50" i="75"/>
  <c r="I53" i="75"/>
  <c r="G54" i="75"/>
  <c r="G6" i="75"/>
  <c r="X6" i="75" s="1"/>
  <c r="I9" i="75"/>
  <c r="I25" i="75"/>
  <c r="G33" i="75"/>
  <c r="I33" i="75"/>
  <c r="I43" i="75"/>
  <c r="I44" i="75"/>
  <c r="G31" i="75"/>
  <c r="G36" i="75"/>
  <c r="G52" i="75"/>
  <c r="I48" i="75"/>
  <c r="I54" i="75"/>
  <c r="AB55" i="75"/>
  <c r="I47" i="75"/>
  <c r="I49" i="75"/>
  <c r="I52" i="75"/>
  <c r="T21" i="75"/>
  <c r="U35" i="75"/>
  <c r="H35" i="75" s="1"/>
  <c r="I28" i="74"/>
  <c r="I4" i="74"/>
  <c r="I37" i="74"/>
  <c r="I39" i="74"/>
  <c r="I41" i="74"/>
  <c r="I54" i="74"/>
  <c r="I49" i="74"/>
  <c r="I44" i="74"/>
  <c r="I48" i="74"/>
  <c r="I6" i="74"/>
  <c r="I8" i="74"/>
  <c r="I19" i="74"/>
  <c r="I36" i="74"/>
  <c r="I43" i="74"/>
  <c r="I47" i="74"/>
  <c r="I31" i="74"/>
  <c r="I9" i="74"/>
  <c r="I14" i="74"/>
  <c r="I25" i="74"/>
  <c r="I33" i="74"/>
  <c r="I35" i="74"/>
  <c r="I13" i="74"/>
  <c r="I21" i="74"/>
  <c r="I52" i="74"/>
  <c r="I50" i="74"/>
  <c r="I51" i="74"/>
  <c r="I53" i="74"/>
  <c r="I26" i="74"/>
  <c r="I29" i="74"/>
  <c r="P54" i="74"/>
  <c r="Q54" i="74"/>
  <c r="R54" i="74"/>
  <c r="S54" i="74"/>
  <c r="T54" i="74"/>
  <c r="U54" i="74"/>
  <c r="H54" i="74" s="1"/>
  <c r="O54" i="74"/>
  <c r="P23" i="74"/>
  <c r="Q23" i="74"/>
  <c r="R23" i="74"/>
  <c r="S23" i="74"/>
  <c r="T23" i="74"/>
  <c r="U23" i="74"/>
  <c r="H23" i="74" s="1"/>
  <c r="L55" i="74"/>
  <c r="K55" i="74"/>
  <c r="J55" i="74"/>
  <c r="U53" i="74"/>
  <c r="H53" i="74" s="1"/>
  <c r="S53" i="74"/>
  <c r="O53" i="74"/>
  <c r="U52" i="74"/>
  <c r="H52" i="74" s="1"/>
  <c r="T52" i="74"/>
  <c r="S52" i="74"/>
  <c r="R52" i="74"/>
  <c r="Q52" i="74"/>
  <c r="P52" i="74"/>
  <c r="O52" i="74"/>
  <c r="U51" i="74"/>
  <c r="H51" i="74" s="1"/>
  <c r="S51" i="74"/>
  <c r="O51" i="74"/>
  <c r="U50" i="74"/>
  <c r="H50" i="74" s="1"/>
  <c r="T50" i="74"/>
  <c r="R50" i="74"/>
  <c r="Q50" i="74"/>
  <c r="P50" i="74"/>
  <c r="O50" i="74"/>
  <c r="U49" i="74"/>
  <c r="H49" i="74" s="1"/>
  <c r="Q49" i="74"/>
  <c r="P49" i="74"/>
  <c r="U48" i="74"/>
  <c r="H48" i="74" s="1"/>
  <c r="T48" i="74"/>
  <c r="S48" i="74"/>
  <c r="R48" i="74"/>
  <c r="Q48" i="74"/>
  <c r="P48" i="74"/>
  <c r="Q47" i="74"/>
  <c r="U46" i="74"/>
  <c r="T46" i="74"/>
  <c r="S46" i="74"/>
  <c r="R46" i="74"/>
  <c r="H46" i="74"/>
  <c r="U45" i="74"/>
  <c r="H45" i="74" s="1"/>
  <c r="T45" i="74"/>
  <c r="S45" i="74"/>
  <c r="R45" i="74"/>
  <c r="Q45" i="74"/>
  <c r="P45" i="74"/>
  <c r="U44" i="74"/>
  <c r="H44" i="74" s="1"/>
  <c r="T44" i="74"/>
  <c r="S44" i="74"/>
  <c r="R44" i="74"/>
  <c r="Q44" i="74"/>
  <c r="P44" i="74"/>
  <c r="O44" i="74"/>
  <c r="U43" i="74"/>
  <c r="H43" i="74" s="1"/>
  <c r="T43" i="74"/>
  <c r="S43" i="74"/>
  <c r="R43" i="74"/>
  <c r="Q43" i="74"/>
  <c r="P43" i="74"/>
  <c r="O43" i="74"/>
  <c r="U42" i="74"/>
  <c r="H42" i="74" s="1"/>
  <c r="S42" i="74"/>
  <c r="R42" i="74"/>
  <c r="Q42" i="74"/>
  <c r="P42" i="74"/>
  <c r="O42" i="74"/>
  <c r="U41" i="74"/>
  <c r="H41" i="74" s="1"/>
  <c r="T41" i="74"/>
  <c r="S41" i="74"/>
  <c r="R41" i="74"/>
  <c r="Q41" i="74"/>
  <c r="P41" i="74"/>
  <c r="O41" i="74"/>
  <c r="U40" i="74"/>
  <c r="H40" i="74" s="1"/>
  <c r="H39" i="74"/>
  <c r="G39" i="74"/>
  <c r="U38" i="74"/>
  <c r="H38" i="74" s="1"/>
  <c r="T37" i="74"/>
  <c r="S37" i="74"/>
  <c r="R37" i="74"/>
  <c r="Q37" i="74"/>
  <c r="P37" i="74"/>
  <c r="O37" i="74"/>
  <c r="U36" i="74"/>
  <c r="U37" i="74" s="1"/>
  <c r="H37" i="74" s="1"/>
  <c r="T36" i="74"/>
  <c r="S36" i="74"/>
  <c r="R36" i="74"/>
  <c r="Q36" i="74"/>
  <c r="P36" i="74"/>
  <c r="O36" i="74"/>
  <c r="T35" i="74"/>
  <c r="S35" i="74"/>
  <c r="R35" i="74"/>
  <c r="Q35" i="74"/>
  <c r="P35" i="74"/>
  <c r="O35" i="74"/>
  <c r="U34" i="74"/>
  <c r="U35" i="74" s="1"/>
  <c r="H35" i="74" s="1"/>
  <c r="U33" i="74"/>
  <c r="H33" i="74" s="1"/>
  <c r="T33" i="74"/>
  <c r="S33" i="74"/>
  <c r="R33" i="74"/>
  <c r="Q33" i="74"/>
  <c r="P33" i="74"/>
  <c r="O33" i="74"/>
  <c r="U32" i="74"/>
  <c r="H32" i="74" s="1"/>
  <c r="U31" i="74"/>
  <c r="H31" i="74" s="1"/>
  <c r="T31" i="74"/>
  <c r="S31" i="74"/>
  <c r="R31" i="74"/>
  <c r="Q31" i="74"/>
  <c r="P31" i="74"/>
  <c r="O31" i="74"/>
  <c r="U30" i="74"/>
  <c r="H30" i="74" s="1"/>
  <c r="U29" i="74"/>
  <c r="H29" i="74" s="1"/>
  <c r="T29" i="74"/>
  <c r="S29" i="74"/>
  <c r="R29" i="74"/>
  <c r="Q29" i="74"/>
  <c r="P29" i="74"/>
  <c r="O29" i="74"/>
  <c r="U28" i="74"/>
  <c r="H28" i="74" s="1"/>
  <c r="T28" i="74"/>
  <c r="S28" i="74"/>
  <c r="R28" i="74"/>
  <c r="Q28" i="74"/>
  <c r="P28" i="74"/>
  <c r="O28" i="74"/>
  <c r="U27" i="74"/>
  <c r="H27" i="74" s="1"/>
  <c r="T27" i="74"/>
  <c r="T26" i="74"/>
  <c r="S26" i="74"/>
  <c r="R26" i="74"/>
  <c r="Q26" i="74"/>
  <c r="P26" i="74"/>
  <c r="O26" i="74"/>
  <c r="U25" i="74"/>
  <c r="U26" i="74" s="1"/>
  <c r="H26" i="74" s="1"/>
  <c r="T25" i="74"/>
  <c r="S25" i="74"/>
  <c r="R25" i="74"/>
  <c r="Q25" i="74"/>
  <c r="P25" i="74"/>
  <c r="O25" i="74"/>
  <c r="U24" i="74"/>
  <c r="H24" i="74" s="1"/>
  <c r="T24" i="74"/>
  <c r="S24" i="74"/>
  <c r="P24" i="74"/>
  <c r="U22" i="74"/>
  <c r="H22" i="74" s="1"/>
  <c r="T22" i="74"/>
  <c r="S22" i="74"/>
  <c r="R22" i="74"/>
  <c r="Q22" i="74"/>
  <c r="O22" i="74"/>
  <c r="U20" i="74"/>
  <c r="U21" i="74" s="1"/>
  <c r="H21" i="74" s="1"/>
  <c r="O20" i="74"/>
  <c r="U19" i="74"/>
  <c r="H19" i="74" s="1"/>
  <c r="T19" i="74"/>
  <c r="S19" i="74"/>
  <c r="R19" i="74"/>
  <c r="Q19" i="74"/>
  <c r="P19" i="74"/>
  <c r="O19" i="74"/>
  <c r="U18" i="74"/>
  <c r="H18" i="74" s="1"/>
  <c r="U17" i="74"/>
  <c r="H17" i="74" s="1"/>
  <c r="U16" i="74"/>
  <c r="H16" i="74" s="1"/>
  <c r="R16" i="74"/>
  <c r="P16" i="74"/>
  <c r="O16" i="74"/>
  <c r="U15" i="74"/>
  <c r="H15" i="74" s="1"/>
  <c r="T15" i="74"/>
  <c r="S15" i="74"/>
  <c r="R15" i="74"/>
  <c r="Q15" i="74"/>
  <c r="O15" i="74"/>
  <c r="U14" i="74"/>
  <c r="H14" i="74" s="1"/>
  <c r="T14" i="74"/>
  <c r="U13" i="74"/>
  <c r="H13" i="74" s="1"/>
  <c r="T13" i="74"/>
  <c r="S13" i="74"/>
  <c r="R13" i="74"/>
  <c r="Q13" i="74"/>
  <c r="P13" i="74"/>
  <c r="O13" i="74"/>
  <c r="U12" i="74"/>
  <c r="H12" i="74" s="1"/>
  <c r="T12" i="74"/>
  <c r="H11" i="74"/>
  <c r="G11" i="74"/>
  <c r="U10" i="74"/>
  <c r="H10" i="74" s="1"/>
  <c r="T10" i="74"/>
  <c r="U9" i="74"/>
  <c r="H9" i="74" s="1"/>
  <c r="T9" i="74"/>
  <c r="S9" i="74"/>
  <c r="R9" i="74"/>
  <c r="Q9" i="74"/>
  <c r="P9" i="74"/>
  <c r="O9" i="74"/>
  <c r="U8" i="74"/>
  <c r="H8" i="74" s="1"/>
  <c r="T8" i="74"/>
  <c r="S8" i="74"/>
  <c r="R8" i="74"/>
  <c r="Q8" i="74"/>
  <c r="P8" i="74"/>
  <c r="O8" i="74"/>
  <c r="U7" i="74"/>
  <c r="H7" i="74" s="1"/>
  <c r="U6" i="74"/>
  <c r="H6" i="74" s="1"/>
  <c r="T6" i="74"/>
  <c r="S6" i="74"/>
  <c r="R6" i="74"/>
  <c r="Q6" i="74"/>
  <c r="P6" i="74"/>
  <c r="O6" i="74"/>
  <c r="U5" i="74"/>
  <c r="H5" i="74" s="1"/>
  <c r="T5" i="74"/>
  <c r="S5" i="74"/>
  <c r="R5" i="74"/>
  <c r="Q5" i="74"/>
  <c r="P5" i="74"/>
  <c r="U4" i="74"/>
  <c r="T4" i="74"/>
  <c r="S4" i="74"/>
  <c r="R4" i="74"/>
  <c r="Q4" i="74"/>
  <c r="P4" i="74"/>
  <c r="O4" i="74"/>
  <c r="P46" i="73"/>
  <c r="Q46" i="73"/>
  <c r="U46" i="73"/>
  <c r="H46" i="73" s="1"/>
  <c r="O46" i="73"/>
  <c r="O24" i="73"/>
  <c r="P14" i="73"/>
  <c r="U14" i="73"/>
  <c r="H14" i="73" s="1"/>
  <c r="L55" i="73"/>
  <c r="K55" i="73"/>
  <c r="J55" i="73"/>
  <c r="I55" i="73"/>
  <c r="U54" i="73"/>
  <c r="H54" i="73" s="1"/>
  <c r="T54" i="73"/>
  <c r="S54" i="73"/>
  <c r="R54" i="73"/>
  <c r="Q54" i="73"/>
  <c r="P54" i="73"/>
  <c r="O54" i="73"/>
  <c r="U53" i="73"/>
  <c r="H53" i="73" s="1"/>
  <c r="U52" i="73"/>
  <c r="H52" i="73" s="1"/>
  <c r="T52" i="73"/>
  <c r="S52" i="73"/>
  <c r="R52" i="73"/>
  <c r="Q52" i="73"/>
  <c r="P52" i="73"/>
  <c r="O52" i="73"/>
  <c r="T51" i="73"/>
  <c r="S51" i="73"/>
  <c r="R51" i="73"/>
  <c r="U50" i="73"/>
  <c r="H50" i="73" s="1"/>
  <c r="T50" i="73"/>
  <c r="S50" i="73"/>
  <c r="R50" i="73"/>
  <c r="U49" i="73"/>
  <c r="H49" i="73" s="1"/>
  <c r="T49" i="73"/>
  <c r="R49" i="73"/>
  <c r="U48" i="73"/>
  <c r="H48" i="73" s="1"/>
  <c r="T48" i="73"/>
  <c r="S48" i="73"/>
  <c r="R48" i="73"/>
  <c r="Q48" i="73"/>
  <c r="P48" i="73"/>
  <c r="T47" i="73"/>
  <c r="S47" i="73"/>
  <c r="T45" i="73"/>
  <c r="S45" i="73"/>
  <c r="R45" i="73"/>
  <c r="Q45" i="73"/>
  <c r="O45" i="73"/>
  <c r="U44" i="73"/>
  <c r="H44" i="73" s="1"/>
  <c r="T44" i="73"/>
  <c r="S44" i="73"/>
  <c r="R44" i="73"/>
  <c r="Q44" i="73"/>
  <c r="P44" i="73"/>
  <c r="O44" i="73"/>
  <c r="U43" i="73"/>
  <c r="H43" i="73" s="1"/>
  <c r="T43" i="73"/>
  <c r="S43" i="73"/>
  <c r="R43" i="73"/>
  <c r="Q43" i="73"/>
  <c r="P43" i="73"/>
  <c r="O43" i="73"/>
  <c r="U42" i="73"/>
  <c r="H42" i="73" s="1"/>
  <c r="S42" i="73"/>
  <c r="R42" i="73"/>
  <c r="O42" i="73"/>
  <c r="U41" i="73"/>
  <c r="H41" i="73" s="1"/>
  <c r="T41" i="73"/>
  <c r="S41" i="73"/>
  <c r="R41" i="73"/>
  <c r="Q41" i="73"/>
  <c r="P41" i="73"/>
  <c r="O41" i="73"/>
  <c r="U40" i="73"/>
  <c r="H40" i="73" s="1"/>
  <c r="O40" i="73"/>
  <c r="H39" i="73"/>
  <c r="G39" i="73"/>
  <c r="U38" i="73"/>
  <c r="H38" i="73" s="1"/>
  <c r="P38" i="73"/>
  <c r="O38" i="73"/>
  <c r="T37" i="73"/>
  <c r="S37" i="73"/>
  <c r="R37" i="73"/>
  <c r="Q37" i="73"/>
  <c r="P37" i="73"/>
  <c r="O37" i="73"/>
  <c r="U36" i="73"/>
  <c r="U37" i="73" s="1"/>
  <c r="H37" i="73" s="1"/>
  <c r="T36" i="73"/>
  <c r="S36" i="73"/>
  <c r="R36" i="73"/>
  <c r="Q36" i="73"/>
  <c r="P36" i="73"/>
  <c r="O36" i="73"/>
  <c r="T35" i="73"/>
  <c r="S35" i="73"/>
  <c r="R35" i="73"/>
  <c r="Q35" i="73"/>
  <c r="P35" i="73"/>
  <c r="O35" i="73"/>
  <c r="U34" i="73"/>
  <c r="U35" i="73" s="1"/>
  <c r="H35" i="73" s="1"/>
  <c r="R34" i="73"/>
  <c r="O34" i="73"/>
  <c r="U33" i="73"/>
  <c r="H33" i="73" s="1"/>
  <c r="T33" i="73"/>
  <c r="S33" i="73"/>
  <c r="R33" i="73"/>
  <c r="Q33" i="73"/>
  <c r="P33" i="73"/>
  <c r="O33" i="73"/>
  <c r="U32" i="73"/>
  <c r="H32" i="73" s="1"/>
  <c r="O32" i="73"/>
  <c r="U31" i="73"/>
  <c r="H31" i="73" s="1"/>
  <c r="T31" i="73"/>
  <c r="S31" i="73"/>
  <c r="R31" i="73"/>
  <c r="Q31" i="73"/>
  <c r="P31" i="73"/>
  <c r="O31" i="73"/>
  <c r="U30" i="73"/>
  <c r="H30" i="73" s="1"/>
  <c r="T30" i="73"/>
  <c r="U29" i="73"/>
  <c r="H29" i="73" s="1"/>
  <c r="T29" i="73"/>
  <c r="S29" i="73"/>
  <c r="R29" i="73"/>
  <c r="Q29" i="73"/>
  <c r="P29" i="73"/>
  <c r="O29" i="73"/>
  <c r="U28" i="73"/>
  <c r="H28" i="73" s="1"/>
  <c r="T28" i="73"/>
  <c r="S28" i="73"/>
  <c r="R28" i="73"/>
  <c r="Q28" i="73"/>
  <c r="P28" i="73"/>
  <c r="O28" i="73"/>
  <c r="U27" i="73"/>
  <c r="H27" i="73" s="1"/>
  <c r="T27" i="73"/>
  <c r="T26" i="73"/>
  <c r="S26" i="73"/>
  <c r="R26" i="73"/>
  <c r="Q26" i="73"/>
  <c r="P26" i="73"/>
  <c r="O26" i="73"/>
  <c r="U25" i="73"/>
  <c r="H25" i="73" s="1"/>
  <c r="T25" i="73"/>
  <c r="S25" i="73"/>
  <c r="R25" i="73"/>
  <c r="Q25" i="73"/>
  <c r="P25" i="73"/>
  <c r="O25" i="73"/>
  <c r="U24" i="73"/>
  <c r="H24" i="73" s="1"/>
  <c r="T24" i="73"/>
  <c r="Q24" i="73"/>
  <c r="U23" i="73"/>
  <c r="H23" i="73" s="1"/>
  <c r="T23" i="73"/>
  <c r="S23" i="73"/>
  <c r="R23" i="73"/>
  <c r="Q23" i="73"/>
  <c r="P23" i="73"/>
  <c r="O23" i="73"/>
  <c r="U22" i="73"/>
  <c r="H22" i="73" s="1"/>
  <c r="T22" i="73"/>
  <c r="S22" i="73"/>
  <c r="R22" i="73"/>
  <c r="Q22" i="73"/>
  <c r="P22" i="73"/>
  <c r="O22" i="73"/>
  <c r="U20" i="73"/>
  <c r="U21" i="73" s="1"/>
  <c r="H21" i="73" s="1"/>
  <c r="T20" i="73"/>
  <c r="S20" i="73"/>
  <c r="R20" i="73"/>
  <c r="Q20" i="73"/>
  <c r="U19" i="73"/>
  <c r="H19" i="73" s="1"/>
  <c r="T19" i="73"/>
  <c r="S19" i="73"/>
  <c r="R19" i="73"/>
  <c r="Q19" i="73"/>
  <c r="P19" i="73"/>
  <c r="O19" i="73"/>
  <c r="U18" i="73"/>
  <c r="H18" i="73" s="1"/>
  <c r="T18" i="73"/>
  <c r="S18" i="73"/>
  <c r="U16" i="73"/>
  <c r="H16" i="73" s="1"/>
  <c r="T16" i="73"/>
  <c r="S16" i="73"/>
  <c r="P16" i="73"/>
  <c r="O16" i="73"/>
  <c r="T15" i="73"/>
  <c r="S15" i="73"/>
  <c r="U13" i="73"/>
  <c r="H13" i="73" s="1"/>
  <c r="T13" i="73"/>
  <c r="S13" i="73"/>
  <c r="R13" i="73"/>
  <c r="Q13" i="73"/>
  <c r="P13" i="73"/>
  <c r="U12" i="73"/>
  <c r="H12" i="73" s="1"/>
  <c r="P12" i="73"/>
  <c r="O12" i="73"/>
  <c r="H11" i="73"/>
  <c r="G11" i="73"/>
  <c r="U10" i="73"/>
  <c r="H10" i="73" s="1"/>
  <c r="T10" i="73"/>
  <c r="U9" i="73"/>
  <c r="H9" i="73" s="1"/>
  <c r="T9" i="73"/>
  <c r="S9" i="73"/>
  <c r="R9" i="73"/>
  <c r="Q9" i="73"/>
  <c r="P9" i="73"/>
  <c r="O9" i="73"/>
  <c r="U8" i="73"/>
  <c r="H8" i="73" s="1"/>
  <c r="T8" i="73"/>
  <c r="S8" i="73"/>
  <c r="R8" i="73"/>
  <c r="Q8" i="73"/>
  <c r="P8" i="73"/>
  <c r="O8" i="73"/>
  <c r="U6" i="73"/>
  <c r="H6" i="73" s="1"/>
  <c r="T6" i="73"/>
  <c r="S6" i="73"/>
  <c r="R6" i="73"/>
  <c r="Q6" i="73"/>
  <c r="P6" i="73"/>
  <c r="O6" i="73"/>
  <c r="U5" i="73"/>
  <c r="H5" i="73" s="1"/>
  <c r="T5" i="73"/>
  <c r="S5" i="73"/>
  <c r="R5" i="73"/>
  <c r="Q5" i="73"/>
  <c r="P5" i="73"/>
  <c r="O5" i="73"/>
  <c r="U4" i="73"/>
  <c r="H4" i="73" s="1"/>
  <c r="H11" i="72"/>
  <c r="H39" i="72"/>
  <c r="P15" i="72"/>
  <c r="P12" i="72"/>
  <c r="Q12" i="72"/>
  <c r="R12" i="72"/>
  <c r="S12" i="72"/>
  <c r="T12" i="72"/>
  <c r="U12" i="72"/>
  <c r="H12" i="72" s="1"/>
  <c r="P14" i="72"/>
  <c r="Q14" i="72"/>
  <c r="T14" i="72"/>
  <c r="U14" i="72"/>
  <c r="H14" i="72" s="1"/>
  <c r="L55" i="72"/>
  <c r="K55" i="72"/>
  <c r="J55" i="72"/>
  <c r="I55" i="72"/>
  <c r="U54" i="72"/>
  <c r="H54" i="72" s="1"/>
  <c r="T54" i="72"/>
  <c r="S54" i="72"/>
  <c r="R54" i="72"/>
  <c r="Q54" i="72"/>
  <c r="P54" i="72"/>
  <c r="O54" i="72"/>
  <c r="U53" i="72"/>
  <c r="H53" i="72" s="1"/>
  <c r="S53" i="72"/>
  <c r="R53" i="72"/>
  <c r="Q53" i="72"/>
  <c r="P53" i="72"/>
  <c r="U52" i="72"/>
  <c r="H52" i="72" s="1"/>
  <c r="T52" i="72"/>
  <c r="S52" i="72"/>
  <c r="R52" i="72"/>
  <c r="Q52" i="72"/>
  <c r="P52" i="72"/>
  <c r="O52" i="72"/>
  <c r="T51" i="72"/>
  <c r="S51" i="72"/>
  <c r="R51" i="72"/>
  <c r="Q51" i="72"/>
  <c r="P51" i="72"/>
  <c r="U50" i="72"/>
  <c r="H50" i="72" s="1"/>
  <c r="T50" i="72"/>
  <c r="S50" i="72"/>
  <c r="R50" i="72"/>
  <c r="U49" i="72"/>
  <c r="H49" i="72" s="1"/>
  <c r="T49" i="72"/>
  <c r="R49" i="72"/>
  <c r="U48" i="72"/>
  <c r="H48" i="72" s="1"/>
  <c r="T48" i="72"/>
  <c r="S48" i="72"/>
  <c r="R48" i="72"/>
  <c r="Q48" i="72"/>
  <c r="P48" i="72"/>
  <c r="T47" i="72"/>
  <c r="S47" i="72"/>
  <c r="R47" i="72"/>
  <c r="U46" i="72"/>
  <c r="H46" i="72" s="1"/>
  <c r="T46" i="72"/>
  <c r="S46" i="72"/>
  <c r="R46" i="72"/>
  <c r="Q46" i="72"/>
  <c r="P46" i="72"/>
  <c r="O46" i="72"/>
  <c r="T45" i="72"/>
  <c r="S45" i="72"/>
  <c r="R45" i="72"/>
  <c r="Q45" i="72"/>
  <c r="O45" i="72"/>
  <c r="U44" i="72"/>
  <c r="H44" i="72" s="1"/>
  <c r="T44" i="72"/>
  <c r="S44" i="72"/>
  <c r="R44" i="72"/>
  <c r="Q44" i="72"/>
  <c r="P44" i="72"/>
  <c r="O44" i="72"/>
  <c r="U43" i="72"/>
  <c r="H43" i="72" s="1"/>
  <c r="T43" i="72"/>
  <c r="S43" i="72"/>
  <c r="R43" i="72"/>
  <c r="Q43" i="72"/>
  <c r="P43" i="72"/>
  <c r="O43" i="72"/>
  <c r="U42" i="72"/>
  <c r="H42" i="72" s="1"/>
  <c r="S42" i="72"/>
  <c r="R42" i="72"/>
  <c r="Q42" i="72"/>
  <c r="P42" i="72"/>
  <c r="O42" i="72"/>
  <c r="U41" i="72"/>
  <c r="H41" i="72" s="1"/>
  <c r="T41" i="72"/>
  <c r="S41" i="72"/>
  <c r="R41" i="72"/>
  <c r="Q41" i="72"/>
  <c r="P41" i="72"/>
  <c r="O41" i="72"/>
  <c r="U40" i="72"/>
  <c r="H40" i="72" s="1"/>
  <c r="S40" i="72"/>
  <c r="R40" i="72"/>
  <c r="Q40" i="72"/>
  <c r="P40" i="72"/>
  <c r="O40" i="72"/>
  <c r="G39" i="72"/>
  <c r="U38" i="72"/>
  <c r="H38" i="72" s="1"/>
  <c r="S38" i="72"/>
  <c r="R38" i="72"/>
  <c r="Q38" i="72"/>
  <c r="P38" i="72"/>
  <c r="O38" i="72"/>
  <c r="T37" i="72"/>
  <c r="S37" i="72"/>
  <c r="R37" i="72"/>
  <c r="Q37" i="72"/>
  <c r="P37" i="72"/>
  <c r="O37" i="72"/>
  <c r="U36" i="72"/>
  <c r="U37" i="72" s="1"/>
  <c r="H37" i="72" s="1"/>
  <c r="T36" i="72"/>
  <c r="S36" i="72"/>
  <c r="R36" i="72"/>
  <c r="Q36" i="72"/>
  <c r="P36" i="72"/>
  <c r="O36" i="72"/>
  <c r="T35" i="72"/>
  <c r="S35" i="72"/>
  <c r="R35" i="72"/>
  <c r="Q35" i="72"/>
  <c r="P35" i="72"/>
  <c r="O35" i="72"/>
  <c r="U34" i="72"/>
  <c r="U35" i="72" s="1"/>
  <c r="H35" i="72" s="1"/>
  <c r="S34" i="72"/>
  <c r="R34" i="72"/>
  <c r="Q34" i="72"/>
  <c r="P34" i="72"/>
  <c r="O34" i="72"/>
  <c r="U33" i="72"/>
  <c r="H33" i="72" s="1"/>
  <c r="T33" i="72"/>
  <c r="S33" i="72"/>
  <c r="R33" i="72"/>
  <c r="Q33" i="72"/>
  <c r="P33" i="72"/>
  <c r="O33" i="72"/>
  <c r="U32" i="72"/>
  <c r="H32" i="72" s="1"/>
  <c r="S32" i="72"/>
  <c r="R32" i="72"/>
  <c r="Q32" i="72"/>
  <c r="P32" i="72"/>
  <c r="O32" i="72"/>
  <c r="U31" i="72"/>
  <c r="H31" i="72" s="1"/>
  <c r="T31" i="72"/>
  <c r="S31" i="72"/>
  <c r="R31" i="72"/>
  <c r="Q31" i="72"/>
  <c r="P31" i="72"/>
  <c r="O31" i="72"/>
  <c r="U30" i="72"/>
  <c r="H30" i="72" s="1"/>
  <c r="T30" i="72"/>
  <c r="S30" i="72"/>
  <c r="R30" i="72"/>
  <c r="Q30" i="72"/>
  <c r="U29" i="72"/>
  <c r="H29" i="72" s="1"/>
  <c r="T29" i="72"/>
  <c r="S29" i="72"/>
  <c r="R29" i="72"/>
  <c r="Q29" i="72"/>
  <c r="P29" i="72"/>
  <c r="O29" i="72"/>
  <c r="U28" i="72"/>
  <c r="H28" i="72" s="1"/>
  <c r="T28" i="72"/>
  <c r="S28" i="72"/>
  <c r="R28" i="72"/>
  <c r="Q28" i="72"/>
  <c r="P28" i="72"/>
  <c r="O28" i="72"/>
  <c r="U27" i="72"/>
  <c r="H27" i="72" s="1"/>
  <c r="T27" i="72"/>
  <c r="R27" i="72"/>
  <c r="O27" i="72"/>
  <c r="T26" i="72"/>
  <c r="S26" i="72"/>
  <c r="R26" i="72"/>
  <c r="Q26" i="72"/>
  <c r="P26" i="72"/>
  <c r="O26" i="72"/>
  <c r="U25" i="72"/>
  <c r="H25" i="72" s="1"/>
  <c r="T25" i="72"/>
  <c r="S25" i="72"/>
  <c r="R25" i="72"/>
  <c r="Q25" i="72"/>
  <c r="P25" i="72"/>
  <c r="O25" i="72"/>
  <c r="U24" i="72"/>
  <c r="H24" i="72" s="1"/>
  <c r="T24" i="72"/>
  <c r="S24" i="72"/>
  <c r="Q24" i="72"/>
  <c r="U23" i="72"/>
  <c r="H23" i="72" s="1"/>
  <c r="T23" i="72"/>
  <c r="S23" i="72"/>
  <c r="R23" i="72"/>
  <c r="Q23" i="72"/>
  <c r="P23" i="72"/>
  <c r="O23" i="72"/>
  <c r="U22" i="72"/>
  <c r="H22" i="72" s="1"/>
  <c r="T22" i="72"/>
  <c r="S22" i="72"/>
  <c r="R22" i="72"/>
  <c r="Q22" i="72"/>
  <c r="P22" i="72"/>
  <c r="O22" i="72"/>
  <c r="U20" i="72"/>
  <c r="U21" i="72" s="1"/>
  <c r="H21" i="72" s="1"/>
  <c r="T20" i="72"/>
  <c r="S20" i="72"/>
  <c r="R20" i="72"/>
  <c r="Q20" i="72"/>
  <c r="U19" i="72"/>
  <c r="H19" i="72" s="1"/>
  <c r="T19" i="72"/>
  <c r="S19" i="72"/>
  <c r="R19" i="72"/>
  <c r="Q19" i="72"/>
  <c r="P19" i="72"/>
  <c r="O19" i="72"/>
  <c r="U18" i="72"/>
  <c r="H18" i="72" s="1"/>
  <c r="T18" i="72"/>
  <c r="S18" i="72"/>
  <c r="R18" i="72"/>
  <c r="Q18" i="72"/>
  <c r="P18" i="72"/>
  <c r="O18" i="72"/>
  <c r="U16" i="72"/>
  <c r="H16" i="72" s="1"/>
  <c r="T16" i="72"/>
  <c r="S16" i="72"/>
  <c r="R16" i="72"/>
  <c r="Q16" i="72"/>
  <c r="P16" i="72"/>
  <c r="O16" i="72"/>
  <c r="T15" i="72"/>
  <c r="S15" i="72"/>
  <c r="U13" i="72"/>
  <c r="H13" i="72" s="1"/>
  <c r="T13" i="72"/>
  <c r="S13" i="72"/>
  <c r="R13" i="72"/>
  <c r="Q13" i="72"/>
  <c r="P13" i="72"/>
  <c r="O12" i="72"/>
  <c r="G11" i="72"/>
  <c r="U10" i="72"/>
  <c r="H10" i="72" s="1"/>
  <c r="T10" i="72"/>
  <c r="R10" i="72"/>
  <c r="Q10" i="72"/>
  <c r="U9" i="72"/>
  <c r="H9" i="72" s="1"/>
  <c r="T9" i="72"/>
  <c r="S9" i="72"/>
  <c r="R9" i="72"/>
  <c r="Q9" i="72"/>
  <c r="P9" i="72"/>
  <c r="O9" i="72"/>
  <c r="U8" i="72"/>
  <c r="H8" i="72" s="1"/>
  <c r="T8" i="72"/>
  <c r="S8" i="72"/>
  <c r="R8" i="72"/>
  <c r="Q8" i="72"/>
  <c r="P8" i="72"/>
  <c r="O8" i="72"/>
  <c r="S7" i="72"/>
  <c r="Q7" i="72"/>
  <c r="P7" i="72"/>
  <c r="U6" i="72"/>
  <c r="H6" i="72" s="1"/>
  <c r="T6" i="72"/>
  <c r="S6" i="72"/>
  <c r="R6" i="72"/>
  <c r="Q6" i="72"/>
  <c r="P6" i="72"/>
  <c r="O6" i="72"/>
  <c r="U5" i="72"/>
  <c r="H5" i="72" s="1"/>
  <c r="T5" i="72"/>
  <c r="S5" i="72"/>
  <c r="R5" i="72"/>
  <c r="Q5" i="72"/>
  <c r="P5" i="72"/>
  <c r="O5" i="72"/>
  <c r="U4" i="72"/>
  <c r="H4" i="72" s="1"/>
  <c r="S4" i="72"/>
  <c r="S21" i="72" s="1"/>
  <c r="R4" i="72"/>
  <c r="R21" i="72" s="1"/>
  <c r="P4" i="72"/>
  <c r="O4" i="72"/>
  <c r="O21" i="72" s="1"/>
  <c r="P54" i="71"/>
  <c r="Q54" i="71"/>
  <c r="R54" i="71"/>
  <c r="S54" i="71"/>
  <c r="T54" i="71"/>
  <c r="U54" i="71"/>
  <c r="H54" i="71" s="1"/>
  <c r="U53" i="71"/>
  <c r="H53" i="71" s="1"/>
  <c r="P52" i="71"/>
  <c r="R52" i="71"/>
  <c r="S52" i="71"/>
  <c r="U52" i="71"/>
  <c r="H52" i="71" s="1"/>
  <c r="Q51" i="71"/>
  <c r="R51" i="71"/>
  <c r="U51" i="71"/>
  <c r="H51" i="71" s="1"/>
  <c r="O54" i="71"/>
  <c r="O52" i="71"/>
  <c r="P50" i="71"/>
  <c r="Q50" i="71"/>
  <c r="S50" i="71"/>
  <c r="U50" i="71"/>
  <c r="H50" i="71" s="1"/>
  <c r="U49" i="71"/>
  <c r="H49" i="71" s="1"/>
  <c r="R48" i="71"/>
  <c r="T48" i="71"/>
  <c r="U48" i="71"/>
  <c r="H48" i="71" s="1"/>
  <c r="O50" i="71"/>
  <c r="O48" i="71"/>
  <c r="U47" i="71"/>
  <c r="H47" i="71" s="1"/>
  <c r="R45" i="71"/>
  <c r="S45" i="71"/>
  <c r="T45" i="71"/>
  <c r="U45" i="71"/>
  <c r="H45" i="71" s="1"/>
  <c r="P42" i="71"/>
  <c r="Q42" i="71"/>
  <c r="R42" i="71"/>
  <c r="S42" i="71"/>
  <c r="T42" i="71"/>
  <c r="U42" i="71"/>
  <c r="H42" i="71" s="1"/>
  <c r="O42" i="71"/>
  <c r="U40" i="71"/>
  <c r="H40" i="71" s="1"/>
  <c r="P38" i="71"/>
  <c r="Q38" i="71"/>
  <c r="U38" i="71"/>
  <c r="H38" i="71" s="1"/>
  <c r="O38" i="71"/>
  <c r="R36" i="71"/>
  <c r="S36" i="71"/>
  <c r="T36" i="71"/>
  <c r="U36" i="71"/>
  <c r="U37" i="71" s="1"/>
  <c r="H37" i="71" s="1"/>
  <c r="U34" i="71"/>
  <c r="U35" i="71" s="1"/>
  <c r="H35" i="71" s="1"/>
  <c r="P31" i="71"/>
  <c r="Q31" i="71"/>
  <c r="R31" i="71"/>
  <c r="S31" i="71"/>
  <c r="U31" i="71"/>
  <c r="O31" i="71"/>
  <c r="P33" i="71"/>
  <c r="Q33" i="71"/>
  <c r="R33" i="71"/>
  <c r="S33" i="71"/>
  <c r="T33" i="71"/>
  <c r="U33" i="71"/>
  <c r="O33" i="71"/>
  <c r="U32" i="71"/>
  <c r="H32" i="71" s="1"/>
  <c r="U30" i="71"/>
  <c r="S27" i="71"/>
  <c r="T27" i="71"/>
  <c r="U27" i="71"/>
  <c r="T24" i="71"/>
  <c r="U24" i="71"/>
  <c r="H24" i="71" s="1"/>
  <c r="R22" i="71"/>
  <c r="S22" i="71"/>
  <c r="T22" i="71"/>
  <c r="U22" i="71"/>
  <c r="H22" i="71" s="1"/>
  <c r="U20" i="71"/>
  <c r="U21" i="71" s="1"/>
  <c r="H21" i="71" s="1"/>
  <c r="S18" i="71"/>
  <c r="T18" i="71"/>
  <c r="U18" i="71"/>
  <c r="H18" i="71" s="1"/>
  <c r="U17" i="71"/>
  <c r="H17" i="71" s="1"/>
  <c r="R15" i="71"/>
  <c r="S15" i="71"/>
  <c r="T15" i="71"/>
  <c r="U15" i="71"/>
  <c r="O15" i="71"/>
  <c r="P16" i="71"/>
  <c r="Q16" i="71"/>
  <c r="T16" i="71"/>
  <c r="U16" i="71"/>
  <c r="O16" i="71"/>
  <c r="P13" i="71"/>
  <c r="Q13" i="71"/>
  <c r="R13" i="71"/>
  <c r="S13" i="71"/>
  <c r="T13" i="71"/>
  <c r="U13" i="71"/>
  <c r="O13" i="71"/>
  <c r="Q12" i="71"/>
  <c r="R12" i="71"/>
  <c r="S12" i="71"/>
  <c r="T12" i="71"/>
  <c r="U12" i="71"/>
  <c r="O12" i="71"/>
  <c r="T10" i="71"/>
  <c r="U10" i="71"/>
  <c r="H10" i="71" s="1"/>
  <c r="O10" i="71"/>
  <c r="P7" i="71"/>
  <c r="U7" i="71"/>
  <c r="H7" i="71" s="1"/>
  <c r="O7" i="71"/>
  <c r="P6" i="71"/>
  <c r="Q6" i="71"/>
  <c r="R6" i="71"/>
  <c r="S6" i="71"/>
  <c r="T6" i="71"/>
  <c r="U6" i="71"/>
  <c r="H6" i="71" s="1"/>
  <c r="P5" i="71"/>
  <c r="Q5" i="71"/>
  <c r="R5" i="71"/>
  <c r="S5" i="71"/>
  <c r="T5" i="71"/>
  <c r="U5" i="71"/>
  <c r="H5" i="71" s="1"/>
  <c r="O6" i="71"/>
  <c r="O5" i="71"/>
  <c r="T4" i="71"/>
  <c r="T21" i="71" s="1"/>
  <c r="U4" i="71"/>
  <c r="L55" i="71"/>
  <c r="K55" i="71"/>
  <c r="J55" i="71"/>
  <c r="I55" i="71"/>
  <c r="U46" i="71"/>
  <c r="H46" i="71" s="1"/>
  <c r="T46" i="71"/>
  <c r="S46" i="71"/>
  <c r="R46" i="71"/>
  <c r="Q46" i="71"/>
  <c r="P46" i="71"/>
  <c r="O46" i="71"/>
  <c r="U44" i="71"/>
  <c r="H44" i="71" s="1"/>
  <c r="T44" i="71"/>
  <c r="S44" i="71"/>
  <c r="R44" i="71"/>
  <c r="Q44" i="71"/>
  <c r="P44" i="71"/>
  <c r="O44" i="71"/>
  <c r="U43" i="71"/>
  <c r="H43" i="71" s="1"/>
  <c r="T43" i="71"/>
  <c r="S43" i="71"/>
  <c r="R43" i="71"/>
  <c r="Q43" i="71"/>
  <c r="P43" i="71"/>
  <c r="O43" i="71"/>
  <c r="U41" i="71"/>
  <c r="H41" i="71" s="1"/>
  <c r="T41" i="71"/>
  <c r="S41" i="71"/>
  <c r="R41" i="71"/>
  <c r="Q41" i="71"/>
  <c r="P41" i="71"/>
  <c r="O41" i="71"/>
  <c r="H39" i="71"/>
  <c r="G39" i="71"/>
  <c r="T37" i="71"/>
  <c r="S37" i="71"/>
  <c r="R37" i="71"/>
  <c r="Q37" i="71"/>
  <c r="P37" i="71"/>
  <c r="O37" i="71"/>
  <c r="T35" i="71"/>
  <c r="S35" i="71"/>
  <c r="R35" i="71"/>
  <c r="Q35" i="71"/>
  <c r="P35" i="71"/>
  <c r="O35" i="71"/>
  <c r="U29" i="71"/>
  <c r="S29" i="71"/>
  <c r="R29" i="71"/>
  <c r="Q29" i="71"/>
  <c r="P29" i="71"/>
  <c r="O29" i="71"/>
  <c r="U28" i="71"/>
  <c r="H28" i="71" s="1"/>
  <c r="T28" i="71"/>
  <c r="S28" i="71"/>
  <c r="R28" i="71"/>
  <c r="Q28" i="71"/>
  <c r="P28" i="71"/>
  <c r="O28" i="71"/>
  <c r="H27" i="71"/>
  <c r="T26" i="71"/>
  <c r="S26" i="71"/>
  <c r="R26" i="71"/>
  <c r="Q26" i="71"/>
  <c r="P26" i="71"/>
  <c r="O26" i="71"/>
  <c r="U25" i="71"/>
  <c r="U26" i="71" s="1"/>
  <c r="H26" i="71" s="1"/>
  <c r="T25" i="71"/>
  <c r="S25" i="71"/>
  <c r="R25" i="71"/>
  <c r="Q25" i="71"/>
  <c r="P25" i="71"/>
  <c r="O25" i="71"/>
  <c r="U23" i="71"/>
  <c r="H23" i="71" s="1"/>
  <c r="T23" i="71"/>
  <c r="S23" i="71"/>
  <c r="R23" i="71"/>
  <c r="Q23" i="71"/>
  <c r="P23" i="71"/>
  <c r="O23" i="71"/>
  <c r="U19" i="71"/>
  <c r="H19" i="71" s="1"/>
  <c r="T19" i="71"/>
  <c r="S19" i="71"/>
  <c r="R19" i="71"/>
  <c r="Q19" i="71"/>
  <c r="P19" i="71"/>
  <c r="O19" i="71"/>
  <c r="U14" i="71"/>
  <c r="T14" i="71"/>
  <c r="S14" i="71"/>
  <c r="R14" i="71"/>
  <c r="Q14" i="71"/>
  <c r="P14" i="71"/>
  <c r="O14" i="71"/>
  <c r="H11" i="71"/>
  <c r="G11" i="71"/>
  <c r="U9" i="71"/>
  <c r="H9" i="71" s="1"/>
  <c r="T9" i="71"/>
  <c r="S9" i="71"/>
  <c r="R9" i="71"/>
  <c r="Q9" i="71"/>
  <c r="P9" i="71"/>
  <c r="O9" i="71"/>
  <c r="U8" i="71"/>
  <c r="H8" i="71" s="1"/>
  <c r="T8" i="71"/>
  <c r="S8" i="71"/>
  <c r="R8" i="71"/>
  <c r="Q8" i="71"/>
  <c r="P8" i="71"/>
  <c r="O8" i="71"/>
  <c r="S7" i="70"/>
  <c r="T52" i="70"/>
  <c r="T47" i="70"/>
  <c r="T15" i="70"/>
  <c r="T7" i="70"/>
  <c r="T5" i="70"/>
  <c r="T6" i="70"/>
  <c r="U4" i="70"/>
  <c r="H4" i="70" s="1"/>
  <c r="L54" i="70"/>
  <c r="K54" i="70"/>
  <c r="J54" i="70"/>
  <c r="I54" i="70"/>
  <c r="U53" i="70"/>
  <c r="H53" i="70" s="1"/>
  <c r="T53" i="70"/>
  <c r="S53" i="70"/>
  <c r="R53" i="70"/>
  <c r="Q53" i="70"/>
  <c r="P53" i="70"/>
  <c r="O53" i="70"/>
  <c r="U52" i="70"/>
  <c r="H52" i="70" s="1"/>
  <c r="S52" i="70"/>
  <c r="Q52" i="70"/>
  <c r="O52" i="70"/>
  <c r="U51" i="70"/>
  <c r="H51" i="70" s="1"/>
  <c r="T51" i="70"/>
  <c r="S51" i="70"/>
  <c r="R51" i="70"/>
  <c r="Q51" i="70"/>
  <c r="P51" i="70"/>
  <c r="O51" i="70"/>
  <c r="U50" i="70"/>
  <c r="H50" i="70" s="1"/>
  <c r="S50" i="70"/>
  <c r="Q50" i="70"/>
  <c r="P50" i="70"/>
  <c r="O50" i="70"/>
  <c r="U49" i="70"/>
  <c r="S49" i="70"/>
  <c r="R49" i="70"/>
  <c r="P49" i="70"/>
  <c r="H49" i="70"/>
  <c r="U48" i="70"/>
  <c r="H48" i="70" s="1"/>
  <c r="U47" i="70"/>
  <c r="H47" i="70" s="1"/>
  <c r="R47" i="70"/>
  <c r="Q47" i="70"/>
  <c r="O47" i="70"/>
  <c r="U46" i="70"/>
  <c r="H46" i="70" s="1"/>
  <c r="U45" i="70"/>
  <c r="H45" i="70" s="1"/>
  <c r="T45" i="70"/>
  <c r="S45" i="70"/>
  <c r="R45" i="70"/>
  <c r="Q45" i="70"/>
  <c r="P45" i="70"/>
  <c r="O45" i="70"/>
  <c r="U44" i="70"/>
  <c r="H44" i="70" s="1"/>
  <c r="Q44" i="70"/>
  <c r="P44" i="70"/>
  <c r="U43" i="70"/>
  <c r="H43" i="70" s="1"/>
  <c r="T43" i="70"/>
  <c r="S43" i="70"/>
  <c r="R43" i="70"/>
  <c r="Q43" i="70"/>
  <c r="P43" i="70"/>
  <c r="O43" i="70"/>
  <c r="U42" i="70"/>
  <c r="H42" i="70" s="1"/>
  <c r="T42" i="70"/>
  <c r="S42" i="70"/>
  <c r="R42" i="70"/>
  <c r="Q42" i="70"/>
  <c r="P42" i="70"/>
  <c r="O42" i="70"/>
  <c r="U41" i="70"/>
  <c r="H41" i="70" s="1"/>
  <c r="T41" i="70"/>
  <c r="S41" i="70"/>
  <c r="R41" i="70"/>
  <c r="Q41" i="70"/>
  <c r="P41" i="70"/>
  <c r="U40" i="70"/>
  <c r="H40" i="70" s="1"/>
  <c r="T40" i="70"/>
  <c r="S40" i="70"/>
  <c r="R40" i="70"/>
  <c r="Q40" i="70"/>
  <c r="P40" i="70"/>
  <c r="O40" i="70"/>
  <c r="U39" i="70"/>
  <c r="H39" i="70" s="1"/>
  <c r="R39" i="70"/>
  <c r="H38" i="70"/>
  <c r="G38" i="70"/>
  <c r="H37" i="70"/>
  <c r="T36" i="70"/>
  <c r="S36" i="70"/>
  <c r="R36" i="70"/>
  <c r="Q36" i="70"/>
  <c r="P36" i="70"/>
  <c r="O36" i="70"/>
  <c r="U35" i="70"/>
  <c r="U36" i="70" s="1"/>
  <c r="H36" i="70" s="1"/>
  <c r="R35" i="70"/>
  <c r="Q35" i="70"/>
  <c r="T34" i="70"/>
  <c r="S34" i="70"/>
  <c r="R34" i="70"/>
  <c r="Q34" i="70"/>
  <c r="P34" i="70"/>
  <c r="O34" i="70"/>
  <c r="U33" i="70"/>
  <c r="U34" i="70" s="1"/>
  <c r="H34" i="70" s="1"/>
  <c r="R33" i="70"/>
  <c r="T32" i="70"/>
  <c r="S32" i="70"/>
  <c r="R32" i="70"/>
  <c r="Q32" i="70"/>
  <c r="P32" i="70"/>
  <c r="O32" i="70"/>
  <c r="U31" i="70"/>
  <c r="U32" i="70" s="1"/>
  <c r="H32" i="70" s="1"/>
  <c r="R31" i="70"/>
  <c r="T30" i="70"/>
  <c r="S30" i="70"/>
  <c r="R30" i="70"/>
  <c r="Q30" i="70"/>
  <c r="P30" i="70"/>
  <c r="O30" i="70"/>
  <c r="T29" i="70"/>
  <c r="S29" i="70"/>
  <c r="R29" i="70"/>
  <c r="Q29" i="70"/>
  <c r="P29" i="70"/>
  <c r="O29" i="70"/>
  <c r="U28" i="70"/>
  <c r="U29" i="70" s="1"/>
  <c r="U30" i="70" s="1"/>
  <c r="H30" i="70" s="1"/>
  <c r="S28" i="70"/>
  <c r="U27" i="70"/>
  <c r="H27" i="70" s="1"/>
  <c r="T27" i="70"/>
  <c r="S27" i="70"/>
  <c r="R27" i="70"/>
  <c r="P27" i="70"/>
  <c r="O27" i="70"/>
  <c r="U26" i="70"/>
  <c r="H26" i="70" s="1"/>
  <c r="T26" i="70"/>
  <c r="S26" i="70"/>
  <c r="T25" i="70"/>
  <c r="S25" i="70"/>
  <c r="R25" i="70"/>
  <c r="Q25" i="70"/>
  <c r="P25" i="70"/>
  <c r="O25" i="70"/>
  <c r="U24" i="70"/>
  <c r="H24" i="70" s="1"/>
  <c r="T24" i="70"/>
  <c r="S24" i="70"/>
  <c r="R24" i="70"/>
  <c r="Q24" i="70"/>
  <c r="P24" i="70"/>
  <c r="O24" i="70"/>
  <c r="U23" i="70"/>
  <c r="H23" i="70" s="1"/>
  <c r="U22" i="70"/>
  <c r="H22" i="70" s="1"/>
  <c r="T22" i="70"/>
  <c r="S22" i="70"/>
  <c r="R22" i="70"/>
  <c r="Q22" i="70"/>
  <c r="P22" i="70"/>
  <c r="O22" i="70"/>
  <c r="U21" i="70"/>
  <c r="H21" i="70" s="1"/>
  <c r="R21" i="70"/>
  <c r="Q21" i="70"/>
  <c r="P21" i="70"/>
  <c r="O21" i="70"/>
  <c r="U19" i="70"/>
  <c r="U20" i="70" s="1"/>
  <c r="H20" i="70" s="1"/>
  <c r="U18" i="70"/>
  <c r="H18" i="70" s="1"/>
  <c r="T18" i="70"/>
  <c r="S18" i="70"/>
  <c r="R18" i="70"/>
  <c r="Q18" i="70"/>
  <c r="P18" i="70"/>
  <c r="O18" i="70"/>
  <c r="U17" i="70"/>
  <c r="H17" i="70" s="1"/>
  <c r="U16" i="70"/>
  <c r="H16" i="70" s="1"/>
  <c r="U15" i="70"/>
  <c r="U14" i="70"/>
  <c r="T14" i="70"/>
  <c r="S14" i="70"/>
  <c r="R14" i="70"/>
  <c r="Q14" i="70"/>
  <c r="P14" i="70"/>
  <c r="O14" i="70"/>
  <c r="U13" i="70"/>
  <c r="T13" i="70"/>
  <c r="S13" i="70"/>
  <c r="R13" i="70"/>
  <c r="Q13" i="70"/>
  <c r="P13" i="70"/>
  <c r="O13" i="70"/>
  <c r="U12" i="70"/>
  <c r="S12" i="70"/>
  <c r="R12" i="70"/>
  <c r="Q12" i="70"/>
  <c r="P12" i="70"/>
  <c r="O12" i="70"/>
  <c r="H11" i="70"/>
  <c r="G11" i="70"/>
  <c r="U10" i="70"/>
  <c r="H10" i="70" s="1"/>
  <c r="T10" i="70"/>
  <c r="U9" i="70"/>
  <c r="H9" i="70" s="1"/>
  <c r="T9" i="70"/>
  <c r="S9" i="70"/>
  <c r="R9" i="70"/>
  <c r="Q9" i="70"/>
  <c r="P9" i="70"/>
  <c r="O9" i="70"/>
  <c r="U8" i="70"/>
  <c r="H8" i="70" s="1"/>
  <c r="T8" i="70"/>
  <c r="S8" i="70"/>
  <c r="R8" i="70"/>
  <c r="Q8" i="70"/>
  <c r="P8" i="70"/>
  <c r="O8" i="70"/>
  <c r="U7" i="70"/>
  <c r="H7" i="70" s="1"/>
  <c r="U6" i="70"/>
  <c r="H6" i="70" s="1"/>
  <c r="S6" i="70"/>
  <c r="R6" i="70"/>
  <c r="Q6" i="70"/>
  <c r="P6" i="70"/>
  <c r="O6" i="70"/>
  <c r="U5" i="70"/>
  <c r="H5" i="70" s="1"/>
  <c r="S5" i="70"/>
  <c r="R5" i="70"/>
  <c r="Q5" i="70"/>
  <c r="P5" i="70"/>
  <c r="O5" i="70"/>
  <c r="Q4" i="70"/>
  <c r="L54" i="69"/>
  <c r="K54" i="69"/>
  <c r="J54" i="69"/>
  <c r="I54" i="69"/>
  <c r="U53" i="69"/>
  <c r="H53" i="69" s="1"/>
  <c r="T53" i="69"/>
  <c r="S53" i="69"/>
  <c r="R53" i="69"/>
  <c r="Q53" i="69"/>
  <c r="P53" i="69"/>
  <c r="O53" i="69"/>
  <c r="U52" i="69"/>
  <c r="H52" i="69" s="1"/>
  <c r="P52" i="69"/>
  <c r="O52" i="69"/>
  <c r="U51" i="69"/>
  <c r="H51" i="69" s="1"/>
  <c r="R51" i="69"/>
  <c r="Q51" i="69"/>
  <c r="O51" i="69"/>
  <c r="U49" i="69"/>
  <c r="H49" i="69" s="1"/>
  <c r="T49" i="69"/>
  <c r="R49" i="69"/>
  <c r="U48" i="69"/>
  <c r="H48" i="69" s="1"/>
  <c r="T48" i="69"/>
  <c r="U47" i="69"/>
  <c r="H47" i="69" s="1"/>
  <c r="T47" i="69"/>
  <c r="S47" i="69"/>
  <c r="R47" i="69"/>
  <c r="Q47" i="69"/>
  <c r="P47" i="69"/>
  <c r="O47" i="69"/>
  <c r="U46" i="69"/>
  <c r="H46" i="69" s="1"/>
  <c r="U45" i="69"/>
  <c r="H45" i="69" s="1"/>
  <c r="T45" i="69"/>
  <c r="S45" i="69"/>
  <c r="R45" i="69"/>
  <c r="Q45" i="69"/>
  <c r="P45" i="69"/>
  <c r="O45" i="69"/>
  <c r="U44" i="69"/>
  <c r="H44" i="69" s="1"/>
  <c r="T44" i="69"/>
  <c r="S44" i="69"/>
  <c r="R44" i="69"/>
  <c r="Q44" i="69"/>
  <c r="O44" i="69"/>
  <c r="U43" i="69"/>
  <c r="H43" i="69" s="1"/>
  <c r="T43" i="69"/>
  <c r="S43" i="69"/>
  <c r="R43" i="69"/>
  <c r="Q43" i="69"/>
  <c r="P43" i="69"/>
  <c r="O43" i="69"/>
  <c r="U42" i="69"/>
  <c r="H42" i="69" s="1"/>
  <c r="T42" i="69"/>
  <c r="S42" i="69"/>
  <c r="R42" i="69"/>
  <c r="Q42" i="69"/>
  <c r="P42" i="69"/>
  <c r="O42" i="69"/>
  <c r="S41" i="69"/>
  <c r="R41" i="69"/>
  <c r="Q41" i="69"/>
  <c r="O41" i="69"/>
  <c r="U40" i="69"/>
  <c r="H40" i="69" s="1"/>
  <c r="T40" i="69"/>
  <c r="S40" i="69"/>
  <c r="R40" i="69"/>
  <c r="Q40" i="69"/>
  <c r="P40" i="69"/>
  <c r="O40" i="69"/>
  <c r="S39" i="69"/>
  <c r="R39" i="69"/>
  <c r="Q39" i="69"/>
  <c r="P39" i="69"/>
  <c r="O39" i="69"/>
  <c r="H38" i="69"/>
  <c r="G38" i="69"/>
  <c r="H37" i="69"/>
  <c r="T36" i="69"/>
  <c r="S36" i="69"/>
  <c r="R36" i="69"/>
  <c r="Q36" i="69"/>
  <c r="P36" i="69"/>
  <c r="O36" i="69"/>
  <c r="S35" i="69"/>
  <c r="R35" i="69"/>
  <c r="Q35" i="69"/>
  <c r="P35" i="69"/>
  <c r="O35" i="69"/>
  <c r="T34" i="69"/>
  <c r="S34" i="69"/>
  <c r="R34" i="69"/>
  <c r="Q34" i="69"/>
  <c r="P34" i="69"/>
  <c r="O34" i="69"/>
  <c r="S33" i="69"/>
  <c r="R33" i="69"/>
  <c r="Q33" i="69"/>
  <c r="T32" i="69"/>
  <c r="S32" i="69"/>
  <c r="R32" i="69"/>
  <c r="Q32" i="69"/>
  <c r="P32" i="69"/>
  <c r="O32" i="69"/>
  <c r="S31" i="69"/>
  <c r="R31" i="69"/>
  <c r="T30" i="69"/>
  <c r="S30" i="69"/>
  <c r="R30" i="69"/>
  <c r="Q30" i="69"/>
  <c r="P30" i="69"/>
  <c r="O30" i="69"/>
  <c r="T29" i="69"/>
  <c r="S29" i="69"/>
  <c r="R29" i="69"/>
  <c r="Q29" i="69"/>
  <c r="P29" i="69"/>
  <c r="O29" i="69"/>
  <c r="U28" i="69"/>
  <c r="U29" i="69" s="1"/>
  <c r="U30" i="69" s="1"/>
  <c r="H30" i="69" s="1"/>
  <c r="U27" i="69"/>
  <c r="H27" i="69" s="1"/>
  <c r="S27" i="69"/>
  <c r="Q27" i="69"/>
  <c r="O27" i="69"/>
  <c r="U26" i="69"/>
  <c r="H26" i="69" s="1"/>
  <c r="P26" i="69"/>
  <c r="O26" i="69"/>
  <c r="T25" i="69"/>
  <c r="S25" i="69"/>
  <c r="R25" i="69"/>
  <c r="Q25" i="69"/>
  <c r="P25" i="69"/>
  <c r="O25" i="69"/>
  <c r="U24" i="69"/>
  <c r="H24" i="69" s="1"/>
  <c r="T24" i="69"/>
  <c r="S24" i="69"/>
  <c r="R24" i="69"/>
  <c r="Q24" i="69"/>
  <c r="P24" i="69"/>
  <c r="O24" i="69"/>
  <c r="U23" i="69"/>
  <c r="H23" i="69" s="1"/>
  <c r="T23" i="69"/>
  <c r="S23" i="69"/>
  <c r="O23" i="69"/>
  <c r="U22" i="69"/>
  <c r="H22" i="69" s="1"/>
  <c r="T22" i="69"/>
  <c r="S22" i="69"/>
  <c r="O22" i="69"/>
  <c r="U21" i="69"/>
  <c r="H21" i="69" s="1"/>
  <c r="T21" i="69"/>
  <c r="S21" i="69"/>
  <c r="R21" i="69"/>
  <c r="Q21" i="69"/>
  <c r="P21" i="69"/>
  <c r="O21" i="69"/>
  <c r="U19" i="69"/>
  <c r="H19" i="69" s="1"/>
  <c r="U18" i="69"/>
  <c r="H18" i="69" s="1"/>
  <c r="U17" i="69"/>
  <c r="H17" i="69" s="1"/>
  <c r="U15" i="69"/>
  <c r="U14" i="69"/>
  <c r="T14" i="69"/>
  <c r="S14" i="69"/>
  <c r="R14" i="69"/>
  <c r="U13" i="69"/>
  <c r="T13" i="69"/>
  <c r="S13" i="69"/>
  <c r="R13" i="69"/>
  <c r="Q13" i="69"/>
  <c r="P13" i="69"/>
  <c r="O13" i="69"/>
  <c r="U12" i="69"/>
  <c r="T12" i="69"/>
  <c r="S12" i="69"/>
  <c r="Q12" i="69"/>
  <c r="P12" i="69"/>
  <c r="O12" i="69"/>
  <c r="H11" i="69"/>
  <c r="G11" i="69"/>
  <c r="U10" i="69"/>
  <c r="H10" i="69" s="1"/>
  <c r="T10" i="69"/>
  <c r="U9" i="69"/>
  <c r="H9" i="69" s="1"/>
  <c r="T9" i="69"/>
  <c r="S9" i="69"/>
  <c r="R9" i="69"/>
  <c r="Q9" i="69"/>
  <c r="P9" i="69"/>
  <c r="O9" i="69"/>
  <c r="U8" i="69"/>
  <c r="H8" i="69" s="1"/>
  <c r="T8" i="69"/>
  <c r="S8" i="69"/>
  <c r="R8" i="69"/>
  <c r="Q8" i="69"/>
  <c r="P8" i="69"/>
  <c r="O8" i="69"/>
  <c r="U7" i="69"/>
  <c r="H7" i="69" s="1"/>
  <c r="U6" i="69"/>
  <c r="H6" i="69" s="1"/>
  <c r="T6" i="69"/>
  <c r="S6" i="69"/>
  <c r="R6" i="69"/>
  <c r="Q6" i="69"/>
  <c r="P6" i="69"/>
  <c r="O6" i="69"/>
  <c r="U5" i="69"/>
  <c r="H5" i="69" s="1"/>
  <c r="T5" i="69"/>
  <c r="S5" i="69"/>
  <c r="R5" i="69"/>
  <c r="Q5" i="69"/>
  <c r="P5" i="69"/>
  <c r="O5" i="69"/>
  <c r="U4" i="69"/>
  <c r="H4" i="69" s="1"/>
  <c r="P4" i="69"/>
  <c r="P20" i="69" s="1"/>
  <c r="O4" i="69"/>
  <c r="O20" i="69" s="1"/>
  <c r="L54" i="68"/>
  <c r="K54" i="68"/>
  <c r="J54" i="68"/>
  <c r="I54" i="68"/>
  <c r="U53" i="68"/>
  <c r="H53" i="68" s="1"/>
  <c r="T53" i="68"/>
  <c r="S53" i="68"/>
  <c r="R53" i="68"/>
  <c r="Q53" i="68"/>
  <c r="P53" i="68"/>
  <c r="O53" i="68"/>
  <c r="U52" i="68"/>
  <c r="H52" i="68" s="1"/>
  <c r="T52" i="68"/>
  <c r="S52" i="68"/>
  <c r="R52" i="68"/>
  <c r="P52" i="68"/>
  <c r="U51" i="68"/>
  <c r="H51" i="68" s="1"/>
  <c r="T51" i="68"/>
  <c r="S51" i="68"/>
  <c r="R51" i="68"/>
  <c r="Q51" i="68"/>
  <c r="U50" i="68"/>
  <c r="H50" i="68" s="1"/>
  <c r="T50" i="68"/>
  <c r="R50" i="68"/>
  <c r="O50" i="68"/>
  <c r="S49" i="68"/>
  <c r="R49" i="68"/>
  <c r="U48" i="68"/>
  <c r="H48" i="68" s="1"/>
  <c r="U47" i="68"/>
  <c r="H47" i="68" s="1"/>
  <c r="T47" i="68"/>
  <c r="S47" i="68"/>
  <c r="R47" i="68"/>
  <c r="Q47" i="68"/>
  <c r="P47" i="68"/>
  <c r="O47" i="68"/>
  <c r="U46" i="68"/>
  <c r="H46" i="68" s="1"/>
  <c r="U45" i="68"/>
  <c r="H45" i="68" s="1"/>
  <c r="T45" i="68"/>
  <c r="S45" i="68"/>
  <c r="R45" i="68"/>
  <c r="Q45" i="68"/>
  <c r="P45" i="68"/>
  <c r="O45" i="68"/>
  <c r="U44" i="68"/>
  <c r="H44" i="68" s="1"/>
  <c r="T44" i="68"/>
  <c r="S44" i="68"/>
  <c r="R44" i="68"/>
  <c r="Q44" i="68"/>
  <c r="O44" i="68"/>
  <c r="U43" i="68"/>
  <c r="H43" i="68" s="1"/>
  <c r="T43" i="68"/>
  <c r="S43" i="68"/>
  <c r="R43" i="68"/>
  <c r="Q43" i="68"/>
  <c r="P43" i="68"/>
  <c r="O43" i="68"/>
  <c r="U42" i="68"/>
  <c r="H42" i="68" s="1"/>
  <c r="T42" i="68"/>
  <c r="S42" i="68"/>
  <c r="R42" i="68"/>
  <c r="Q42" i="68"/>
  <c r="P42" i="68"/>
  <c r="O42" i="68"/>
  <c r="U41" i="68"/>
  <c r="H41" i="68" s="1"/>
  <c r="T41" i="68"/>
  <c r="S41" i="68"/>
  <c r="R41" i="68"/>
  <c r="Q41" i="68"/>
  <c r="P41" i="68"/>
  <c r="O41" i="68"/>
  <c r="U40" i="68"/>
  <c r="H40" i="68" s="1"/>
  <c r="T40" i="68"/>
  <c r="S40" i="68"/>
  <c r="R40" i="68"/>
  <c r="Q40" i="68"/>
  <c r="P40" i="68"/>
  <c r="O40" i="68"/>
  <c r="U39" i="68"/>
  <c r="H39" i="68" s="1"/>
  <c r="H38" i="68"/>
  <c r="G38" i="68"/>
  <c r="H37" i="68"/>
  <c r="T36" i="68"/>
  <c r="S36" i="68"/>
  <c r="R36" i="68"/>
  <c r="Q36" i="68"/>
  <c r="P36" i="68"/>
  <c r="O36" i="68"/>
  <c r="U35" i="68"/>
  <c r="U36" i="68" s="1"/>
  <c r="H36" i="68" s="1"/>
  <c r="T34" i="68"/>
  <c r="S34" i="68"/>
  <c r="R34" i="68"/>
  <c r="Q34" i="68"/>
  <c r="P34" i="68"/>
  <c r="O34" i="68"/>
  <c r="U33" i="68"/>
  <c r="U34" i="68" s="1"/>
  <c r="H34" i="68" s="1"/>
  <c r="T32" i="68"/>
  <c r="S32" i="68"/>
  <c r="R32" i="68"/>
  <c r="Q32" i="68"/>
  <c r="P32" i="68"/>
  <c r="O32" i="68"/>
  <c r="U31" i="68"/>
  <c r="H31" i="68" s="1"/>
  <c r="T30" i="68"/>
  <c r="S30" i="68"/>
  <c r="R30" i="68"/>
  <c r="Q30" i="68"/>
  <c r="P30" i="68"/>
  <c r="O30" i="68"/>
  <c r="T29" i="68"/>
  <c r="S29" i="68"/>
  <c r="R29" i="68"/>
  <c r="Q29" i="68"/>
  <c r="P29" i="68"/>
  <c r="O29" i="68"/>
  <c r="U28" i="68"/>
  <c r="U29" i="68" s="1"/>
  <c r="U30" i="68" s="1"/>
  <c r="H30" i="68" s="1"/>
  <c r="U27" i="68"/>
  <c r="H27" i="68" s="1"/>
  <c r="T27" i="68"/>
  <c r="S27" i="68"/>
  <c r="R27" i="68"/>
  <c r="Q27" i="68"/>
  <c r="P27" i="68"/>
  <c r="U26" i="68"/>
  <c r="H26" i="68" s="1"/>
  <c r="S26" i="68"/>
  <c r="T25" i="68"/>
  <c r="S25" i="68"/>
  <c r="R25" i="68"/>
  <c r="Q25" i="68"/>
  <c r="P25" i="68"/>
  <c r="O25" i="68"/>
  <c r="U24" i="68"/>
  <c r="U25" i="68" s="1"/>
  <c r="H25" i="68" s="1"/>
  <c r="T24" i="68"/>
  <c r="S24" i="68"/>
  <c r="Q24" i="68"/>
  <c r="P24" i="68"/>
  <c r="O24" i="68"/>
  <c r="U23" i="68"/>
  <c r="H23" i="68" s="1"/>
  <c r="T23" i="68"/>
  <c r="S23" i="68"/>
  <c r="R23" i="68"/>
  <c r="Q23" i="68"/>
  <c r="O23" i="68"/>
  <c r="U22" i="68"/>
  <c r="H22" i="68" s="1"/>
  <c r="P22" i="68"/>
  <c r="U21" i="68"/>
  <c r="H21" i="68" s="1"/>
  <c r="T21" i="68"/>
  <c r="S21" i="68"/>
  <c r="R21" i="68"/>
  <c r="Q21" i="68"/>
  <c r="P21" i="68"/>
  <c r="O21" i="68"/>
  <c r="U19" i="68"/>
  <c r="U20" i="68" s="1"/>
  <c r="H20" i="68" s="1"/>
  <c r="T19" i="68"/>
  <c r="R19" i="68"/>
  <c r="Q19" i="68"/>
  <c r="P19" i="68"/>
  <c r="O19" i="68"/>
  <c r="U18" i="68"/>
  <c r="H18" i="68" s="1"/>
  <c r="S18" i="68"/>
  <c r="U17" i="68"/>
  <c r="H17" i="68" s="1"/>
  <c r="U16" i="68"/>
  <c r="H16" i="68" s="1"/>
  <c r="U15" i="68"/>
  <c r="O15" i="68"/>
  <c r="U14" i="68"/>
  <c r="P14" i="68"/>
  <c r="O14" i="68"/>
  <c r="U13" i="68"/>
  <c r="T13" i="68"/>
  <c r="S13" i="68"/>
  <c r="R13" i="68"/>
  <c r="Q13" i="68"/>
  <c r="P13" i="68"/>
  <c r="U12" i="68"/>
  <c r="T12" i="68"/>
  <c r="S12" i="68"/>
  <c r="R12" i="68"/>
  <c r="Q12" i="68"/>
  <c r="H11" i="68"/>
  <c r="G11" i="68"/>
  <c r="U10" i="68"/>
  <c r="H10" i="68" s="1"/>
  <c r="T10" i="68"/>
  <c r="U9" i="68"/>
  <c r="H9" i="68" s="1"/>
  <c r="T9" i="68"/>
  <c r="S9" i="68"/>
  <c r="R9" i="68"/>
  <c r="Q9" i="68"/>
  <c r="P9" i="68"/>
  <c r="O9" i="68"/>
  <c r="U8" i="68"/>
  <c r="H8" i="68" s="1"/>
  <c r="T8" i="68"/>
  <c r="S8" i="68"/>
  <c r="R8" i="68"/>
  <c r="Q8" i="68"/>
  <c r="P8" i="68"/>
  <c r="O8" i="68"/>
  <c r="U7" i="68"/>
  <c r="H7" i="68" s="1"/>
  <c r="Q7" i="68"/>
  <c r="U6" i="68"/>
  <c r="H6" i="68" s="1"/>
  <c r="T6" i="68"/>
  <c r="S6" i="68"/>
  <c r="R6" i="68"/>
  <c r="Q6" i="68"/>
  <c r="P6" i="68"/>
  <c r="O6" i="68"/>
  <c r="U5" i="68"/>
  <c r="H5" i="68" s="1"/>
  <c r="T5" i="68"/>
  <c r="S5" i="68"/>
  <c r="R5" i="68"/>
  <c r="Q5" i="68"/>
  <c r="P5" i="68"/>
  <c r="O5" i="68"/>
  <c r="T4" i="68"/>
  <c r="T20" i="68" s="1"/>
  <c r="S4" i="68"/>
  <c r="S20" i="68" s="1"/>
  <c r="R4" i="68"/>
  <c r="Q4" i="68"/>
  <c r="Q20" i="68" s="1"/>
  <c r="I54" i="67"/>
  <c r="P27" i="67"/>
  <c r="Q27" i="67"/>
  <c r="R27" i="67"/>
  <c r="S27" i="67"/>
  <c r="T27" i="67"/>
  <c r="O27" i="67"/>
  <c r="U26" i="67"/>
  <c r="Q41" i="67"/>
  <c r="R41" i="67"/>
  <c r="S41" i="67"/>
  <c r="T41" i="67"/>
  <c r="U41" i="67"/>
  <c r="H41" i="67" s="1"/>
  <c r="O41" i="67"/>
  <c r="P53" i="67"/>
  <c r="Q53" i="67"/>
  <c r="R53" i="67"/>
  <c r="S53" i="67"/>
  <c r="T53" i="67"/>
  <c r="U53" i="67"/>
  <c r="H53" i="67" s="1"/>
  <c r="P51" i="67"/>
  <c r="Q51" i="67"/>
  <c r="R51" i="67"/>
  <c r="S51" i="67"/>
  <c r="T51" i="67"/>
  <c r="U51" i="67"/>
  <c r="H51" i="67" s="1"/>
  <c r="O53" i="67"/>
  <c r="O51" i="67"/>
  <c r="P50" i="67"/>
  <c r="Q50" i="67"/>
  <c r="S50" i="67"/>
  <c r="U50" i="67"/>
  <c r="H50" i="67" s="1"/>
  <c r="Q49" i="67"/>
  <c r="U49" i="67"/>
  <c r="H49" i="67" s="1"/>
  <c r="P47" i="67"/>
  <c r="Q47" i="67"/>
  <c r="R47" i="67"/>
  <c r="T47" i="67"/>
  <c r="U47" i="67"/>
  <c r="H47" i="67" s="1"/>
  <c r="O49" i="67"/>
  <c r="O48" i="67"/>
  <c r="O47" i="67"/>
  <c r="P45" i="67"/>
  <c r="Q45" i="67"/>
  <c r="R45" i="67"/>
  <c r="S45" i="67"/>
  <c r="T45" i="67"/>
  <c r="U45" i="67"/>
  <c r="H45" i="67" s="1"/>
  <c r="O45" i="67"/>
  <c r="P44" i="67"/>
  <c r="Q44" i="67"/>
  <c r="R44" i="67"/>
  <c r="T44" i="67"/>
  <c r="U44" i="67"/>
  <c r="H44" i="67" s="1"/>
  <c r="P39" i="67"/>
  <c r="T39" i="67"/>
  <c r="U39" i="67"/>
  <c r="H39" i="67" s="1"/>
  <c r="O39" i="67"/>
  <c r="U35" i="67"/>
  <c r="U36" i="67" s="1"/>
  <c r="H36" i="67" s="1"/>
  <c r="P33" i="67"/>
  <c r="U33" i="67"/>
  <c r="U34" i="67" s="1"/>
  <c r="H34" i="67" s="1"/>
  <c r="U31" i="67"/>
  <c r="U32" i="67" s="1"/>
  <c r="H32" i="67" s="1"/>
  <c r="U28" i="67"/>
  <c r="U29" i="67" s="1"/>
  <c r="H29" i="67" s="1"/>
  <c r="P24" i="67"/>
  <c r="Q24" i="67"/>
  <c r="R24" i="67"/>
  <c r="S24" i="67"/>
  <c r="T24" i="67"/>
  <c r="U24" i="67"/>
  <c r="U25" i="67" s="1"/>
  <c r="H25" i="67" s="1"/>
  <c r="O24" i="67"/>
  <c r="P23" i="67"/>
  <c r="Q23" i="67"/>
  <c r="R23" i="67"/>
  <c r="S23" i="67"/>
  <c r="U23" i="67"/>
  <c r="O23" i="67"/>
  <c r="P22" i="67"/>
  <c r="U22" i="67"/>
  <c r="H22" i="67" s="1"/>
  <c r="P21" i="67"/>
  <c r="Q21" i="67"/>
  <c r="R21" i="67"/>
  <c r="S21" i="67"/>
  <c r="T21" i="67"/>
  <c r="U21" i="67"/>
  <c r="H21" i="67" s="1"/>
  <c r="O21" i="67"/>
  <c r="P19" i="67"/>
  <c r="Q19" i="67"/>
  <c r="R19" i="67"/>
  <c r="S19" i="67"/>
  <c r="T19" i="67"/>
  <c r="O19" i="67"/>
  <c r="U18" i="67"/>
  <c r="T17" i="67"/>
  <c r="U17" i="67"/>
  <c r="H17" i="67" s="1"/>
  <c r="U15" i="67"/>
  <c r="P12" i="67"/>
  <c r="R12" i="67"/>
  <c r="T12" i="67"/>
  <c r="U12" i="67"/>
  <c r="P14" i="67"/>
  <c r="Q14" i="67"/>
  <c r="R14" i="67"/>
  <c r="T14" i="67"/>
  <c r="U14" i="67"/>
  <c r="P13" i="67"/>
  <c r="Q13" i="67"/>
  <c r="S13" i="67"/>
  <c r="T13" i="67"/>
  <c r="U13" i="67"/>
  <c r="O14" i="67"/>
  <c r="O12" i="67"/>
  <c r="T10" i="67"/>
  <c r="U10" i="67"/>
  <c r="H10" i="67" s="1"/>
  <c r="U7" i="67"/>
  <c r="H7" i="67" s="1"/>
  <c r="Q4" i="67"/>
  <c r="Q20" i="67" s="1"/>
  <c r="R4" i="67"/>
  <c r="R20" i="67" s="1"/>
  <c r="T4" i="67"/>
  <c r="T20" i="67" s="1"/>
  <c r="U4" i="67"/>
  <c r="L54" i="67"/>
  <c r="K54" i="67"/>
  <c r="J54" i="67"/>
  <c r="U43" i="67"/>
  <c r="H43" i="67" s="1"/>
  <c r="T43" i="67"/>
  <c r="S43" i="67"/>
  <c r="R43" i="67"/>
  <c r="Q43" i="67"/>
  <c r="P43" i="67"/>
  <c r="O43" i="67"/>
  <c r="U42" i="67"/>
  <c r="H42" i="67" s="1"/>
  <c r="T42" i="67"/>
  <c r="S42" i="67"/>
  <c r="R42" i="67"/>
  <c r="Q42" i="67"/>
  <c r="P42" i="67"/>
  <c r="O42" i="67"/>
  <c r="U40" i="67"/>
  <c r="H40" i="67" s="1"/>
  <c r="T40" i="67"/>
  <c r="S40" i="67"/>
  <c r="R40" i="67"/>
  <c r="Q40" i="67"/>
  <c r="P40" i="67"/>
  <c r="O40" i="67"/>
  <c r="H38" i="67"/>
  <c r="G38" i="67"/>
  <c r="H37" i="67"/>
  <c r="T36" i="67"/>
  <c r="S36" i="67"/>
  <c r="R36" i="67"/>
  <c r="Q36" i="67"/>
  <c r="P36" i="67"/>
  <c r="O36" i="67"/>
  <c r="T34" i="67"/>
  <c r="S34" i="67"/>
  <c r="R34" i="67"/>
  <c r="Q34" i="67"/>
  <c r="P34" i="67"/>
  <c r="O34" i="67"/>
  <c r="T32" i="67"/>
  <c r="S32" i="67"/>
  <c r="R32" i="67"/>
  <c r="Q32" i="67"/>
  <c r="P32" i="67"/>
  <c r="O32" i="67"/>
  <c r="T30" i="67"/>
  <c r="S30" i="67"/>
  <c r="R30" i="67"/>
  <c r="Q30" i="67"/>
  <c r="P30" i="67"/>
  <c r="O30" i="67"/>
  <c r="T29" i="67"/>
  <c r="S29" i="67"/>
  <c r="R29" i="67"/>
  <c r="Q29" i="67"/>
  <c r="P29" i="67"/>
  <c r="O29" i="67"/>
  <c r="T25" i="67"/>
  <c r="S25" i="67"/>
  <c r="R25" i="67"/>
  <c r="Q25" i="67"/>
  <c r="P25" i="67"/>
  <c r="O25" i="67"/>
  <c r="H11" i="67"/>
  <c r="G11" i="67"/>
  <c r="U9" i="67"/>
  <c r="H9" i="67" s="1"/>
  <c r="T9" i="67"/>
  <c r="S9" i="67"/>
  <c r="R9" i="67"/>
  <c r="Q9" i="67"/>
  <c r="P9" i="67"/>
  <c r="O9" i="67"/>
  <c r="U8" i="67"/>
  <c r="H8" i="67" s="1"/>
  <c r="T8" i="67"/>
  <c r="S8" i="67"/>
  <c r="R8" i="67"/>
  <c r="Q8" i="67"/>
  <c r="P8" i="67"/>
  <c r="O8" i="67"/>
  <c r="U6" i="67"/>
  <c r="H6" i="67" s="1"/>
  <c r="T6" i="67"/>
  <c r="S6" i="67"/>
  <c r="R6" i="67"/>
  <c r="Q6" i="67"/>
  <c r="P6" i="67"/>
  <c r="O6" i="67"/>
  <c r="U5" i="67"/>
  <c r="H5" i="67" s="1"/>
  <c r="T5" i="67"/>
  <c r="S5" i="67"/>
  <c r="R5" i="67"/>
  <c r="Q5" i="67"/>
  <c r="P5" i="67"/>
  <c r="O5" i="67"/>
  <c r="P51" i="66"/>
  <c r="O51" i="66"/>
  <c r="R51" i="66"/>
  <c r="S51" i="66"/>
  <c r="T51" i="66"/>
  <c r="U51" i="66"/>
  <c r="H51" i="66" s="1"/>
  <c r="Q51" i="66"/>
  <c r="S50" i="66"/>
  <c r="T50" i="66"/>
  <c r="U50" i="66"/>
  <c r="H50" i="66" s="1"/>
  <c r="R49" i="66"/>
  <c r="S49" i="66"/>
  <c r="T49" i="66"/>
  <c r="U49" i="66"/>
  <c r="H49" i="66" s="1"/>
  <c r="Q49" i="66"/>
  <c r="S48" i="66"/>
  <c r="T48" i="66"/>
  <c r="U48" i="66"/>
  <c r="H48" i="66" s="1"/>
  <c r="S47" i="66"/>
  <c r="T47" i="66"/>
  <c r="U47" i="66"/>
  <c r="H47" i="66" s="1"/>
  <c r="S46" i="66"/>
  <c r="T46" i="66"/>
  <c r="U46" i="66"/>
  <c r="H46" i="66" s="1"/>
  <c r="Q46" i="66"/>
  <c r="R45" i="66"/>
  <c r="S45" i="66"/>
  <c r="T45" i="66"/>
  <c r="U45" i="66"/>
  <c r="H45" i="66" s="1"/>
  <c r="Q45" i="66"/>
  <c r="S44" i="66"/>
  <c r="T44" i="66"/>
  <c r="U44" i="66"/>
  <c r="H44" i="66" s="1"/>
  <c r="Q44" i="66"/>
  <c r="R43" i="66"/>
  <c r="S43" i="66"/>
  <c r="T43" i="66"/>
  <c r="U43" i="66"/>
  <c r="H43" i="66" s="1"/>
  <c r="Q43" i="66"/>
  <c r="R42" i="66"/>
  <c r="S42" i="66"/>
  <c r="T42" i="66"/>
  <c r="U42" i="66"/>
  <c r="H42" i="66" s="1"/>
  <c r="R39" i="66"/>
  <c r="S39" i="66"/>
  <c r="T39" i="66"/>
  <c r="U39" i="66"/>
  <c r="H39" i="66" s="1"/>
  <c r="Q39" i="66"/>
  <c r="R37" i="66"/>
  <c r="S37" i="66"/>
  <c r="T37" i="66"/>
  <c r="U37" i="66"/>
  <c r="H37" i="66" s="1"/>
  <c r="Q37" i="66"/>
  <c r="S33" i="66"/>
  <c r="T33" i="66"/>
  <c r="U33" i="66"/>
  <c r="U34" i="66" s="1"/>
  <c r="H34" i="66" s="1"/>
  <c r="S31" i="66"/>
  <c r="T31" i="66"/>
  <c r="U31" i="66"/>
  <c r="U32" i="66" s="1"/>
  <c r="H32" i="66" s="1"/>
  <c r="Q31" i="66"/>
  <c r="S29" i="66"/>
  <c r="T29" i="66"/>
  <c r="U29" i="66"/>
  <c r="H29" i="66" s="1"/>
  <c r="Q29" i="66"/>
  <c r="S26" i="66"/>
  <c r="T26" i="66"/>
  <c r="U26" i="66"/>
  <c r="U27" i="66" s="1"/>
  <c r="S24" i="66"/>
  <c r="T24" i="66"/>
  <c r="U24" i="66"/>
  <c r="H24" i="66" s="1"/>
  <c r="P24" i="66"/>
  <c r="O24" i="66"/>
  <c r="S21" i="66"/>
  <c r="T21" i="66"/>
  <c r="U21" i="66"/>
  <c r="Q21" i="66"/>
  <c r="P21" i="66"/>
  <c r="R20" i="66"/>
  <c r="S20" i="66"/>
  <c r="T20" i="66"/>
  <c r="U20" i="66"/>
  <c r="S16" i="66"/>
  <c r="T16" i="66"/>
  <c r="U16" i="66"/>
  <c r="U17" i="66" s="1"/>
  <c r="U18" i="66" s="1"/>
  <c r="H18" i="66" s="1"/>
  <c r="S15" i="66"/>
  <c r="T15" i="66"/>
  <c r="U15" i="66"/>
  <c r="H15" i="66" s="1"/>
  <c r="S14" i="66"/>
  <c r="T14" i="66"/>
  <c r="U14" i="66"/>
  <c r="H14" i="66" s="1"/>
  <c r="S13" i="66"/>
  <c r="T13" i="66"/>
  <c r="U13" i="66"/>
  <c r="R12" i="66"/>
  <c r="S12" i="66"/>
  <c r="T12" i="66"/>
  <c r="U12" i="66"/>
  <c r="Q12" i="66"/>
  <c r="S10" i="66"/>
  <c r="T10" i="66"/>
  <c r="U10" i="66"/>
  <c r="H10" i="66" s="1"/>
  <c r="S7" i="66"/>
  <c r="T7" i="66"/>
  <c r="U7" i="66"/>
  <c r="H7" i="66" s="1"/>
  <c r="S4" i="66"/>
  <c r="S18" i="66" s="1"/>
  <c r="T4" i="66"/>
  <c r="U4" i="66"/>
  <c r="L52" i="66"/>
  <c r="K52" i="66"/>
  <c r="J52" i="66"/>
  <c r="I52" i="66"/>
  <c r="P50" i="66"/>
  <c r="P49" i="66"/>
  <c r="O49" i="66"/>
  <c r="P48" i="66"/>
  <c r="O47" i="66"/>
  <c r="P45" i="66"/>
  <c r="P43" i="66"/>
  <c r="U41" i="66"/>
  <c r="H41" i="66" s="1"/>
  <c r="T41" i="66"/>
  <c r="S41" i="66"/>
  <c r="R41" i="66"/>
  <c r="Q41" i="66"/>
  <c r="P41" i="66"/>
  <c r="O41" i="66"/>
  <c r="U40" i="66"/>
  <c r="H40" i="66" s="1"/>
  <c r="T40" i="66"/>
  <c r="S40" i="66"/>
  <c r="R40" i="66"/>
  <c r="Q40" i="66"/>
  <c r="P40" i="66"/>
  <c r="O40" i="66"/>
  <c r="U38" i="66"/>
  <c r="H38" i="66" s="1"/>
  <c r="T38" i="66"/>
  <c r="S38" i="66"/>
  <c r="R38" i="66"/>
  <c r="Q38" i="66"/>
  <c r="P38" i="66"/>
  <c r="O38" i="66"/>
  <c r="H36" i="66"/>
  <c r="G36" i="66"/>
  <c r="H35" i="66"/>
  <c r="T34" i="66"/>
  <c r="S34" i="66"/>
  <c r="R34" i="66"/>
  <c r="Q34" i="66"/>
  <c r="P34" i="66"/>
  <c r="O34" i="66"/>
  <c r="T32" i="66"/>
  <c r="S32" i="66"/>
  <c r="R32" i="66"/>
  <c r="Q32" i="66"/>
  <c r="P32" i="66"/>
  <c r="O32" i="66"/>
  <c r="T30" i="66"/>
  <c r="S30" i="66"/>
  <c r="R30" i="66"/>
  <c r="Q30" i="66"/>
  <c r="P30" i="66"/>
  <c r="O30" i="66"/>
  <c r="P29" i="66"/>
  <c r="O29" i="66"/>
  <c r="T28" i="66"/>
  <c r="S28" i="66"/>
  <c r="R28" i="66"/>
  <c r="Q28" i="66"/>
  <c r="P28" i="66"/>
  <c r="O28" i="66"/>
  <c r="T27" i="66"/>
  <c r="S27" i="66"/>
  <c r="R27" i="66"/>
  <c r="Q27" i="66"/>
  <c r="P27" i="66"/>
  <c r="O27" i="66"/>
  <c r="T25" i="66"/>
  <c r="S25" i="66"/>
  <c r="R25" i="66"/>
  <c r="Q25" i="66"/>
  <c r="P25" i="66"/>
  <c r="O25" i="66"/>
  <c r="T23" i="66"/>
  <c r="S23" i="66"/>
  <c r="R23" i="66"/>
  <c r="Q23" i="66"/>
  <c r="P23" i="66"/>
  <c r="O23" i="66"/>
  <c r="T22" i="66"/>
  <c r="S22" i="66"/>
  <c r="R22" i="66"/>
  <c r="Q22" i="66"/>
  <c r="P22" i="66"/>
  <c r="O22" i="66"/>
  <c r="U19" i="66"/>
  <c r="H19" i="66" s="1"/>
  <c r="T19" i="66"/>
  <c r="S19" i="66"/>
  <c r="R19" i="66"/>
  <c r="Q19" i="66"/>
  <c r="P19" i="66"/>
  <c r="O19" i="66"/>
  <c r="T17" i="66"/>
  <c r="S17" i="66"/>
  <c r="R17" i="66"/>
  <c r="Q17" i="66"/>
  <c r="P17" i="66"/>
  <c r="O17" i="66"/>
  <c r="H11" i="66"/>
  <c r="G11" i="66"/>
  <c r="U9" i="66"/>
  <c r="H9" i="66" s="1"/>
  <c r="T9" i="66"/>
  <c r="S9" i="66"/>
  <c r="R9" i="66"/>
  <c r="Q9" i="66"/>
  <c r="P9" i="66"/>
  <c r="O9" i="66"/>
  <c r="U8" i="66"/>
  <c r="H8" i="66" s="1"/>
  <c r="T8" i="66"/>
  <c r="S8" i="66"/>
  <c r="R8" i="66"/>
  <c r="Q8" i="66"/>
  <c r="P8" i="66"/>
  <c r="O8" i="66"/>
  <c r="U6" i="66"/>
  <c r="H6" i="66" s="1"/>
  <c r="T6" i="66"/>
  <c r="S6" i="66"/>
  <c r="R6" i="66"/>
  <c r="Q6" i="66"/>
  <c r="P6" i="66"/>
  <c r="O6" i="66"/>
  <c r="U5" i="66"/>
  <c r="H5" i="66" s="1"/>
  <c r="T5" i="66"/>
  <c r="S5" i="66"/>
  <c r="R5" i="66"/>
  <c r="Q5" i="66"/>
  <c r="P5" i="66"/>
  <c r="O5" i="66"/>
  <c r="P4" i="66"/>
  <c r="L52" i="65"/>
  <c r="K52" i="65"/>
  <c r="P24" i="65"/>
  <c r="Q24" i="65"/>
  <c r="R24" i="65"/>
  <c r="S24" i="65"/>
  <c r="T24" i="65"/>
  <c r="U24" i="65"/>
  <c r="U14" i="65"/>
  <c r="P5" i="65"/>
  <c r="Q5" i="65"/>
  <c r="R5" i="65"/>
  <c r="S5" i="65"/>
  <c r="T5" i="65"/>
  <c r="O5" i="65"/>
  <c r="P49" i="65"/>
  <c r="Q49" i="65"/>
  <c r="R49" i="65"/>
  <c r="S49" i="65"/>
  <c r="U49" i="65"/>
  <c r="O49" i="65"/>
  <c r="T47" i="65"/>
  <c r="U47" i="65"/>
  <c r="M52" i="75" l="1"/>
  <c r="M54" i="75"/>
  <c r="M36" i="75"/>
  <c r="G8" i="73"/>
  <c r="G8" i="72"/>
  <c r="G43" i="72"/>
  <c r="M11" i="72"/>
  <c r="M11" i="73"/>
  <c r="G37" i="73"/>
  <c r="G43" i="73"/>
  <c r="G9" i="74"/>
  <c r="G35" i="74"/>
  <c r="M11" i="69"/>
  <c r="M11" i="70"/>
  <c r="G23" i="72"/>
  <c r="M11" i="74"/>
  <c r="H20" i="74"/>
  <c r="H36" i="74"/>
  <c r="H34" i="74"/>
  <c r="G6" i="74"/>
  <c r="G8" i="74"/>
  <c r="G25" i="74"/>
  <c r="G43" i="74"/>
  <c r="G44" i="74"/>
  <c r="G52" i="74"/>
  <c r="M52" i="74" s="1"/>
  <c r="G54" i="74"/>
  <c r="M54" i="74" s="1"/>
  <c r="G41" i="74"/>
  <c r="G13" i="74"/>
  <c r="G19" i="74"/>
  <c r="G28" i="74"/>
  <c r="G31" i="74"/>
  <c r="G33" i="74"/>
  <c r="G36" i="74"/>
  <c r="G29" i="74"/>
  <c r="G26" i="74"/>
  <c r="G37" i="74"/>
  <c r="R21" i="74"/>
  <c r="G4" i="74"/>
  <c r="H4" i="74"/>
  <c r="O21" i="74"/>
  <c r="S21" i="74"/>
  <c r="P21" i="74"/>
  <c r="T21" i="74"/>
  <c r="H25" i="74"/>
  <c r="Q21" i="74"/>
  <c r="G35" i="73"/>
  <c r="G28" i="73"/>
  <c r="G52" i="73"/>
  <c r="M52" i="73" s="1"/>
  <c r="G19" i="73"/>
  <c r="G25" i="73"/>
  <c r="H36" i="73"/>
  <c r="U26" i="73"/>
  <c r="H26" i="73" s="1"/>
  <c r="G41" i="73"/>
  <c r="G44" i="73"/>
  <c r="G9" i="73"/>
  <c r="G23" i="73"/>
  <c r="G26" i="73"/>
  <c r="G26" i="72"/>
  <c r="G54" i="73"/>
  <c r="M54" i="73" s="1"/>
  <c r="G6" i="73"/>
  <c r="H20" i="73"/>
  <c r="G29" i="73"/>
  <c r="H34" i="73"/>
  <c r="G5" i="73"/>
  <c r="G22" i="73"/>
  <c r="M22" i="73" s="1"/>
  <c r="G31" i="73"/>
  <c r="G33" i="73"/>
  <c r="G36" i="73"/>
  <c r="H36" i="72"/>
  <c r="H20" i="72"/>
  <c r="H34" i="72"/>
  <c r="G29" i="72"/>
  <c r="G18" i="72"/>
  <c r="M18" i="72" s="1"/>
  <c r="H36" i="71"/>
  <c r="G33" i="72"/>
  <c r="G36" i="72"/>
  <c r="G31" i="72"/>
  <c r="G19" i="72"/>
  <c r="G22" i="72"/>
  <c r="M22" i="72" s="1"/>
  <c r="G25" i="72"/>
  <c r="G6" i="72"/>
  <c r="G12" i="72"/>
  <c r="G9" i="72"/>
  <c r="P21" i="72"/>
  <c r="G28" i="72"/>
  <c r="G38" i="72"/>
  <c r="G37" i="72"/>
  <c r="G44" i="72"/>
  <c r="G52" i="72"/>
  <c r="M52" i="72" s="1"/>
  <c r="G54" i="72"/>
  <c r="M54" i="72" s="1"/>
  <c r="U26" i="72"/>
  <c r="H26" i="72" s="1"/>
  <c r="G41" i="72"/>
  <c r="G35" i="72"/>
  <c r="G46" i="72"/>
  <c r="M46" i="72" s="1"/>
  <c r="G5" i="72"/>
  <c r="G16" i="72"/>
  <c r="M16" i="72" s="1"/>
  <c r="G37" i="71"/>
  <c r="M11" i="71"/>
  <c r="H20" i="71"/>
  <c r="G33" i="71"/>
  <c r="H31" i="71"/>
  <c r="H30" i="71"/>
  <c r="G26" i="71"/>
  <c r="G44" i="71"/>
  <c r="G46" i="71"/>
  <c r="M46" i="71" s="1"/>
  <c r="G54" i="71"/>
  <c r="M54" i="71" s="1"/>
  <c r="H33" i="71"/>
  <c r="G23" i="71"/>
  <c r="G28" i="71"/>
  <c r="H34" i="71"/>
  <c r="G35" i="71"/>
  <c r="G41" i="71"/>
  <c r="G5" i="71"/>
  <c r="G6" i="71"/>
  <c r="G14" i="71"/>
  <c r="G25" i="71"/>
  <c r="G8" i="71"/>
  <c r="G13" i="71"/>
  <c r="G19" i="71"/>
  <c r="G9" i="71"/>
  <c r="G42" i="71"/>
  <c r="G43" i="71"/>
  <c r="H4" i="71"/>
  <c r="H25" i="71"/>
  <c r="G30" i="70"/>
  <c r="G36" i="70"/>
  <c r="G13" i="70"/>
  <c r="H19" i="70"/>
  <c r="H33" i="70"/>
  <c r="H31" i="70"/>
  <c r="U25" i="70"/>
  <c r="H25" i="70" s="1"/>
  <c r="H35" i="70"/>
  <c r="G6" i="70"/>
  <c r="G8" i="70"/>
  <c r="G22" i="70"/>
  <c r="G24" i="70"/>
  <c r="G25" i="70"/>
  <c r="G9" i="70"/>
  <c r="Q20" i="70"/>
  <c r="G43" i="70"/>
  <c r="G51" i="70"/>
  <c r="M51" i="70" s="1"/>
  <c r="G53" i="70"/>
  <c r="M53" i="70" s="1"/>
  <c r="G42" i="70"/>
  <c r="G34" i="70"/>
  <c r="G45" i="70"/>
  <c r="M45" i="70" s="1"/>
  <c r="G29" i="70"/>
  <c r="G32" i="70"/>
  <c r="G40" i="70"/>
  <c r="G5" i="70"/>
  <c r="G14" i="70"/>
  <c r="G18" i="70"/>
  <c r="H29" i="70"/>
  <c r="G42" i="69"/>
  <c r="G30" i="69"/>
  <c r="G40" i="69"/>
  <c r="U20" i="69"/>
  <c r="H20" i="69" s="1"/>
  <c r="U25" i="69"/>
  <c r="H25" i="69" s="1"/>
  <c r="G36" i="69"/>
  <c r="G43" i="69"/>
  <c r="G47" i="69"/>
  <c r="M47" i="69" s="1"/>
  <c r="G53" i="69"/>
  <c r="M53" i="69" s="1"/>
  <c r="G9" i="69"/>
  <c r="G32" i="69"/>
  <c r="G6" i="69"/>
  <c r="G21" i="69"/>
  <c r="M21" i="69" s="1"/>
  <c r="G24" i="69"/>
  <c r="G29" i="69"/>
  <c r="G45" i="69"/>
  <c r="M45" i="69" s="1"/>
  <c r="G5" i="69"/>
  <c r="G8" i="69"/>
  <c r="G13" i="69"/>
  <c r="G25" i="69"/>
  <c r="G34" i="69"/>
  <c r="H29" i="69"/>
  <c r="M11" i="68"/>
  <c r="G40" i="68"/>
  <c r="U32" i="68"/>
  <c r="H32" i="68" s="1"/>
  <c r="H19" i="68"/>
  <c r="H24" i="68"/>
  <c r="G9" i="68"/>
  <c r="H33" i="68"/>
  <c r="H35" i="68"/>
  <c r="G36" i="68"/>
  <c r="G43" i="68"/>
  <c r="G6" i="68"/>
  <c r="G34" i="68"/>
  <c r="G42" i="68"/>
  <c r="G32" i="68"/>
  <c r="G21" i="68"/>
  <c r="M21" i="68" s="1"/>
  <c r="G25" i="68"/>
  <c r="G29" i="68"/>
  <c r="G8" i="68"/>
  <c r="G41" i="68"/>
  <c r="G47" i="68"/>
  <c r="M47" i="68" s="1"/>
  <c r="G53" i="68"/>
  <c r="M53" i="68" s="1"/>
  <c r="G5" i="68"/>
  <c r="G30" i="68"/>
  <c r="G45" i="68"/>
  <c r="M45" i="68" s="1"/>
  <c r="R20" i="68"/>
  <c r="H29" i="68"/>
  <c r="M11" i="66"/>
  <c r="M11" i="67"/>
  <c r="G36" i="67"/>
  <c r="G8" i="67"/>
  <c r="G27" i="67"/>
  <c r="H35" i="67"/>
  <c r="H23" i="67"/>
  <c r="H33" i="67"/>
  <c r="H31" i="67"/>
  <c r="H26" i="67"/>
  <c r="G21" i="67"/>
  <c r="M21" i="67" s="1"/>
  <c r="G43" i="67"/>
  <c r="G45" i="67"/>
  <c r="M45" i="67" s="1"/>
  <c r="G5" i="67"/>
  <c r="G25" i="67"/>
  <c r="G29" i="67"/>
  <c r="G30" i="67"/>
  <c r="G34" i="67"/>
  <c r="G40" i="67"/>
  <c r="G51" i="67"/>
  <c r="M51" i="67" s="1"/>
  <c r="G53" i="67"/>
  <c r="M53" i="67" s="1"/>
  <c r="G19" i="67"/>
  <c r="G24" i="67"/>
  <c r="G32" i="67"/>
  <c r="G9" i="67"/>
  <c r="G6" i="67"/>
  <c r="G42" i="67"/>
  <c r="U30" i="67"/>
  <c r="H30" i="67" s="1"/>
  <c r="H18" i="67"/>
  <c r="H4" i="67"/>
  <c r="H24" i="67"/>
  <c r="G9" i="66"/>
  <c r="H16" i="66"/>
  <c r="H33" i="66"/>
  <c r="U25" i="66"/>
  <c r="H25" i="66" s="1"/>
  <c r="H31" i="66"/>
  <c r="S52" i="66"/>
  <c r="G8" i="66"/>
  <c r="G17" i="66"/>
  <c r="G30" i="66"/>
  <c r="G34" i="66"/>
  <c r="G5" i="66"/>
  <c r="G6" i="66"/>
  <c r="G19" i="66"/>
  <c r="M19" i="66" s="1"/>
  <c r="G28" i="66"/>
  <c r="G38" i="66"/>
  <c r="G40" i="66"/>
  <c r="G41" i="66"/>
  <c r="G49" i="66"/>
  <c r="M49" i="66" s="1"/>
  <c r="G51" i="66"/>
  <c r="M51" i="66" s="1"/>
  <c r="G22" i="66"/>
  <c r="G25" i="66"/>
  <c r="G27" i="66"/>
  <c r="G32" i="66"/>
  <c r="G23" i="66"/>
  <c r="U28" i="66"/>
  <c r="H28" i="66" s="1"/>
  <c r="H27" i="66"/>
  <c r="H21" i="66"/>
  <c r="U22" i="66"/>
  <c r="P18" i="66"/>
  <c r="T18" i="66"/>
  <c r="T52" i="66" s="1"/>
  <c r="H17" i="66"/>
  <c r="H4" i="66"/>
  <c r="H20" i="66"/>
  <c r="U30" i="66"/>
  <c r="H30" i="66" s="1"/>
  <c r="M36" i="74" l="1"/>
  <c r="G21" i="74"/>
  <c r="M36" i="73"/>
  <c r="M36" i="72"/>
  <c r="M43" i="71"/>
  <c r="H55" i="71"/>
  <c r="U55" i="71"/>
  <c r="H54" i="70"/>
  <c r="U54" i="70"/>
  <c r="M42" i="68"/>
  <c r="U23" i="66"/>
  <c r="H23" i="66" s="1"/>
  <c r="H22" i="66"/>
  <c r="U52" i="66" l="1"/>
  <c r="H52" i="66"/>
  <c r="P36" i="64"/>
  <c r="Q36" i="64"/>
  <c r="R36" i="64"/>
  <c r="S36" i="64"/>
  <c r="T36" i="64"/>
  <c r="U36" i="64"/>
  <c r="H36" i="64" s="1"/>
  <c r="O36" i="64"/>
  <c r="P35" i="64"/>
  <c r="Q35" i="64"/>
  <c r="R35" i="64"/>
  <c r="S35" i="64"/>
  <c r="T35" i="64"/>
  <c r="U35" i="64"/>
  <c r="H35" i="64" s="1"/>
  <c r="O35" i="64"/>
  <c r="J52" i="65"/>
  <c r="I52" i="65"/>
  <c r="U51" i="65"/>
  <c r="H51" i="65" s="1"/>
  <c r="T51" i="65"/>
  <c r="S51" i="65"/>
  <c r="R51" i="65"/>
  <c r="Q51" i="65"/>
  <c r="P51" i="65"/>
  <c r="O51" i="65"/>
  <c r="U50" i="65"/>
  <c r="H50" i="65" s="1"/>
  <c r="S50" i="65"/>
  <c r="P50" i="65"/>
  <c r="O50" i="65"/>
  <c r="H49" i="65"/>
  <c r="U48" i="65"/>
  <c r="H48" i="65" s="1"/>
  <c r="T48" i="65"/>
  <c r="S48" i="65"/>
  <c r="R48" i="65"/>
  <c r="Q48" i="65"/>
  <c r="O48" i="65"/>
  <c r="H47" i="65"/>
  <c r="U46" i="65"/>
  <c r="H46" i="65" s="1"/>
  <c r="U45" i="65"/>
  <c r="H45" i="65" s="1"/>
  <c r="T45" i="65"/>
  <c r="S45" i="65"/>
  <c r="R45" i="65"/>
  <c r="Q45" i="65"/>
  <c r="U43" i="65"/>
  <c r="H43" i="65" s="1"/>
  <c r="U42" i="65"/>
  <c r="H42" i="65" s="1"/>
  <c r="S42" i="65"/>
  <c r="Q42" i="65"/>
  <c r="U41" i="65"/>
  <c r="H41" i="65" s="1"/>
  <c r="T41" i="65"/>
  <c r="S41" i="65"/>
  <c r="R41" i="65"/>
  <c r="Q41" i="65"/>
  <c r="P41" i="65"/>
  <c r="O41" i="65"/>
  <c r="U40" i="65"/>
  <c r="H40" i="65" s="1"/>
  <c r="T40" i="65"/>
  <c r="S40" i="65"/>
  <c r="R40" i="65"/>
  <c r="Q40" i="65"/>
  <c r="P40" i="65"/>
  <c r="O40" i="65"/>
  <c r="U39" i="65"/>
  <c r="H39" i="65" s="1"/>
  <c r="T39" i="65"/>
  <c r="R39" i="65"/>
  <c r="Q39" i="65"/>
  <c r="P39" i="65"/>
  <c r="O39" i="65"/>
  <c r="U38" i="65"/>
  <c r="H38" i="65" s="1"/>
  <c r="T38" i="65"/>
  <c r="S38" i="65"/>
  <c r="R38" i="65"/>
  <c r="Q38" i="65"/>
  <c r="P38" i="65"/>
  <c r="O38" i="65"/>
  <c r="U37" i="65"/>
  <c r="H37" i="65" s="1"/>
  <c r="Q37" i="65"/>
  <c r="H36" i="65"/>
  <c r="G36" i="65"/>
  <c r="H35" i="65"/>
  <c r="T34" i="65"/>
  <c r="S34" i="65"/>
  <c r="R34" i="65"/>
  <c r="Q34" i="65"/>
  <c r="P34" i="65"/>
  <c r="O34" i="65"/>
  <c r="U33" i="65"/>
  <c r="U34" i="65" s="1"/>
  <c r="H34" i="65" s="1"/>
  <c r="Q33" i="65"/>
  <c r="T32" i="65"/>
  <c r="S32" i="65"/>
  <c r="R32" i="65"/>
  <c r="Q32" i="65"/>
  <c r="P32" i="65"/>
  <c r="O32" i="65"/>
  <c r="U31" i="65"/>
  <c r="U32" i="65" s="1"/>
  <c r="H32" i="65" s="1"/>
  <c r="Q31" i="65"/>
  <c r="T30" i="65"/>
  <c r="S30" i="65"/>
  <c r="R30" i="65"/>
  <c r="Q30" i="65"/>
  <c r="P30" i="65"/>
  <c r="O30" i="65"/>
  <c r="U29" i="65"/>
  <c r="U30" i="65" s="1"/>
  <c r="H30" i="65" s="1"/>
  <c r="Q29" i="65"/>
  <c r="T28" i="65"/>
  <c r="S28" i="65"/>
  <c r="R28" i="65"/>
  <c r="Q28" i="65"/>
  <c r="P28" i="65"/>
  <c r="O28" i="65"/>
  <c r="T27" i="65"/>
  <c r="S27" i="65"/>
  <c r="R27" i="65"/>
  <c r="Q27" i="65"/>
  <c r="P27" i="65"/>
  <c r="O27" i="65"/>
  <c r="U26" i="65"/>
  <c r="U27" i="65" s="1"/>
  <c r="T25" i="65"/>
  <c r="S25" i="65"/>
  <c r="R25" i="65"/>
  <c r="Q25" i="65"/>
  <c r="P25" i="65"/>
  <c r="O25" i="65"/>
  <c r="T23" i="65"/>
  <c r="S23" i="65"/>
  <c r="R23" i="65"/>
  <c r="Q23" i="65"/>
  <c r="P23" i="65"/>
  <c r="O23" i="65"/>
  <c r="T22" i="65"/>
  <c r="S22" i="65"/>
  <c r="R22" i="65"/>
  <c r="Q22" i="65"/>
  <c r="P22" i="65"/>
  <c r="O22" i="65"/>
  <c r="T21" i="65"/>
  <c r="S21" i="65"/>
  <c r="R21" i="65"/>
  <c r="Q21" i="65"/>
  <c r="P21" i="65"/>
  <c r="O21" i="65"/>
  <c r="U19" i="65"/>
  <c r="H19" i="65" s="1"/>
  <c r="S19" i="65"/>
  <c r="R19" i="65"/>
  <c r="Q19" i="65"/>
  <c r="P19" i="65"/>
  <c r="O19" i="65"/>
  <c r="T17" i="65"/>
  <c r="S17" i="65"/>
  <c r="R17" i="65"/>
  <c r="Q17" i="65"/>
  <c r="P17" i="65"/>
  <c r="O17" i="65"/>
  <c r="U15" i="65"/>
  <c r="H15" i="65" s="1"/>
  <c r="H14" i="65"/>
  <c r="U13" i="65"/>
  <c r="U12" i="65"/>
  <c r="R12" i="65"/>
  <c r="H11" i="65"/>
  <c r="G11" i="65"/>
  <c r="U10" i="65"/>
  <c r="H10" i="65" s="1"/>
  <c r="T10" i="65"/>
  <c r="Q10" i="65"/>
  <c r="U9" i="65"/>
  <c r="H9" i="65" s="1"/>
  <c r="T9" i="65"/>
  <c r="S9" i="65"/>
  <c r="R9" i="65"/>
  <c r="Q9" i="65"/>
  <c r="P9" i="65"/>
  <c r="O9" i="65"/>
  <c r="U8" i="65"/>
  <c r="H8" i="65" s="1"/>
  <c r="T8" i="65"/>
  <c r="S8" i="65"/>
  <c r="R8" i="65"/>
  <c r="Q8" i="65"/>
  <c r="P8" i="65"/>
  <c r="O8" i="65"/>
  <c r="U7" i="65"/>
  <c r="H7" i="65" s="1"/>
  <c r="Q7" i="65"/>
  <c r="U6" i="65"/>
  <c r="H6" i="65" s="1"/>
  <c r="T6" i="65"/>
  <c r="S6" i="65"/>
  <c r="R6" i="65"/>
  <c r="Q6" i="65"/>
  <c r="P6" i="65"/>
  <c r="O6" i="65"/>
  <c r="U4" i="65"/>
  <c r="H4" i="65" s="1"/>
  <c r="O4" i="65"/>
  <c r="P35" i="63"/>
  <c r="Q35" i="63"/>
  <c r="R35" i="63"/>
  <c r="S35" i="63"/>
  <c r="T35" i="63"/>
  <c r="U35" i="63"/>
  <c r="H35" i="63" s="1"/>
  <c r="O35" i="63"/>
  <c r="P17" i="63"/>
  <c r="Q17" i="63"/>
  <c r="R17" i="63"/>
  <c r="S17" i="63"/>
  <c r="T17" i="63"/>
  <c r="U17" i="63"/>
  <c r="O17" i="63"/>
  <c r="J52" i="64"/>
  <c r="I52" i="64"/>
  <c r="U51" i="64"/>
  <c r="H51" i="64" s="1"/>
  <c r="T51" i="64"/>
  <c r="S51" i="64"/>
  <c r="R51" i="64"/>
  <c r="Q51" i="64"/>
  <c r="P51" i="64"/>
  <c r="O51" i="64"/>
  <c r="U50" i="64"/>
  <c r="H50" i="64" s="1"/>
  <c r="T50" i="64"/>
  <c r="S50" i="64"/>
  <c r="R50" i="64"/>
  <c r="U49" i="64"/>
  <c r="H49" i="64" s="1"/>
  <c r="T49" i="64"/>
  <c r="S49" i="64"/>
  <c r="R49" i="64"/>
  <c r="Q49" i="64"/>
  <c r="P49" i="64"/>
  <c r="O49" i="64"/>
  <c r="U48" i="64"/>
  <c r="H48" i="64" s="1"/>
  <c r="T48" i="64"/>
  <c r="S48" i="64"/>
  <c r="Q48" i="64"/>
  <c r="U47" i="64"/>
  <c r="H47" i="64" s="1"/>
  <c r="T47" i="64"/>
  <c r="S47" i="64"/>
  <c r="R47" i="64"/>
  <c r="Q47" i="64"/>
  <c r="P47" i="64"/>
  <c r="O47" i="64"/>
  <c r="Q46" i="64"/>
  <c r="S45" i="64"/>
  <c r="U43" i="64"/>
  <c r="H43" i="64" s="1"/>
  <c r="T42" i="64"/>
  <c r="U41" i="64"/>
  <c r="H41" i="64" s="1"/>
  <c r="T41" i="64"/>
  <c r="S41" i="64"/>
  <c r="R41" i="64"/>
  <c r="Q41" i="64"/>
  <c r="P41" i="64"/>
  <c r="O41" i="64"/>
  <c r="U40" i="64"/>
  <c r="H40" i="64" s="1"/>
  <c r="T40" i="64"/>
  <c r="S40" i="64"/>
  <c r="R40" i="64"/>
  <c r="Q40" i="64"/>
  <c r="P40" i="64"/>
  <c r="O40" i="64"/>
  <c r="U39" i="64"/>
  <c r="H39" i="64" s="1"/>
  <c r="T39" i="64"/>
  <c r="R39" i="64"/>
  <c r="Q39" i="64"/>
  <c r="P39" i="64"/>
  <c r="O39" i="64"/>
  <c r="U38" i="64"/>
  <c r="H38" i="64" s="1"/>
  <c r="T38" i="64"/>
  <c r="S38" i="64"/>
  <c r="R38" i="64"/>
  <c r="Q38" i="64"/>
  <c r="P38" i="64"/>
  <c r="O38" i="64"/>
  <c r="U37" i="64"/>
  <c r="H37" i="64" s="1"/>
  <c r="T37" i="64"/>
  <c r="S37" i="64"/>
  <c r="T34" i="64"/>
  <c r="S34" i="64"/>
  <c r="R34" i="64"/>
  <c r="Q34" i="64"/>
  <c r="P34" i="64"/>
  <c r="O34" i="64"/>
  <c r="U33" i="64"/>
  <c r="U34" i="64" s="1"/>
  <c r="H34" i="64" s="1"/>
  <c r="T33" i="64"/>
  <c r="T32" i="64"/>
  <c r="S32" i="64"/>
  <c r="R32" i="64"/>
  <c r="Q32" i="64"/>
  <c r="P32" i="64"/>
  <c r="O32" i="64"/>
  <c r="U31" i="64"/>
  <c r="U32" i="64" s="1"/>
  <c r="H32" i="64" s="1"/>
  <c r="T30" i="64"/>
  <c r="S30" i="64"/>
  <c r="R30" i="64"/>
  <c r="Q30" i="64"/>
  <c r="P30" i="64"/>
  <c r="O30" i="64"/>
  <c r="U29" i="64"/>
  <c r="U30" i="64" s="1"/>
  <c r="H30" i="64" s="1"/>
  <c r="T28" i="64"/>
  <c r="S28" i="64"/>
  <c r="R28" i="64"/>
  <c r="Q28" i="64"/>
  <c r="P28" i="64"/>
  <c r="O28" i="64"/>
  <c r="T27" i="64"/>
  <c r="S27" i="64"/>
  <c r="R27" i="64"/>
  <c r="Q27" i="64"/>
  <c r="P27" i="64"/>
  <c r="O27" i="64"/>
  <c r="T25" i="64"/>
  <c r="S25" i="64"/>
  <c r="R25" i="64"/>
  <c r="Q25" i="64"/>
  <c r="P25" i="64"/>
  <c r="O25" i="64"/>
  <c r="T24" i="64"/>
  <c r="S24" i="64"/>
  <c r="R24" i="64"/>
  <c r="Q24" i="64"/>
  <c r="P24" i="64"/>
  <c r="O24" i="64"/>
  <c r="T23" i="64"/>
  <c r="S23" i="64"/>
  <c r="R23" i="64"/>
  <c r="Q23" i="64"/>
  <c r="P23" i="64"/>
  <c r="O23" i="64"/>
  <c r="T22" i="64"/>
  <c r="S22" i="64"/>
  <c r="R22" i="64"/>
  <c r="Q22" i="64"/>
  <c r="P22" i="64"/>
  <c r="O22" i="64"/>
  <c r="T21" i="64"/>
  <c r="S21" i="64"/>
  <c r="R21" i="64"/>
  <c r="Q21" i="64"/>
  <c r="P21" i="64"/>
  <c r="O21" i="64"/>
  <c r="S20" i="64"/>
  <c r="R20" i="64"/>
  <c r="P20" i="64"/>
  <c r="U19" i="64"/>
  <c r="H19" i="64" s="1"/>
  <c r="T19" i="64"/>
  <c r="R19" i="64"/>
  <c r="T17" i="64"/>
  <c r="S17" i="64"/>
  <c r="R17" i="64"/>
  <c r="Q17" i="64"/>
  <c r="P17" i="64"/>
  <c r="O17" i="64"/>
  <c r="U15" i="64"/>
  <c r="H15" i="64" s="1"/>
  <c r="T15" i="64"/>
  <c r="S15" i="64"/>
  <c r="R15" i="64"/>
  <c r="U14" i="64"/>
  <c r="H14" i="64" s="1"/>
  <c r="T14" i="64"/>
  <c r="S14" i="64"/>
  <c r="R14" i="64"/>
  <c r="U13" i="64"/>
  <c r="H11" i="64"/>
  <c r="G11" i="64"/>
  <c r="U10" i="64"/>
  <c r="H10" i="64" s="1"/>
  <c r="T10" i="64"/>
  <c r="U9" i="64"/>
  <c r="H9" i="64" s="1"/>
  <c r="T9" i="64"/>
  <c r="S9" i="64"/>
  <c r="R9" i="64"/>
  <c r="Q9" i="64"/>
  <c r="P9" i="64"/>
  <c r="O9" i="64"/>
  <c r="U8" i="64"/>
  <c r="H8" i="64" s="1"/>
  <c r="T8" i="64"/>
  <c r="S8" i="64"/>
  <c r="R8" i="64"/>
  <c r="Q8" i="64"/>
  <c r="P8" i="64"/>
  <c r="O8" i="64"/>
  <c r="U7" i="64"/>
  <c r="H7" i="64" s="1"/>
  <c r="U6" i="64"/>
  <c r="H6" i="64" s="1"/>
  <c r="T6" i="64"/>
  <c r="S6" i="64"/>
  <c r="R6" i="64"/>
  <c r="Q6" i="64"/>
  <c r="P6" i="64"/>
  <c r="O6" i="64"/>
  <c r="U5" i="64"/>
  <c r="H5" i="64" s="1"/>
  <c r="T5" i="64"/>
  <c r="S5" i="64"/>
  <c r="R5" i="64"/>
  <c r="Q5" i="64"/>
  <c r="P5" i="64"/>
  <c r="O5" i="64"/>
  <c r="U4" i="64"/>
  <c r="T4" i="64"/>
  <c r="S4" i="64"/>
  <c r="J52" i="63"/>
  <c r="I52" i="63"/>
  <c r="U51" i="63"/>
  <c r="H51" i="63" s="1"/>
  <c r="T51" i="63"/>
  <c r="S51" i="63"/>
  <c r="R51" i="63"/>
  <c r="Q51" i="63"/>
  <c r="P51" i="63"/>
  <c r="O51" i="63"/>
  <c r="U50" i="63"/>
  <c r="H50" i="63" s="1"/>
  <c r="T50" i="63"/>
  <c r="S50" i="63"/>
  <c r="R50" i="63"/>
  <c r="Q50" i="63"/>
  <c r="O50" i="63"/>
  <c r="U49" i="63"/>
  <c r="H49" i="63" s="1"/>
  <c r="T49" i="63"/>
  <c r="S49" i="63"/>
  <c r="R49" i="63"/>
  <c r="Q49" i="63"/>
  <c r="P49" i="63"/>
  <c r="O49" i="63"/>
  <c r="U48" i="63"/>
  <c r="H48" i="63" s="1"/>
  <c r="T48" i="63"/>
  <c r="O48" i="63"/>
  <c r="U47" i="63"/>
  <c r="H47" i="63" s="1"/>
  <c r="T47" i="63"/>
  <c r="S47" i="63"/>
  <c r="R47" i="63"/>
  <c r="Q47" i="63"/>
  <c r="P47" i="63"/>
  <c r="O47" i="63"/>
  <c r="U46" i="63"/>
  <c r="H46" i="63" s="1"/>
  <c r="T46" i="63"/>
  <c r="R46" i="63"/>
  <c r="Q46" i="63"/>
  <c r="P46" i="63"/>
  <c r="U45" i="63"/>
  <c r="H45" i="63" s="1"/>
  <c r="T45" i="63"/>
  <c r="S45" i="63"/>
  <c r="R45" i="63"/>
  <c r="Q45" i="63"/>
  <c r="P45" i="63"/>
  <c r="O45" i="63"/>
  <c r="U44" i="63"/>
  <c r="H44" i="63" s="1"/>
  <c r="T44" i="63"/>
  <c r="U43" i="63"/>
  <c r="H43" i="63" s="1"/>
  <c r="T43" i="63"/>
  <c r="P43" i="63"/>
  <c r="U42" i="63"/>
  <c r="H42" i="63" s="1"/>
  <c r="T42" i="63"/>
  <c r="U41" i="63"/>
  <c r="H41" i="63" s="1"/>
  <c r="T41" i="63"/>
  <c r="S41" i="63"/>
  <c r="R41" i="63"/>
  <c r="Q41" i="63"/>
  <c r="P41" i="63"/>
  <c r="O41" i="63"/>
  <c r="U40" i="63"/>
  <c r="H40" i="63" s="1"/>
  <c r="T40" i="63"/>
  <c r="S40" i="63"/>
  <c r="R40" i="63"/>
  <c r="Q40" i="63"/>
  <c r="P40" i="63"/>
  <c r="O40" i="63"/>
  <c r="U39" i="63"/>
  <c r="H39" i="63" s="1"/>
  <c r="T39" i="63"/>
  <c r="S39" i="63"/>
  <c r="R39" i="63"/>
  <c r="Q39" i="63"/>
  <c r="O39" i="63"/>
  <c r="U38" i="63"/>
  <c r="H38" i="63" s="1"/>
  <c r="T38" i="63"/>
  <c r="S38" i="63"/>
  <c r="R38" i="63"/>
  <c r="Q38" i="63"/>
  <c r="P38" i="63"/>
  <c r="O38" i="63"/>
  <c r="U37" i="63"/>
  <c r="H37" i="63" s="1"/>
  <c r="T37" i="63"/>
  <c r="S37" i="63"/>
  <c r="R37" i="63"/>
  <c r="Q37" i="63"/>
  <c r="P37" i="63"/>
  <c r="O37" i="63"/>
  <c r="T34" i="63"/>
  <c r="S34" i="63"/>
  <c r="R34" i="63"/>
  <c r="Q34" i="63"/>
  <c r="P34" i="63"/>
  <c r="O34" i="63"/>
  <c r="U33" i="63"/>
  <c r="U34" i="63" s="1"/>
  <c r="H34" i="63" s="1"/>
  <c r="T33" i="63"/>
  <c r="R33" i="63"/>
  <c r="T32" i="63"/>
  <c r="S32" i="63"/>
  <c r="R32" i="63"/>
  <c r="Q32" i="63"/>
  <c r="P32" i="63"/>
  <c r="O32" i="63"/>
  <c r="U31" i="63"/>
  <c r="U32" i="63" s="1"/>
  <c r="H32" i="63" s="1"/>
  <c r="T31" i="63"/>
  <c r="T30" i="63"/>
  <c r="S30" i="63"/>
  <c r="R30" i="63"/>
  <c r="Q30" i="63"/>
  <c r="P30" i="63"/>
  <c r="O30" i="63"/>
  <c r="U29" i="63"/>
  <c r="U30" i="63" s="1"/>
  <c r="H30" i="63" s="1"/>
  <c r="T29" i="63"/>
  <c r="P29" i="63"/>
  <c r="O29" i="63"/>
  <c r="T28" i="63"/>
  <c r="S28" i="63"/>
  <c r="R28" i="63"/>
  <c r="Q28" i="63"/>
  <c r="P28" i="63"/>
  <c r="O28" i="63"/>
  <c r="T27" i="63"/>
  <c r="S27" i="63"/>
  <c r="R27" i="63"/>
  <c r="Q27" i="63"/>
  <c r="P27" i="63"/>
  <c r="O27" i="63"/>
  <c r="U26" i="63"/>
  <c r="U27" i="63" s="1"/>
  <c r="T26" i="63"/>
  <c r="T25" i="63"/>
  <c r="S25" i="63"/>
  <c r="R25" i="63"/>
  <c r="Q25" i="63"/>
  <c r="P25" i="63"/>
  <c r="O25" i="63"/>
  <c r="T24" i="63"/>
  <c r="S24" i="63"/>
  <c r="R24" i="63"/>
  <c r="Q24" i="63"/>
  <c r="P24" i="63"/>
  <c r="O24" i="63"/>
  <c r="T23" i="63"/>
  <c r="S23" i="63"/>
  <c r="R23" i="63"/>
  <c r="Q23" i="63"/>
  <c r="P23" i="63"/>
  <c r="O23" i="63"/>
  <c r="T22" i="63"/>
  <c r="S22" i="63"/>
  <c r="R22" i="63"/>
  <c r="Q22" i="63"/>
  <c r="P22" i="63"/>
  <c r="O22" i="63"/>
  <c r="T21" i="63"/>
  <c r="S21" i="63"/>
  <c r="R21" i="63"/>
  <c r="Q21" i="63"/>
  <c r="P21" i="63"/>
  <c r="O21" i="63"/>
  <c r="U20" i="63"/>
  <c r="U21" i="63" s="1"/>
  <c r="U22" i="63" s="1"/>
  <c r="T20" i="63"/>
  <c r="S20" i="63"/>
  <c r="Q20" i="63"/>
  <c r="U19" i="63"/>
  <c r="H19" i="63" s="1"/>
  <c r="T19" i="63"/>
  <c r="Q19" i="63"/>
  <c r="P19" i="63"/>
  <c r="O19" i="63"/>
  <c r="U16" i="63"/>
  <c r="T16" i="63"/>
  <c r="U15" i="63"/>
  <c r="H15" i="63" s="1"/>
  <c r="T15" i="63"/>
  <c r="S15" i="63"/>
  <c r="R15" i="63"/>
  <c r="Q15" i="63"/>
  <c r="P15" i="63"/>
  <c r="O15" i="63"/>
  <c r="U14" i="63"/>
  <c r="H14" i="63" s="1"/>
  <c r="T14" i="63"/>
  <c r="S14" i="63"/>
  <c r="R14" i="63"/>
  <c r="Q14" i="63"/>
  <c r="P14" i="63"/>
  <c r="O14" i="63"/>
  <c r="U13" i="63"/>
  <c r="T13" i="63"/>
  <c r="U12" i="63"/>
  <c r="T12" i="63"/>
  <c r="R12" i="63"/>
  <c r="Q12" i="63"/>
  <c r="H11" i="63"/>
  <c r="G11" i="63"/>
  <c r="U10" i="63"/>
  <c r="H10" i="63" s="1"/>
  <c r="T10" i="63"/>
  <c r="U9" i="63"/>
  <c r="H9" i="63" s="1"/>
  <c r="T9" i="63"/>
  <c r="S9" i="63"/>
  <c r="R9" i="63"/>
  <c r="Q9" i="63"/>
  <c r="P9" i="63"/>
  <c r="O9" i="63"/>
  <c r="U8" i="63"/>
  <c r="H8" i="63" s="1"/>
  <c r="T8" i="63"/>
  <c r="S8" i="63"/>
  <c r="R8" i="63"/>
  <c r="Q8" i="63"/>
  <c r="P8" i="63"/>
  <c r="O8" i="63"/>
  <c r="U7" i="63"/>
  <c r="H7" i="63" s="1"/>
  <c r="T7" i="63"/>
  <c r="U6" i="63"/>
  <c r="H6" i="63" s="1"/>
  <c r="T6" i="63"/>
  <c r="S6" i="63"/>
  <c r="R6" i="63"/>
  <c r="Q6" i="63"/>
  <c r="P6" i="63"/>
  <c r="O6" i="63"/>
  <c r="U5" i="63"/>
  <c r="H5" i="63" s="1"/>
  <c r="T5" i="63"/>
  <c r="S5" i="63"/>
  <c r="R5" i="63"/>
  <c r="Q5" i="63"/>
  <c r="P5" i="63"/>
  <c r="O5" i="63"/>
  <c r="U4" i="63"/>
  <c r="H4" i="63" s="1"/>
  <c r="T4" i="63"/>
  <c r="T36" i="63" s="1"/>
  <c r="O4" i="63"/>
  <c r="O36" i="63" s="1"/>
  <c r="P17" i="60"/>
  <c r="Q17" i="60"/>
  <c r="R17" i="60"/>
  <c r="S17" i="60"/>
  <c r="T17" i="60"/>
  <c r="U17" i="60"/>
  <c r="O47" i="60"/>
  <c r="P47" i="60"/>
  <c r="R47" i="60"/>
  <c r="T47" i="60"/>
  <c r="S45" i="60"/>
  <c r="T45" i="60"/>
  <c r="O45" i="60"/>
  <c r="P49" i="60"/>
  <c r="Q49" i="60"/>
  <c r="R49" i="60"/>
  <c r="S49" i="60"/>
  <c r="T49" i="60"/>
  <c r="O49" i="60"/>
  <c r="M11" i="63" l="1"/>
  <c r="M11" i="65"/>
  <c r="M11" i="64"/>
  <c r="G28" i="63"/>
  <c r="G30" i="63"/>
  <c r="G9" i="64"/>
  <c r="G24" i="64"/>
  <c r="G6" i="65"/>
  <c r="G32" i="64"/>
  <c r="H29" i="65"/>
  <c r="G35" i="63"/>
  <c r="H33" i="65"/>
  <c r="H29" i="63"/>
  <c r="U36" i="63"/>
  <c r="H36" i="63" s="1"/>
  <c r="H31" i="65"/>
  <c r="G36" i="64"/>
  <c r="U28" i="65"/>
  <c r="H28" i="65" s="1"/>
  <c r="H27" i="65"/>
  <c r="G17" i="65"/>
  <c r="G22" i="65"/>
  <c r="G34" i="65"/>
  <c r="G9" i="65"/>
  <c r="G23" i="65"/>
  <c r="G25" i="65"/>
  <c r="G27" i="65"/>
  <c r="G32" i="65"/>
  <c r="G38" i="65"/>
  <c r="G40" i="65"/>
  <c r="G5" i="65"/>
  <c r="G8" i="65"/>
  <c r="G21" i="65"/>
  <c r="G28" i="65"/>
  <c r="G30" i="65"/>
  <c r="G41" i="65"/>
  <c r="G51" i="65"/>
  <c r="M51" i="65" s="1"/>
  <c r="O18" i="65"/>
  <c r="G8" i="64"/>
  <c r="G5" i="64"/>
  <c r="G6" i="64"/>
  <c r="G17" i="64"/>
  <c r="G21" i="64"/>
  <c r="G23" i="64"/>
  <c r="G27" i="64"/>
  <c r="G40" i="64"/>
  <c r="G41" i="64"/>
  <c r="G28" i="64"/>
  <c r="G30" i="64"/>
  <c r="G38" i="64"/>
  <c r="G49" i="64"/>
  <c r="M49" i="64" s="1"/>
  <c r="G22" i="64"/>
  <c r="G51" i="64"/>
  <c r="M51" i="64" s="1"/>
  <c r="G25" i="64"/>
  <c r="G34" i="64"/>
  <c r="G47" i="64"/>
  <c r="M47" i="64" s="1"/>
  <c r="H31" i="63"/>
  <c r="H20" i="63"/>
  <c r="H29" i="64"/>
  <c r="H31" i="64"/>
  <c r="H33" i="64"/>
  <c r="T18" i="64"/>
  <c r="G15" i="63"/>
  <c r="M15" i="63" s="1"/>
  <c r="G17" i="63"/>
  <c r="G23" i="63"/>
  <c r="H33" i="63"/>
  <c r="G6" i="63"/>
  <c r="G8" i="63"/>
  <c r="G25" i="63"/>
  <c r="G27" i="63"/>
  <c r="G40" i="63"/>
  <c r="G41" i="63"/>
  <c r="G45" i="63"/>
  <c r="M45" i="63" s="1"/>
  <c r="G47" i="63"/>
  <c r="M47" i="63" s="1"/>
  <c r="G49" i="63"/>
  <c r="M49" i="63" s="1"/>
  <c r="G14" i="63"/>
  <c r="M14" i="63" s="1"/>
  <c r="G32" i="63"/>
  <c r="G37" i="63"/>
  <c r="M37" i="63" s="1"/>
  <c r="G38" i="63"/>
  <c r="G21" i="63"/>
  <c r="G34" i="63"/>
  <c r="G5" i="63"/>
  <c r="G51" i="63"/>
  <c r="M51" i="63" s="1"/>
  <c r="G9" i="63"/>
  <c r="G22" i="63"/>
  <c r="G24" i="63"/>
  <c r="S18" i="64"/>
  <c r="H4" i="64"/>
  <c r="H27" i="63"/>
  <c r="U28" i="63"/>
  <c r="H28" i="63" s="1"/>
  <c r="U23" i="63"/>
  <c r="H22" i="63"/>
  <c r="U18" i="63"/>
  <c r="H18" i="63" s="1"/>
  <c r="H17" i="63"/>
  <c r="H21" i="63"/>
  <c r="O18" i="63"/>
  <c r="T18" i="63"/>
  <c r="T52" i="63" s="1"/>
  <c r="Q50" i="62"/>
  <c r="R50" i="62"/>
  <c r="S50" i="62"/>
  <c r="T50" i="62"/>
  <c r="U50" i="62"/>
  <c r="H50" i="62" s="1"/>
  <c r="Q48" i="62"/>
  <c r="S48" i="62"/>
  <c r="T48" i="62"/>
  <c r="U48" i="62"/>
  <c r="H48" i="62" s="1"/>
  <c r="P45" i="62"/>
  <c r="R45" i="62"/>
  <c r="S45" i="62"/>
  <c r="U45" i="62"/>
  <c r="H45" i="62" s="1"/>
  <c r="Q46" i="62"/>
  <c r="R46" i="62"/>
  <c r="S46" i="62"/>
  <c r="T46" i="62"/>
  <c r="U46" i="62"/>
  <c r="H46" i="62" s="1"/>
  <c r="S44" i="62"/>
  <c r="U44" i="62"/>
  <c r="H44" i="62" s="1"/>
  <c r="P43" i="62"/>
  <c r="S43" i="62"/>
  <c r="U43" i="62"/>
  <c r="H43" i="62" s="1"/>
  <c r="O43" i="62"/>
  <c r="Q42" i="62"/>
  <c r="R42" i="62"/>
  <c r="S42" i="62"/>
  <c r="T42" i="62"/>
  <c r="U42" i="62"/>
  <c r="H42" i="62" s="1"/>
  <c r="O42" i="62"/>
  <c r="P39" i="62"/>
  <c r="Q39" i="62"/>
  <c r="R39" i="62"/>
  <c r="S39" i="62"/>
  <c r="T39" i="62"/>
  <c r="U39" i="62"/>
  <c r="H39" i="62" s="1"/>
  <c r="O39" i="62"/>
  <c r="S37" i="62"/>
  <c r="T37" i="62"/>
  <c r="U37" i="62"/>
  <c r="H37" i="62" s="1"/>
  <c r="S33" i="62"/>
  <c r="T33" i="62"/>
  <c r="U33" i="62"/>
  <c r="U34" i="62" s="1"/>
  <c r="H34" i="62" s="1"/>
  <c r="R31" i="62"/>
  <c r="S31" i="62"/>
  <c r="U31" i="62"/>
  <c r="H31" i="62" s="1"/>
  <c r="S29" i="62"/>
  <c r="U29" i="62"/>
  <c r="U30" i="62" s="1"/>
  <c r="H30" i="62" s="1"/>
  <c r="U26" i="62"/>
  <c r="U27" i="62" s="1"/>
  <c r="P20" i="62"/>
  <c r="R20" i="62"/>
  <c r="S20" i="62"/>
  <c r="U20" i="62"/>
  <c r="U21" i="62" s="1"/>
  <c r="O20" i="62"/>
  <c r="R19" i="62"/>
  <c r="S19" i="62"/>
  <c r="T19" i="62"/>
  <c r="U19" i="62"/>
  <c r="H19" i="62" s="1"/>
  <c r="S16" i="62"/>
  <c r="U16" i="62"/>
  <c r="U17" i="62" s="1"/>
  <c r="R15" i="62"/>
  <c r="S15" i="62"/>
  <c r="T15" i="62"/>
  <c r="U15" i="62"/>
  <c r="R14" i="62"/>
  <c r="S14" i="62"/>
  <c r="T14" i="62"/>
  <c r="U14" i="62"/>
  <c r="H14" i="62" s="1"/>
  <c r="R13" i="62"/>
  <c r="U13" i="62"/>
  <c r="U12" i="62"/>
  <c r="P10" i="62"/>
  <c r="Q10" i="62"/>
  <c r="S10" i="62"/>
  <c r="T10" i="62"/>
  <c r="U10" i="62"/>
  <c r="S7" i="62"/>
  <c r="U7" i="62"/>
  <c r="H7" i="62" s="1"/>
  <c r="P4" i="62"/>
  <c r="R4" i="62"/>
  <c r="R18" i="62" s="1"/>
  <c r="S4" i="62"/>
  <c r="T4" i="62"/>
  <c r="U4" i="62"/>
  <c r="H4" i="62" s="1"/>
  <c r="J52" i="62"/>
  <c r="I52" i="62"/>
  <c r="U51" i="62"/>
  <c r="H51" i="62" s="1"/>
  <c r="T51" i="62"/>
  <c r="S51" i="62"/>
  <c r="R51" i="62"/>
  <c r="Q51" i="62"/>
  <c r="P51" i="62"/>
  <c r="O51" i="62"/>
  <c r="U49" i="62"/>
  <c r="H49" i="62" s="1"/>
  <c r="T49" i="62"/>
  <c r="S49" i="62"/>
  <c r="R49" i="62"/>
  <c r="Q49" i="62"/>
  <c r="P49" i="62"/>
  <c r="O49" i="62"/>
  <c r="U47" i="62"/>
  <c r="H47" i="62" s="1"/>
  <c r="T47" i="62"/>
  <c r="S47" i="62"/>
  <c r="R47" i="62"/>
  <c r="Q47" i="62"/>
  <c r="P47" i="62"/>
  <c r="O47" i="62"/>
  <c r="U41" i="62"/>
  <c r="H41" i="62" s="1"/>
  <c r="T41" i="62"/>
  <c r="S41" i="62"/>
  <c r="R41" i="62"/>
  <c r="Q41" i="62"/>
  <c r="P41" i="62"/>
  <c r="O41" i="62"/>
  <c r="U40" i="62"/>
  <c r="H40" i="62" s="1"/>
  <c r="T40" i="62"/>
  <c r="S40" i="62"/>
  <c r="R40" i="62"/>
  <c r="Q40" i="62"/>
  <c r="P40" i="62"/>
  <c r="O40" i="62"/>
  <c r="U38" i="62"/>
  <c r="H38" i="62" s="1"/>
  <c r="T38" i="62"/>
  <c r="S38" i="62"/>
  <c r="R38" i="62"/>
  <c r="Q38" i="62"/>
  <c r="P38" i="62"/>
  <c r="O38" i="62"/>
  <c r="H36" i="62"/>
  <c r="G36" i="62"/>
  <c r="H35" i="62"/>
  <c r="T34" i="62"/>
  <c r="S34" i="62"/>
  <c r="R34" i="62"/>
  <c r="Q34" i="62"/>
  <c r="P34" i="62"/>
  <c r="O34" i="62"/>
  <c r="T32" i="62"/>
  <c r="S32" i="62"/>
  <c r="R32" i="62"/>
  <c r="Q32" i="62"/>
  <c r="P32" i="62"/>
  <c r="O32" i="62"/>
  <c r="T30" i="62"/>
  <c r="S30" i="62"/>
  <c r="R30" i="62"/>
  <c r="Q30" i="62"/>
  <c r="P30" i="62"/>
  <c r="O30" i="62"/>
  <c r="T28" i="62"/>
  <c r="S28" i="62"/>
  <c r="R28" i="62"/>
  <c r="Q28" i="62"/>
  <c r="P28" i="62"/>
  <c r="O28" i="62"/>
  <c r="T27" i="62"/>
  <c r="S27" i="62"/>
  <c r="R27" i="62"/>
  <c r="Q27" i="62"/>
  <c r="P27" i="62"/>
  <c r="O27" i="62"/>
  <c r="T25" i="62"/>
  <c r="S25" i="62"/>
  <c r="R25" i="62"/>
  <c r="Q25" i="62"/>
  <c r="P25" i="62"/>
  <c r="O25" i="62"/>
  <c r="T24" i="62"/>
  <c r="S24" i="62"/>
  <c r="R24" i="62"/>
  <c r="Q24" i="62"/>
  <c r="P24" i="62"/>
  <c r="O24" i="62"/>
  <c r="T23" i="62"/>
  <c r="S23" i="62"/>
  <c r="R23" i="62"/>
  <c r="Q23" i="62"/>
  <c r="P23" i="62"/>
  <c r="O23" i="62"/>
  <c r="T22" i="62"/>
  <c r="S22" i="62"/>
  <c r="R22" i="62"/>
  <c r="Q22" i="62"/>
  <c r="P22" i="62"/>
  <c r="O22" i="62"/>
  <c r="T21" i="62"/>
  <c r="S21" i="62"/>
  <c r="R21" i="62"/>
  <c r="Q21" i="62"/>
  <c r="P21" i="62"/>
  <c r="O21" i="62"/>
  <c r="T17" i="62"/>
  <c r="S17" i="62"/>
  <c r="R17" i="62"/>
  <c r="Q17" i="62"/>
  <c r="P17" i="62"/>
  <c r="O17" i="62"/>
  <c r="H11" i="62"/>
  <c r="G11" i="62"/>
  <c r="U9" i="62"/>
  <c r="H9" i="62" s="1"/>
  <c r="T9" i="62"/>
  <c r="S9" i="62"/>
  <c r="R9" i="62"/>
  <c r="Q9" i="62"/>
  <c r="P9" i="62"/>
  <c r="O9" i="62"/>
  <c r="U8" i="62"/>
  <c r="H8" i="62" s="1"/>
  <c r="T8" i="62"/>
  <c r="S8" i="62"/>
  <c r="R8" i="62"/>
  <c r="Q8" i="62"/>
  <c r="P8" i="62"/>
  <c r="O8" i="62"/>
  <c r="U6" i="62"/>
  <c r="H6" i="62" s="1"/>
  <c r="T6" i="62"/>
  <c r="S6" i="62"/>
  <c r="R6" i="62"/>
  <c r="Q6" i="62"/>
  <c r="P6" i="62"/>
  <c r="O6" i="62"/>
  <c r="U5" i="62"/>
  <c r="H5" i="62" s="1"/>
  <c r="T5" i="62"/>
  <c r="S5" i="62"/>
  <c r="R5" i="62"/>
  <c r="Q5" i="62"/>
  <c r="P5" i="62"/>
  <c r="O5" i="62"/>
  <c r="P42" i="60"/>
  <c r="Q42" i="60"/>
  <c r="T42" i="60"/>
  <c r="U42" i="60"/>
  <c r="H42" i="60" s="1"/>
  <c r="U19" i="60"/>
  <c r="P51" i="60"/>
  <c r="Q51" i="60"/>
  <c r="R51" i="60"/>
  <c r="S51" i="60"/>
  <c r="T51" i="60"/>
  <c r="P50" i="60"/>
  <c r="Q50" i="60"/>
  <c r="R50" i="60"/>
  <c r="P48" i="60"/>
  <c r="Q48" i="60"/>
  <c r="S48" i="60"/>
  <c r="Q44" i="60"/>
  <c r="S44" i="60"/>
  <c r="S43" i="60"/>
  <c r="T43" i="60"/>
  <c r="P41" i="60"/>
  <c r="Q41" i="60"/>
  <c r="R41" i="60"/>
  <c r="S41" i="60"/>
  <c r="T41" i="60"/>
  <c r="P40" i="60"/>
  <c r="Q40" i="60"/>
  <c r="R40" i="60"/>
  <c r="S40" i="60"/>
  <c r="T40" i="60"/>
  <c r="P39" i="60"/>
  <c r="Q39" i="60"/>
  <c r="R39" i="60"/>
  <c r="S39" i="60"/>
  <c r="T39" i="60"/>
  <c r="P29" i="60"/>
  <c r="P28" i="60"/>
  <c r="Q28" i="60"/>
  <c r="R28" i="60"/>
  <c r="S28" i="60"/>
  <c r="T28" i="60"/>
  <c r="P27" i="60"/>
  <c r="Q27" i="60"/>
  <c r="R27" i="60"/>
  <c r="S27" i="60"/>
  <c r="T27" i="60"/>
  <c r="P25" i="60"/>
  <c r="Q25" i="60"/>
  <c r="R25" i="60"/>
  <c r="S25" i="60"/>
  <c r="T25" i="60"/>
  <c r="P24" i="60"/>
  <c r="Q24" i="60"/>
  <c r="R24" i="60"/>
  <c r="S24" i="60"/>
  <c r="T24" i="60"/>
  <c r="P23" i="60"/>
  <c r="Q23" i="60"/>
  <c r="R23" i="60"/>
  <c r="S23" i="60"/>
  <c r="T23" i="60"/>
  <c r="S14" i="60"/>
  <c r="O14" i="60"/>
  <c r="O51" i="60"/>
  <c r="O50" i="60"/>
  <c r="O41" i="60"/>
  <c r="O40" i="60"/>
  <c r="O39" i="60"/>
  <c r="O38" i="60"/>
  <c r="O37" i="60"/>
  <c r="O34" i="60"/>
  <c r="O33" i="60"/>
  <c r="O32" i="60"/>
  <c r="O31" i="60"/>
  <c r="O30" i="60"/>
  <c r="O29" i="60"/>
  <c r="O28" i="60"/>
  <c r="O27" i="60"/>
  <c r="O25" i="60"/>
  <c r="O24" i="60"/>
  <c r="O23" i="60"/>
  <c r="P22" i="60"/>
  <c r="Q22" i="60"/>
  <c r="R22" i="60"/>
  <c r="S22" i="60"/>
  <c r="T22" i="60"/>
  <c r="O22" i="60"/>
  <c r="P21" i="60"/>
  <c r="Q21" i="60"/>
  <c r="R21" i="60"/>
  <c r="S21" i="60"/>
  <c r="T21" i="60"/>
  <c r="O21" i="60"/>
  <c r="P20" i="60"/>
  <c r="Q20" i="60"/>
  <c r="S20" i="60"/>
  <c r="T20" i="60"/>
  <c r="Q19" i="60"/>
  <c r="R19" i="60"/>
  <c r="T19" i="60"/>
  <c r="U7" i="60"/>
  <c r="H7" i="60" s="1"/>
  <c r="H35" i="60"/>
  <c r="U12" i="60"/>
  <c r="H12" i="60" s="1"/>
  <c r="J52" i="60"/>
  <c r="I52" i="60"/>
  <c r="U51" i="60"/>
  <c r="H51" i="60" s="1"/>
  <c r="U50" i="60"/>
  <c r="H50" i="60" s="1"/>
  <c r="U49" i="60"/>
  <c r="H49" i="60" s="1"/>
  <c r="U48" i="60"/>
  <c r="H48" i="60" s="1"/>
  <c r="U47" i="60"/>
  <c r="H47" i="60" s="1"/>
  <c r="U45" i="60"/>
  <c r="H45" i="60" s="1"/>
  <c r="U43" i="60"/>
  <c r="H43" i="60" s="1"/>
  <c r="U41" i="60"/>
  <c r="H41" i="60" s="1"/>
  <c r="U40" i="60"/>
  <c r="H40" i="60" s="1"/>
  <c r="U39" i="60"/>
  <c r="H39" i="60" s="1"/>
  <c r="U38" i="60"/>
  <c r="H38" i="60" s="1"/>
  <c r="T38" i="60"/>
  <c r="S38" i="60"/>
  <c r="R38" i="60"/>
  <c r="Q38" i="60"/>
  <c r="P38" i="60"/>
  <c r="H36" i="60"/>
  <c r="G36" i="60"/>
  <c r="T34" i="60"/>
  <c r="S34" i="60"/>
  <c r="R34" i="60"/>
  <c r="Q34" i="60"/>
  <c r="P34" i="60"/>
  <c r="T32" i="60"/>
  <c r="S32" i="60"/>
  <c r="R32" i="60"/>
  <c r="Q32" i="60"/>
  <c r="P32" i="60"/>
  <c r="T30" i="60"/>
  <c r="S30" i="60"/>
  <c r="R30" i="60"/>
  <c r="Q30" i="60"/>
  <c r="P30" i="60"/>
  <c r="H11" i="60"/>
  <c r="G11" i="60"/>
  <c r="U9" i="60"/>
  <c r="H9" i="60" s="1"/>
  <c r="T9" i="60"/>
  <c r="S9" i="60"/>
  <c r="R9" i="60"/>
  <c r="Q9" i="60"/>
  <c r="P9" i="60"/>
  <c r="O9" i="60"/>
  <c r="U8" i="60"/>
  <c r="H8" i="60" s="1"/>
  <c r="T8" i="60"/>
  <c r="S8" i="60"/>
  <c r="R8" i="60"/>
  <c r="Q8" i="60"/>
  <c r="P8" i="60"/>
  <c r="O8" i="60"/>
  <c r="U6" i="60"/>
  <c r="H6" i="60" s="1"/>
  <c r="T6" i="60"/>
  <c r="S6" i="60"/>
  <c r="R6" i="60"/>
  <c r="Q6" i="60"/>
  <c r="P6" i="60"/>
  <c r="O6" i="60"/>
  <c r="U5" i="60"/>
  <c r="H5" i="60" s="1"/>
  <c r="T5" i="60"/>
  <c r="S5" i="60"/>
  <c r="R5" i="60"/>
  <c r="Q5" i="60"/>
  <c r="P5" i="60"/>
  <c r="O5" i="60"/>
  <c r="R50" i="59"/>
  <c r="S50" i="59"/>
  <c r="T50" i="59"/>
  <c r="U50" i="59"/>
  <c r="P48" i="59"/>
  <c r="Q48" i="59"/>
  <c r="R48" i="59"/>
  <c r="S48" i="59"/>
  <c r="U48" i="59"/>
  <c r="H48" i="59" s="1"/>
  <c r="O44" i="59"/>
  <c r="Q43" i="59"/>
  <c r="R43" i="59"/>
  <c r="S43" i="59"/>
  <c r="T43" i="59"/>
  <c r="U43" i="59"/>
  <c r="H43" i="59" s="1"/>
  <c r="P42" i="59"/>
  <c r="Q42" i="59"/>
  <c r="R42" i="59"/>
  <c r="S42" i="59"/>
  <c r="U42" i="59"/>
  <c r="H42" i="59" s="1"/>
  <c r="O42" i="59"/>
  <c r="T39" i="59"/>
  <c r="O39" i="59"/>
  <c r="U26" i="59"/>
  <c r="H26" i="59" s="1"/>
  <c r="P21" i="59"/>
  <c r="R21" i="59"/>
  <c r="T21" i="59"/>
  <c r="T20" i="59"/>
  <c r="U20" i="59"/>
  <c r="H20" i="59" s="1"/>
  <c r="O21" i="59"/>
  <c r="T19" i="59"/>
  <c r="U19" i="59"/>
  <c r="H19" i="59" s="1"/>
  <c r="U15" i="59"/>
  <c r="H15" i="59" s="1"/>
  <c r="P14" i="59"/>
  <c r="Q14" i="59"/>
  <c r="R14" i="59"/>
  <c r="S14" i="59"/>
  <c r="T14" i="59"/>
  <c r="U14" i="59"/>
  <c r="H14" i="59" s="1"/>
  <c r="O14" i="59"/>
  <c r="T13" i="59"/>
  <c r="U13" i="59"/>
  <c r="H13" i="59" s="1"/>
  <c r="R12" i="59"/>
  <c r="T12" i="59"/>
  <c r="U12" i="59"/>
  <c r="H12" i="59" s="1"/>
  <c r="T10" i="59"/>
  <c r="U10" i="59"/>
  <c r="H10" i="59" s="1"/>
  <c r="U7" i="59"/>
  <c r="H7" i="59" s="1"/>
  <c r="P4" i="59"/>
  <c r="U4" i="59"/>
  <c r="J52" i="59"/>
  <c r="I52" i="59"/>
  <c r="U51" i="59"/>
  <c r="H51" i="59" s="1"/>
  <c r="T51" i="59"/>
  <c r="S51" i="59"/>
  <c r="R51" i="59"/>
  <c r="Q51" i="59"/>
  <c r="P51" i="59"/>
  <c r="O51" i="59"/>
  <c r="H50" i="59"/>
  <c r="U49" i="59"/>
  <c r="H49" i="59" s="1"/>
  <c r="T49" i="59"/>
  <c r="S49" i="59"/>
  <c r="R49" i="59"/>
  <c r="Q49" i="59"/>
  <c r="P49" i="59"/>
  <c r="O49" i="59"/>
  <c r="U47" i="59"/>
  <c r="H47" i="59" s="1"/>
  <c r="T47" i="59"/>
  <c r="S47" i="59"/>
  <c r="R47" i="59"/>
  <c r="Q47" i="59"/>
  <c r="P47" i="59"/>
  <c r="O47" i="59"/>
  <c r="U45" i="59"/>
  <c r="H45" i="59" s="1"/>
  <c r="T45" i="59"/>
  <c r="S45" i="59"/>
  <c r="R45" i="59"/>
  <c r="Q45" i="59"/>
  <c r="P45" i="59"/>
  <c r="O45" i="59"/>
  <c r="U41" i="59"/>
  <c r="H41" i="59" s="1"/>
  <c r="T41" i="59"/>
  <c r="S41" i="59"/>
  <c r="R41" i="59"/>
  <c r="Q41" i="59"/>
  <c r="P41" i="59"/>
  <c r="O41" i="59"/>
  <c r="U40" i="59"/>
  <c r="H40" i="59" s="1"/>
  <c r="T40" i="59"/>
  <c r="S40" i="59"/>
  <c r="R40" i="59"/>
  <c r="Q40" i="59"/>
  <c r="P40" i="59"/>
  <c r="O40" i="59"/>
  <c r="U38" i="59"/>
  <c r="H38" i="59" s="1"/>
  <c r="T38" i="59"/>
  <c r="S38" i="59"/>
  <c r="R38" i="59"/>
  <c r="Q38" i="59"/>
  <c r="P38" i="59"/>
  <c r="O38" i="59"/>
  <c r="H36" i="59"/>
  <c r="G36" i="59"/>
  <c r="H35" i="59"/>
  <c r="U34" i="59"/>
  <c r="H34" i="59" s="1"/>
  <c r="T34" i="59"/>
  <c r="S34" i="59"/>
  <c r="R34" i="59"/>
  <c r="Q34" i="59"/>
  <c r="P34" i="59"/>
  <c r="O34" i="59"/>
  <c r="U32" i="59"/>
  <c r="H32" i="59" s="1"/>
  <c r="T32" i="59"/>
  <c r="S32" i="59"/>
  <c r="R32" i="59"/>
  <c r="Q32" i="59"/>
  <c r="P32" i="59"/>
  <c r="O32" i="59"/>
  <c r="U30" i="59"/>
  <c r="H30" i="59" s="1"/>
  <c r="T30" i="59"/>
  <c r="S30" i="59"/>
  <c r="R30" i="59"/>
  <c r="Q30" i="59"/>
  <c r="P30" i="59"/>
  <c r="O30" i="59"/>
  <c r="U28" i="59"/>
  <c r="H28" i="59" s="1"/>
  <c r="T28" i="59"/>
  <c r="S28" i="59"/>
  <c r="R28" i="59"/>
  <c r="Q28" i="59"/>
  <c r="P28" i="59"/>
  <c r="O28" i="59"/>
  <c r="U27" i="59"/>
  <c r="H27" i="59" s="1"/>
  <c r="T27" i="59"/>
  <c r="S27" i="59"/>
  <c r="R27" i="59"/>
  <c r="Q27" i="59"/>
  <c r="P27" i="59"/>
  <c r="O27" i="59"/>
  <c r="U25" i="59"/>
  <c r="H25" i="59" s="1"/>
  <c r="T25" i="59"/>
  <c r="S25" i="59"/>
  <c r="R25" i="59"/>
  <c r="Q25" i="59"/>
  <c r="P25" i="59"/>
  <c r="O25" i="59"/>
  <c r="U24" i="59"/>
  <c r="H24" i="59" s="1"/>
  <c r="T24" i="59"/>
  <c r="S24" i="59"/>
  <c r="R24" i="59"/>
  <c r="Q24" i="59"/>
  <c r="P24" i="59"/>
  <c r="O24" i="59"/>
  <c r="U23" i="59"/>
  <c r="H23" i="59" s="1"/>
  <c r="T23" i="59"/>
  <c r="S23" i="59"/>
  <c r="R23" i="59"/>
  <c r="Q23" i="59"/>
  <c r="P23" i="59"/>
  <c r="O23" i="59"/>
  <c r="U22" i="59"/>
  <c r="H22" i="59" s="1"/>
  <c r="T22" i="59"/>
  <c r="S22" i="59"/>
  <c r="R22" i="59"/>
  <c r="Q22" i="59"/>
  <c r="P22" i="59"/>
  <c r="O22" i="59"/>
  <c r="U17" i="59"/>
  <c r="H17" i="59" s="1"/>
  <c r="T17" i="59"/>
  <c r="S17" i="59"/>
  <c r="R17" i="59"/>
  <c r="Q17" i="59"/>
  <c r="P17" i="59"/>
  <c r="O17" i="59"/>
  <c r="H11" i="59"/>
  <c r="G11" i="59"/>
  <c r="U9" i="59"/>
  <c r="H9" i="59" s="1"/>
  <c r="T9" i="59"/>
  <c r="S9" i="59"/>
  <c r="R9" i="59"/>
  <c r="Q9" i="59"/>
  <c r="P9" i="59"/>
  <c r="O9" i="59"/>
  <c r="U8" i="59"/>
  <c r="H8" i="59" s="1"/>
  <c r="T8" i="59"/>
  <c r="S8" i="59"/>
  <c r="R8" i="59"/>
  <c r="Q8" i="59"/>
  <c r="P8" i="59"/>
  <c r="O8" i="59"/>
  <c r="U6" i="59"/>
  <c r="H6" i="59" s="1"/>
  <c r="T6" i="59"/>
  <c r="S6" i="59"/>
  <c r="R6" i="59"/>
  <c r="Q6" i="59"/>
  <c r="P6" i="59"/>
  <c r="O6" i="59"/>
  <c r="U5" i="59"/>
  <c r="H5" i="59" s="1"/>
  <c r="T5" i="59"/>
  <c r="S5" i="59"/>
  <c r="R5" i="59"/>
  <c r="Q5" i="59"/>
  <c r="P5" i="59"/>
  <c r="O5" i="59"/>
  <c r="J52" i="53"/>
  <c r="K52" i="53"/>
  <c r="L52" i="53"/>
  <c r="I6" i="53"/>
  <c r="I7" i="53"/>
  <c r="I8" i="53"/>
  <c r="I9" i="53"/>
  <c r="I10" i="53"/>
  <c r="I11" i="53"/>
  <c r="I13" i="53"/>
  <c r="I14" i="53"/>
  <c r="I16" i="53"/>
  <c r="I18" i="53"/>
  <c r="I22" i="53"/>
  <c r="I23" i="53"/>
  <c r="I25" i="53"/>
  <c r="I26" i="53"/>
  <c r="I28" i="53"/>
  <c r="I30" i="53"/>
  <c r="I32" i="53"/>
  <c r="I34" i="53"/>
  <c r="I35" i="53"/>
  <c r="I36" i="53"/>
  <c r="I38" i="53"/>
  <c r="I39" i="53"/>
  <c r="I40" i="53"/>
  <c r="I41" i="53"/>
  <c r="I42" i="53"/>
  <c r="I45" i="53"/>
  <c r="I47" i="53"/>
  <c r="I49" i="53"/>
  <c r="I51" i="53"/>
  <c r="I4" i="53"/>
  <c r="K52" i="52"/>
  <c r="L52" i="52"/>
  <c r="P51" i="58"/>
  <c r="Q51" i="58"/>
  <c r="R51" i="58"/>
  <c r="S51" i="58"/>
  <c r="T51" i="58"/>
  <c r="U51" i="58"/>
  <c r="H51" i="58" s="1"/>
  <c r="Q50" i="58"/>
  <c r="S50" i="58"/>
  <c r="T50" i="58"/>
  <c r="U50" i="58"/>
  <c r="H50" i="58" s="1"/>
  <c r="P49" i="58"/>
  <c r="Q49" i="58"/>
  <c r="R49" i="58"/>
  <c r="S49" i="58"/>
  <c r="T49" i="58"/>
  <c r="U49" i="58"/>
  <c r="H49" i="58" s="1"/>
  <c r="P48" i="58"/>
  <c r="U48" i="58"/>
  <c r="H48" i="58" s="1"/>
  <c r="P47" i="58"/>
  <c r="Q47" i="58"/>
  <c r="R47" i="58"/>
  <c r="S47" i="58"/>
  <c r="T47" i="58"/>
  <c r="U47" i="58"/>
  <c r="H47" i="58" s="1"/>
  <c r="Q46" i="58"/>
  <c r="T46" i="58"/>
  <c r="U46" i="58"/>
  <c r="H46" i="58" s="1"/>
  <c r="P45" i="58"/>
  <c r="Q45" i="58"/>
  <c r="R45" i="58"/>
  <c r="S45" i="58"/>
  <c r="T45" i="58"/>
  <c r="U45" i="58"/>
  <c r="H45" i="58" s="1"/>
  <c r="P44" i="58"/>
  <c r="Q44" i="58"/>
  <c r="U44" i="58"/>
  <c r="H44" i="58" s="1"/>
  <c r="P43" i="58"/>
  <c r="Q43" i="58"/>
  <c r="U43" i="58"/>
  <c r="H43" i="58" s="1"/>
  <c r="P42" i="58"/>
  <c r="Q42" i="58"/>
  <c r="R42" i="58"/>
  <c r="S42" i="58"/>
  <c r="T42" i="58"/>
  <c r="U42" i="58"/>
  <c r="H42" i="58" s="1"/>
  <c r="P41" i="58"/>
  <c r="Q41" i="58"/>
  <c r="R41" i="58"/>
  <c r="S41" i="58"/>
  <c r="T41" i="58"/>
  <c r="U41" i="58"/>
  <c r="P40" i="58"/>
  <c r="Q40" i="58"/>
  <c r="R40" i="58"/>
  <c r="S40" i="58"/>
  <c r="T40" i="58"/>
  <c r="U40" i="58"/>
  <c r="H40" i="58" s="1"/>
  <c r="P39" i="58"/>
  <c r="Q39" i="58"/>
  <c r="R39" i="58"/>
  <c r="S39" i="58"/>
  <c r="T39" i="58"/>
  <c r="U39" i="58"/>
  <c r="H39" i="58" s="1"/>
  <c r="P38" i="58"/>
  <c r="Q38" i="58"/>
  <c r="R38" i="58"/>
  <c r="S38" i="58"/>
  <c r="T38" i="58"/>
  <c r="U38" i="58"/>
  <c r="H38" i="58" s="1"/>
  <c r="P37" i="58"/>
  <c r="R37" i="58"/>
  <c r="U37" i="58"/>
  <c r="H37" i="58" s="1"/>
  <c r="P34" i="58"/>
  <c r="Q34" i="58"/>
  <c r="R34" i="58"/>
  <c r="S34" i="58"/>
  <c r="T34" i="58"/>
  <c r="U34" i="58"/>
  <c r="H34" i="58" s="1"/>
  <c r="P33" i="58"/>
  <c r="R33" i="58"/>
  <c r="U33" i="58"/>
  <c r="H33" i="58" s="1"/>
  <c r="P32" i="58"/>
  <c r="Q32" i="58"/>
  <c r="R32" i="58"/>
  <c r="S32" i="58"/>
  <c r="T32" i="58"/>
  <c r="U32" i="58"/>
  <c r="H32" i="58" s="1"/>
  <c r="P31" i="58"/>
  <c r="R31" i="58"/>
  <c r="U31" i="58"/>
  <c r="H31" i="58" s="1"/>
  <c r="P30" i="58"/>
  <c r="Q30" i="58"/>
  <c r="R30" i="58"/>
  <c r="S30" i="58"/>
  <c r="T30" i="58"/>
  <c r="U30" i="58"/>
  <c r="H30" i="58" s="1"/>
  <c r="P29" i="58"/>
  <c r="R29" i="58"/>
  <c r="U29" i="58"/>
  <c r="H29" i="58" s="1"/>
  <c r="P28" i="58"/>
  <c r="Q28" i="58"/>
  <c r="R28" i="58"/>
  <c r="S28" i="58"/>
  <c r="T28" i="58"/>
  <c r="U28" i="58"/>
  <c r="H28" i="58" s="1"/>
  <c r="Q27" i="58"/>
  <c r="U27" i="58"/>
  <c r="H27" i="58" s="1"/>
  <c r="P26" i="58"/>
  <c r="Q26" i="58"/>
  <c r="R26" i="58"/>
  <c r="S26" i="58"/>
  <c r="T26" i="58"/>
  <c r="U26" i="58"/>
  <c r="H26" i="58" s="1"/>
  <c r="P25" i="58"/>
  <c r="Q25" i="58"/>
  <c r="R25" i="58"/>
  <c r="S25" i="58"/>
  <c r="T25" i="58"/>
  <c r="U25" i="58"/>
  <c r="H25" i="58" s="1"/>
  <c r="P24" i="58"/>
  <c r="Q24" i="58"/>
  <c r="R24" i="58"/>
  <c r="S24" i="58"/>
  <c r="T24" i="58"/>
  <c r="U24" i="58"/>
  <c r="H24" i="58" s="1"/>
  <c r="P23" i="58"/>
  <c r="Q23" i="58"/>
  <c r="R23" i="58"/>
  <c r="S23" i="58"/>
  <c r="T23" i="58"/>
  <c r="U23" i="58"/>
  <c r="H23" i="58" s="1"/>
  <c r="P22" i="58"/>
  <c r="Q22" i="58"/>
  <c r="R22" i="58"/>
  <c r="S22" i="58"/>
  <c r="T22" i="58"/>
  <c r="U22" i="58"/>
  <c r="H22" i="58" s="1"/>
  <c r="P21" i="58"/>
  <c r="Q21" i="58"/>
  <c r="R21" i="58"/>
  <c r="S21" i="58"/>
  <c r="T21" i="58"/>
  <c r="U21" i="58"/>
  <c r="H21" i="58" s="1"/>
  <c r="P20" i="58"/>
  <c r="Q20" i="58"/>
  <c r="U20" i="58"/>
  <c r="H20" i="58" s="1"/>
  <c r="P19" i="58"/>
  <c r="Q19" i="58"/>
  <c r="S19" i="58"/>
  <c r="T19" i="58"/>
  <c r="U19" i="58"/>
  <c r="H19" i="58" s="1"/>
  <c r="P17" i="58"/>
  <c r="Q17" i="58"/>
  <c r="R17" i="58"/>
  <c r="U17" i="58"/>
  <c r="H17" i="58" s="1"/>
  <c r="P16" i="58"/>
  <c r="Q16" i="58"/>
  <c r="R16" i="58"/>
  <c r="S16" i="58"/>
  <c r="T16" i="58"/>
  <c r="U16" i="58"/>
  <c r="H16" i="58" s="1"/>
  <c r="U15" i="58"/>
  <c r="H15" i="58" s="1"/>
  <c r="P14" i="58"/>
  <c r="Q14" i="58"/>
  <c r="R14" i="58"/>
  <c r="S14" i="58"/>
  <c r="T14" i="58"/>
  <c r="U14" i="58"/>
  <c r="H14" i="58" s="1"/>
  <c r="P13" i="58"/>
  <c r="Q13" i="58"/>
  <c r="R13" i="58"/>
  <c r="S13" i="58"/>
  <c r="T13" i="58"/>
  <c r="U13" i="58"/>
  <c r="H13" i="58" s="1"/>
  <c r="P12" i="58"/>
  <c r="Q12" i="58"/>
  <c r="R12" i="58"/>
  <c r="S12" i="58"/>
  <c r="T12" i="58"/>
  <c r="U12" i="58"/>
  <c r="H12" i="58" s="1"/>
  <c r="P10" i="58"/>
  <c r="Q10" i="58"/>
  <c r="R10" i="58"/>
  <c r="S10" i="58"/>
  <c r="T10" i="58"/>
  <c r="U10" i="58"/>
  <c r="H10" i="58" s="1"/>
  <c r="P9" i="58"/>
  <c r="Q9" i="58"/>
  <c r="R9" i="58"/>
  <c r="S9" i="58"/>
  <c r="T9" i="58"/>
  <c r="U9" i="58"/>
  <c r="H9" i="58" s="1"/>
  <c r="P8" i="58"/>
  <c r="Q8" i="58"/>
  <c r="R8" i="58"/>
  <c r="S8" i="58"/>
  <c r="T8" i="58"/>
  <c r="U8" i="58"/>
  <c r="H8" i="58" s="1"/>
  <c r="P7" i="58"/>
  <c r="Q7" i="58"/>
  <c r="R7" i="58"/>
  <c r="S7" i="58"/>
  <c r="T7" i="58"/>
  <c r="U7" i="58"/>
  <c r="H7" i="58" s="1"/>
  <c r="P6" i="58"/>
  <c r="Q6" i="58"/>
  <c r="R6" i="58"/>
  <c r="S6" i="58"/>
  <c r="T6" i="58"/>
  <c r="U6" i="58"/>
  <c r="H6" i="58" s="1"/>
  <c r="P5" i="58"/>
  <c r="Q5" i="58"/>
  <c r="R5" i="58"/>
  <c r="S5" i="58"/>
  <c r="T5" i="58"/>
  <c r="U5" i="58"/>
  <c r="H5" i="58" s="1"/>
  <c r="Q4" i="58"/>
  <c r="Q18" i="58" s="1"/>
  <c r="U4" i="58"/>
  <c r="U18" i="58" s="1"/>
  <c r="O51" i="58"/>
  <c r="O49" i="58"/>
  <c r="O47" i="58"/>
  <c r="O45" i="58"/>
  <c r="O42" i="58"/>
  <c r="O41" i="58"/>
  <c r="O40" i="58"/>
  <c r="O39" i="58"/>
  <c r="O38" i="58"/>
  <c r="O32" i="58"/>
  <c r="O30" i="58"/>
  <c r="O28" i="58"/>
  <c r="O26" i="58"/>
  <c r="O25" i="58"/>
  <c r="O24" i="58"/>
  <c r="O23" i="58"/>
  <c r="O22" i="58"/>
  <c r="O21" i="58"/>
  <c r="O20" i="58"/>
  <c r="O19" i="58"/>
  <c r="O17" i="58"/>
  <c r="O16" i="58"/>
  <c r="O14" i="58"/>
  <c r="O13" i="58"/>
  <c r="O10" i="58"/>
  <c r="O9" i="58"/>
  <c r="O8" i="58"/>
  <c r="O7" i="58"/>
  <c r="O6" i="58"/>
  <c r="O5" i="58"/>
  <c r="J52" i="58"/>
  <c r="I52" i="58"/>
  <c r="H41" i="58"/>
  <c r="H36" i="58"/>
  <c r="G36" i="58"/>
  <c r="H35" i="58"/>
  <c r="O34" i="58"/>
  <c r="O12" i="58"/>
  <c r="H11" i="58"/>
  <c r="G11" i="58"/>
  <c r="Q4" i="56"/>
  <c r="Q18" i="56" s="1"/>
  <c r="U4" i="56"/>
  <c r="U18" i="56" s="1"/>
  <c r="H18" i="56" s="1"/>
  <c r="O34" i="56"/>
  <c r="G11" i="57"/>
  <c r="G35" i="57"/>
  <c r="G36" i="57"/>
  <c r="U51" i="57"/>
  <c r="H51" i="57" s="1"/>
  <c r="T51" i="57"/>
  <c r="S51" i="57"/>
  <c r="R51" i="57"/>
  <c r="U50" i="57"/>
  <c r="H50" i="57" s="1"/>
  <c r="S50" i="57"/>
  <c r="U49" i="57"/>
  <c r="T49" i="57"/>
  <c r="S49" i="57"/>
  <c r="R49" i="57"/>
  <c r="U48" i="57"/>
  <c r="S48" i="57"/>
  <c r="R48" i="57"/>
  <c r="U47" i="57"/>
  <c r="T47" i="57"/>
  <c r="S47" i="57"/>
  <c r="R47" i="57"/>
  <c r="U46" i="57"/>
  <c r="R46" i="57"/>
  <c r="U45" i="57"/>
  <c r="H45" i="57" s="1"/>
  <c r="T45" i="57"/>
  <c r="S45" i="57"/>
  <c r="R45" i="57"/>
  <c r="U44" i="57"/>
  <c r="H44" i="57" s="1"/>
  <c r="R44" i="57"/>
  <c r="U43" i="57"/>
  <c r="T43" i="57"/>
  <c r="S43" i="57"/>
  <c r="R43" i="57"/>
  <c r="U42" i="57"/>
  <c r="T42" i="57"/>
  <c r="S42" i="57"/>
  <c r="R42" i="57"/>
  <c r="U41" i="57"/>
  <c r="T41" i="57"/>
  <c r="S41" i="57"/>
  <c r="R41" i="57"/>
  <c r="U40" i="57"/>
  <c r="T40" i="57"/>
  <c r="S40" i="57"/>
  <c r="R40" i="57"/>
  <c r="U39" i="57"/>
  <c r="T39" i="57"/>
  <c r="S39" i="57"/>
  <c r="R39" i="57"/>
  <c r="U38" i="57"/>
  <c r="T38" i="57"/>
  <c r="S38" i="57"/>
  <c r="R38" i="57"/>
  <c r="U37" i="57"/>
  <c r="U34" i="57"/>
  <c r="T34" i="57"/>
  <c r="S34" i="57"/>
  <c r="R34" i="57"/>
  <c r="U33" i="57"/>
  <c r="U32" i="57"/>
  <c r="H32" i="57" s="1"/>
  <c r="T32" i="57"/>
  <c r="S32" i="57"/>
  <c r="R32" i="57"/>
  <c r="U31" i="57"/>
  <c r="H31" i="57" s="1"/>
  <c r="U30" i="57"/>
  <c r="H30" i="57" s="1"/>
  <c r="T30" i="57"/>
  <c r="S30" i="57"/>
  <c r="R30" i="57"/>
  <c r="U29" i="57"/>
  <c r="H29" i="57" s="1"/>
  <c r="U28" i="57"/>
  <c r="T28" i="57"/>
  <c r="S28" i="57"/>
  <c r="R28" i="57"/>
  <c r="U27" i="57"/>
  <c r="U26" i="57"/>
  <c r="T26" i="57"/>
  <c r="S26" i="57"/>
  <c r="R26" i="57"/>
  <c r="U25" i="57"/>
  <c r="T25" i="57"/>
  <c r="S25" i="57"/>
  <c r="R25" i="57"/>
  <c r="U24" i="57"/>
  <c r="T24" i="57"/>
  <c r="S24" i="57"/>
  <c r="R24" i="57"/>
  <c r="U23" i="57"/>
  <c r="T23" i="57"/>
  <c r="S23" i="57"/>
  <c r="R23" i="57"/>
  <c r="U22" i="57"/>
  <c r="T22" i="57"/>
  <c r="S22" i="57"/>
  <c r="R22" i="57"/>
  <c r="U21" i="57"/>
  <c r="T21" i="57"/>
  <c r="S21" i="57"/>
  <c r="R21" i="57"/>
  <c r="U20" i="57"/>
  <c r="H20" i="57" s="1"/>
  <c r="T20" i="57"/>
  <c r="U19" i="57"/>
  <c r="U17" i="57"/>
  <c r="U16" i="57"/>
  <c r="T16" i="57"/>
  <c r="S16" i="57"/>
  <c r="R16" i="57"/>
  <c r="U15" i="57"/>
  <c r="U14" i="57"/>
  <c r="T14" i="57"/>
  <c r="S14" i="57"/>
  <c r="R14" i="57"/>
  <c r="U13" i="57"/>
  <c r="T13" i="57"/>
  <c r="S13" i="57"/>
  <c r="R13" i="57"/>
  <c r="U12" i="57"/>
  <c r="T12" i="57"/>
  <c r="S12" i="57"/>
  <c r="R12" i="57"/>
  <c r="U10" i="57"/>
  <c r="T10" i="57"/>
  <c r="S10" i="57"/>
  <c r="R10" i="57"/>
  <c r="U9" i="57"/>
  <c r="H9" i="57" s="1"/>
  <c r="T9" i="57"/>
  <c r="S9" i="57"/>
  <c r="R9" i="57"/>
  <c r="U8" i="57"/>
  <c r="H8" i="57" s="1"/>
  <c r="T8" i="57"/>
  <c r="S8" i="57"/>
  <c r="R8" i="57"/>
  <c r="U7" i="57"/>
  <c r="H7" i="57" s="1"/>
  <c r="T7" i="57"/>
  <c r="S7" i="57"/>
  <c r="R7" i="57"/>
  <c r="U6" i="57"/>
  <c r="H6" i="57" s="1"/>
  <c r="T6" i="57"/>
  <c r="S6" i="57"/>
  <c r="R6" i="57"/>
  <c r="U5" i="57"/>
  <c r="H5" i="57" s="1"/>
  <c r="T5" i="57"/>
  <c r="S5" i="57"/>
  <c r="R5" i="57"/>
  <c r="U4" i="57"/>
  <c r="U18" i="57" s="1"/>
  <c r="H18" i="57" s="1"/>
  <c r="T49" i="56"/>
  <c r="P51" i="56"/>
  <c r="Q51" i="56"/>
  <c r="R51" i="56"/>
  <c r="S51" i="56"/>
  <c r="T51" i="56"/>
  <c r="U51" i="56"/>
  <c r="Q50" i="56"/>
  <c r="U50" i="56"/>
  <c r="U49" i="56"/>
  <c r="T48" i="56"/>
  <c r="U48" i="56"/>
  <c r="H48" i="56" s="1"/>
  <c r="P47" i="56"/>
  <c r="Q47" i="56"/>
  <c r="R47" i="56"/>
  <c r="S47" i="56"/>
  <c r="T47" i="56"/>
  <c r="U47" i="56"/>
  <c r="H47" i="56" s="1"/>
  <c r="U46" i="56"/>
  <c r="P45" i="56"/>
  <c r="Q45" i="56"/>
  <c r="R45" i="56"/>
  <c r="S45" i="56"/>
  <c r="T45" i="56"/>
  <c r="U45" i="56"/>
  <c r="H45" i="56" s="1"/>
  <c r="U44" i="56"/>
  <c r="H44" i="56" s="1"/>
  <c r="U43" i="56"/>
  <c r="H43" i="56" s="1"/>
  <c r="P42" i="56"/>
  <c r="Q42" i="56"/>
  <c r="R42" i="56"/>
  <c r="S42" i="56"/>
  <c r="T42" i="56"/>
  <c r="U42" i="56"/>
  <c r="H42" i="56" s="1"/>
  <c r="P41" i="56"/>
  <c r="Q41" i="56"/>
  <c r="R41" i="56"/>
  <c r="S41" i="56"/>
  <c r="T41" i="56"/>
  <c r="U41" i="56"/>
  <c r="H41" i="56" s="1"/>
  <c r="P40" i="56"/>
  <c r="Q40" i="56"/>
  <c r="R40" i="56"/>
  <c r="S40" i="56"/>
  <c r="T40" i="56"/>
  <c r="U40" i="56"/>
  <c r="H40" i="56" s="1"/>
  <c r="P39" i="56"/>
  <c r="Q39" i="56"/>
  <c r="R39" i="56"/>
  <c r="S39" i="56"/>
  <c r="T39" i="56"/>
  <c r="U39" i="56"/>
  <c r="H39" i="56" s="1"/>
  <c r="P38" i="56"/>
  <c r="Q38" i="56"/>
  <c r="R38" i="56"/>
  <c r="S38" i="56"/>
  <c r="T38" i="56"/>
  <c r="U38" i="56"/>
  <c r="H38" i="56" s="1"/>
  <c r="U37" i="56"/>
  <c r="H37" i="56" s="1"/>
  <c r="P34" i="56"/>
  <c r="Q34" i="56"/>
  <c r="R34" i="56"/>
  <c r="S34" i="56"/>
  <c r="T34" i="56"/>
  <c r="U34" i="56"/>
  <c r="H34" i="56" s="1"/>
  <c r="U33" i="56"/>
  <c r="H33" i="56" s="1"/>
  <c r="P32" i="56"/>
  <c r="Q32" i="56"/>
  <c r="R32" i="56"/>
  <c r="S32" i="56"/>
  <c r="T32" i="56"/>
  <c r="U32" i="56"/>
  <c r="H32" i="56" s="1"/>
  <c r="U31" i="56"/>
  <c r="H31" i="56" s="1"/>
  <c r="P30" i="56"/>
  <c r="Q30" i="56"/>
  <c r="R30" i="56"/>
  <c r="S30" i="56"/>
  <c r="T30" i="56"/>
  <c r="U30" i="56"/>
  <c r="H30" i="56" s="1"/>
  <c r="U29" i="56"/>
  <c r="H29" i="56" s="1"/>
  <c r="P28" i="56"/>
  <c r="Q28" i="56"/>
  <c r="R28" i="56"/>
  <c r="S28" i="56"/>
  <c r="T28" i="56"/>
  <c r="U28" i="56"/>
  <c r="H28" i="56" s="1"/>
  <c r="U27" i="56"/>
  <c r="H27" i="56" s="1"/>
  <c r="P26" i="56"/>
  <c r="Q26" i="56"/>
  <c r="R26" i="56"/>
  <c r="S26" i="56"/>
  <c r="T26" i="56"/>
  <c r="U26" i="56"/>
  <c r="H26" i="56" s="1"/>
  <c r="P25" i="56"/>
  <c r="Q25" i="56"/>
  <c r="R25" i="56"/>
  <c r="S25" i="56"/>
  <c r="T25" i="56"/>
  <c r="U25" i="56"/>
  <c r="H25" i="56" s="1"/>
  <c r="P24" i="56"/>
  <c r="Q24" i="56"/>
  <c r="R24" i="56"/>
  <c r="S24" i="56"/>
  <c r="T24" i="56"/>
  <c r="U24" i="56"/>
  <c r="H24" i="56" s="1"/>
  <c r="P23" i="56"/>
  <c r="Q23" i="56"/>
  <c r="R23" i="56"/>
  <c r="S23" i="56"/>
  <c r="T23" i="56"/>
  <c r="U23" i="56"/>
  <c r="H23" i="56" s="1"/>
  <c r="P22" i="56"/>
  <c r="Q22" i="56"/>
  <c r="R22" i="56"/>
  <c r="S22" i="56"/>
  <c r="T22" i="56"/>
  <c r="U22" i="56"/>
  <c r="H22" i="56" s="1"/>
  <c r="P21" i="56"/>
  <c r="R21" i="56"/>
  <c r="S21" i="56"/>
  <c r="T21" i="56"/>
  <c r="U21" i="56"/>
  <c r="H21" i="56" s="1"/>
  <c r="P20" i="56"/>
  <c r="S20" i="56"/>
  <c r="U20" i="56"/>
  <c r="H20" i="56" s="1"/>
  <c r="P19" i="56"/>
  <c r="R19" i="56"/>
  <c r="S19" i="56"/>
  <c r="T19" i="56"/>
  <c r="U19" i="56"/>
  <c r="H19" i="56" s="1"/>
  <c r="R17" i="56"/>
  <c r="S17" i="56"/>
  <c r="T17" i="56"/>
  <c r="U17" i="56"/>
  <c r="H17" i="56" s="1"/>
  <c r="P16" i="56"/>
  <c r="Q16" i="56"/>
  <c r="R16" i="56"/>
  <c r="S16" i="56"/>
  <c r="T16" i="56"/>
  <c r="U16" i="56"/>
  <c r="H16" i="56" s="1"/>
  <c r="U15" i="56"/>
  <c r="H15" i="56" s="1"/>
  <c r="P14" i="56"/>
  <c r="Q14" i="56"/>
  <c r="R14" i="56"/>
  <c r="S14" i="56"/>
  <c r="T14" i="56"/>
  <c r="U14" i="56"/>
  <c r="H14" i="56" s="1"/>
  <c r="P13" i="56"/>
  <c r="Q13" i="56"/>
  <c r="R13" i="56"/>
  <c r="S13" i="56"/>
  <c r="T13" i="56"/>
  <c r="U13" i="56"/>
  <c r="H13" i="56" s="1"/>
  <c r="P12" i="56"/>
  <c r="Q12" i="56"/>
  <c r="R12" i="56"/>
  <c r="S12" i="56"/>
  <c r="T12" i="56"/>
  <c r="U12" i="56"/>
  <c r="H12" i="56" s="1"/>
  <c r="P10" i="56"/>
  <c r="Q10" i="56"/>
  <c r="R10" i="56"/>
  <c r="S10" i="56"/>
  <c r="T10" i="56"/>
  <c r="U10" i="56"/>
  <c r="H10" i="56" s="1"/>
  <c r="P9" i="56"/>
  <c r="Q9" i="56"/>
  <c r="R9" i="56"/>
  <c r="S9" i="56"/>
  <c r="T9" i="56"/>
  <c r="U9" i="56"/>
  <c r="H9" i="56" s="1"/>
  <c r="P8" i="56"/>
  <c r="Q8" i="56"/>
  <c r="R8" i="56"/>
  <c r="S8" i="56"/>
  <c r="T8" i="56"/>
  <c r="U8" i="56"/>
  <c r="H8" i="56" s="1"/>
  <c r="P7" i="56"/>
  <c r="Q7" i="56"/>
  <c r="R7" i="56"/>
  <c r="S7" i="56"/>
  <c r="T7" i="56"/>
  <c r="U7" i="56"/>
  <c r="H7" i="56" s="1"/>
  <c r="P6" i="56"/>
  <c r="Q6" i="56"/>
  <c r="R6" i="56"/>
  <c r="S6" i="56"/>
  <c r="T6" i="56"/>
  <c r="U6" i="56"/>
  <c r="H6" i="56" s="1"/>
  <c r="P5" i="56"/>
  <c r="Q5" i="56"/>
  <c r="R5" i="56"/>
  <c r="S5" i="56"/>
  <c r="T5" i="56"/>
  <c r="U5" i="56"/>
  <c r="H5" i="56" s="1"/>
  <c r="O51" i="56"/>
  <c r="O47" i="56"/>
  <c r="O45" i="56"/>
  <c r="O42" i="56"/>
  <c r="O41" i="56"/>
  <c r="O40" i="56"/>
  <c r="O39" i="56"/>
  <c r="O38" i="56"/>
  <c r="O32" i="56"/>
  <c r="O30" i="56"/>
  <c r="O28" i="56"/>
  <c r="O26" i="56"/>
  <c r="O25" i="56"/>
  <c r="O24" i="56"/>
  <c r="O23" i="56"/>
  <c r="O22" i="56"/>
  <c r="O21" i="56"/>
  <c r="O19" i="56"/>
  <c r="O16" i="56"/>
  <c r="O14" i="56"/>
  <c r="O13" i="56"/>
  <c r="O12" i="56"/>
  <c r="O10" i="56"/>
  <c r="O9" i="56"/>
  <c r="O8" i="56"/>
  <c r="O7" i="56"/>
  <c r="J52" i="57"/>
  <c r="I52" i="57"/>
  <c r="Q51" i="57"/>
  <c r="P51" i="57"/>
  <c r="O51" i="57"/>
  <c r="P50" i="57"/>
  <c r="O50" i="57"/>
  <c r="H49" i="57"/>
  <c r="Q49" i="57"/>
  <c r="P49" i="57"/>
  <c r="O49" i="57"/>
  <c r="H48" i="57"/>
  <c r="H47" i="57"/>
  <c r="Q47" i="57"/>
  <c r="P47" i="57"/>
  <c r="O47" i="57"/>
  <c r="H46" i="57"/>
  <c r="P46" i="57"/>
  <c r="O46" i="57"/>
  <c r="Q45" i="57"/>
  <c r="P45" i="57"/>
  <c r="O45" i="57"/>
  <c r="H43" i="57"/>
  <c r="Q43" i="57"/>
  <c r="H42" i="57"/>
  <c r="Q42" i="57"/>
  <c r="P42" i="57"/>
  <c r="O42" i="57"/>
  <c r="H41" i="57"/>
  <c r="Q41" i="57"/>
  <c r="P41" i="57"/>
  <c r="O41" i="57"/>
  <c r="H40" i="57"/>
  <c r="Q40" i="57"/>
  <c r="P40" i="57"/>
  <c r="O40" i="57"/>
  <c r="H39" i="57"/>
  <c r="Q39" i="57"/>
  <c r="P39" i="57"/>
  <c r="O39" i="57"/>
  <c r="H38" i="57"/>
  <c r="Q38" i="57"/>
  <c r="P38" i="57"/>
  <c r="O38" i="57"/>
  <c r="H37" i="57"/>
  <c r="H36" i="57"/>
  <c r="H35" i="57"/>
  <c r="H34" i="57"/>
  <c r="Q34" i="57"/>
  <c r="P34" i="57"/>
  <c r="O34" i="57"/>
  <c r="H33" i="57"/>
  <c r="Q32" i="57"/>
  <c r="P32" i="57"/>
  <c r="O32" i="57"/>
  <c r="Q30" i="57"/>
  <c r="P30" i="57"/>
  <c r="O30" i="57"/>
  <c r="H28" i="57"/>
  <c r="Q28" i="57"/>
  <c r="P28" i="57"/>
  <c r="O28" i="57"/>
  <c r="H27" i="57"/>
  <c r="H26" i="57"/>
  <c r="Q26" i="57"/>
  <c r="P26" i="57"/>
  <c r="O26" i="57"/>
  <c r="H25" i="57"/>
  <c r="Q25" i="57"/>
  <c r="P25" i="57"/>
  <c r="O25" i="57"/>
  <c r="H24" i="57"/>
  <c r="Q24" i="57"/>
  <c r="P24" i="57"/>
  <c r="O24" i="57"/>
  <c r="H23" i="57"/>
  <c r="Q23" i="57"/>
  <c r="P23" i="57"/>
  <c r="O23" i="57"/>
  <c r="H22" i="57"/>
  <c r="Q22" i="57"/>
  <c r="P22" i="57"/>
  <c r="O22" i="57"/>
  <c r="H21" i="57"/>
  <c r="Q21" i="57"/>
  <c r="P21" i="57"/>
  <c r="O21" i="57"/>
  <c r="H19" i="57"/>
  <c r="P19" i="57"/>
  <c r="O19" i="57"/>
  <c r="Q18" i="57"/>
  <c r="P18" i="57"/>
  <c r="O18" i="57"/>
  <c r="H17" i="57"/>
  <c r="H16" i="57"/>
  <c r="Q16" i="57"/>
  <c r="P16" i="57"/>
  <c r="O16" i="57"/>
  <c r="H15" i="57"/>
  <c r="H14" i="57"/>
  <c r="Q14" i="57"/>
  <c r="P14" i="57"/>
  <c r="O14" i="57"/>
  <c r="H13" i="57"/>
  <c r="Q13" i="57"/>
  <c r="P13" i="57"/>
  <c r="O13" i="57"/>
  <c r="H12" i="57"/>
  <c r="Q12" i="57"/>
  <c r="H11" i="57"/>
  <c r="M11" i="57" s="1"/>
  <c r="H10" i="57"/>
  <c r="Q9" i="57"/>
  <c r="P9" i="57"/>
  <c r="O9" i="57"/>
  <c r="Q8" i="57"/>
  <c r="P8" i="57"/>
  <c r="O8" i="57"/>
  <c r="Q7" i="57"/>
  <c r="P7" i="57"/>
  <c r="O7" i="57"/>
  <c r="Q6" i="57"/>
  <c r="P6" i="57"/>
  <c r="O6" i="57"/>
  <c r="Q5" i="57"/>
  <c r="P5" i="57"/>
  <c r="O5" i="57"/>
  <c r="J52" i="56"/>
  <c r="I52" i="56"/>
  <c r="H51" i="56"/>
  <c r="H50" i="56"/>
  <c r="H49" i="56"/>
  <c r="H46" i="56"/>
  <c r="H36" i="56"/>
  <c r="G36" i="56"/>
  <c r="H35" i="56"/>
  <c r="H11" i="56"/>
  <c r="G11" i="56"/>
  <c r="O6" i="56"/>
  <c r="O5" i="56"/>
  <c r="J52" i="54"/>
  <c r="I52" i="54"/>
  <c r="U51" i="54"/>
  <c r="H51" i="54" s="1"/>
  <c r="T51" i="54"/>
  <c r="S51" i="54"/>
  <c r="R51" i="54"/>
  <c r="Q51" i="54"/>
  <c r="P51" i="54"/>
  <c r="O51" i="54"/>
  <c r="U50" i="54"/>
  <c r="H50" i="54" s="1"/>
  <c r="T50" i="54"/>
  <c r="S50" i="54"/>
  <c r="Q50" i="54"/>
  <c r="P50" i="54"/>
  <c r="O50" i="54"/>
  <c r="U49" i="54"/>
  <c r="H49" i="54" s="1"/>
  <c r="T49" i="54"/>
  <c r="S49" i="54"/>
  <c r="R49" i="54"/>
  <c r="Q49" i="54"/>
  <c r="P49" i="54"/>
  <c r="O49" i="54"/>
  <c r="U48" i="54"/>
  <c r="H48" i="54" s="1"/>
  <c r="T48" i="54"/>
  <c r="S48" i="54"/>
  <c r="R48" i="54"/>
  <c r="P48" i="54"/>
  <c r="U47" i="54"/>
  <c r="H47" i="54" s="1"/>
  <c r="T47" i="54"/>
  <c r="S47" i="54"/>
  <c r="R47" i="54"/>
  <c r="Q47" i="54"/>
  <c r="P47" i="54"/>
  <c r="O47" i="54"/>
  <c r="U46" i="54"/>
  <c r="H46" i="54" s="1"/>
  <c r="U45" i="54"/>
  <c r="H45" i="54" s="1"/>
  <c r="T45" i="54"/>
  <c r="S45" i="54"/>
  <c r="R45" i="54"/>
  <c r="Q45" i="54"/>
  <c r="P45" i="54"/>
  <c r="O45" i="54"/>
  <c r="U44" i="54"/>
  <c r="H44" i="54" s="1"/>
  <c r="R44" i="54"/>
  <c r="P44" i="54"/>
  <c r="O44" i="54"/>
  <c r="U43" i="54"/>
  <c r="H43" i="54" s="1"/>
  <c r="R43" i="54"/>
  <c r="P43" i="54"/>
  <c r="O43" i="54"/>
  <c r="U42" i="54"/>
  <c r="H42" i="54" s="1"/>
  <c r="T42" i="54"/>
  <c r="S42" i="54"/>
  <c r="R42" i="54"/>
  <c r="Q42" i="54"/>
  <c r="P42" i="54"/>
  <c r="O42" i="54"/>
  <c r="U41" i="54"/>
  <c r="H41" i="54" s="1"/>
  <c r="T41" i="54"/>
  <c r="S41" i="54"/>
  <c r="R41" i="54"/>
  <c r="Q41" i="54"/>
  <c r="P41" i="54"/>
  <c r="O41" i="54"/>
  <c r="U40" i="54"/>
  <c r="H40" i="54" s="1"/>
  <c r="T40" i="54"/>
  <c r="S40" i="54"/>
  <c r="R40" i="54"/>
  <c r="Q40" i="54"/>
  <c r="P40" i="54"/>
  <c r="O40" i="54"/>
  <c r="U39" i="54"/>
  <c r="H39" i="54" s="1"/>
  <c r="T39" i="54"/>
  <c r="S39" i="54"/>
  <c r="R39" i="54"/>
  <c r="Q39" i="54"/>
  <c r="P39" i="54"/>
  <c r="O39" i="54"/>
  <c r="U38" i="54"/>
  <c r="H38" i="54" s="1"/>
  <c r="T38" i="54"/>
  <c r="S38" i="54"/>
  <c r="R38" i="54"/>
  <c r="Q38" i="54"/>
  <c r="P38" i="54"/>
  <c r="O38" i="54"/>
  <c r="U37" i="54"/>
  <c r="H37" i="54" s="1"/>
  <c r="T37" i="54"/>
  <c r="S37" i="54"/>
  <c r="R37" i="54"/>
  <c r="P37" i="54"/>
  <c r="O37" i="54"/>
  <c r="H36" i="54"/>
  <c r="G36" i="54"/>
  <c r="H35" i="54"/>
  <c r="G35" i="54"/>
  <c r="U34" i="54"/>
  <c r="H34" i="54" s="1"/>
  <c r="T34" i="54"/>
  <c r="S34" i="54"/>
  <c r="R34" i="54"/>
  <c r="Q34" i="54"/>
  <c r="P34" i="54"/>
  <c r="O34" i="54"/>
  <c r="U33" i="54"/>
  <c r="H33" i="54" s="1"/>
  <c r="T33" i="54"/>
  <c r="S33" i="54"/>
  <c r="R33" i="54"/>
  <c r="P33" i="54"/>
  <c r="U32" i="54"/>
  <c r="H32" i="54" s="1"/>
  <c r="T32" i="54"/>
  <c r="S32" i="54"/>
  <c r="R32" i="54"/>
  <c r="Q32" i="54"/>
  <c r="P32" i="54"/>
  <c r="O32" i="54"/>
  <c r="U31" i="54"/>
  <c r="T31" i="54"/>
  <c r="S31" i="54"/>
  <c r="R31" i="54"/>
  <c r="H31" i="54"/>
  <c r="U30" i="54"/>
  <c r="H30" i="54" s="1"/>
  <c r="T30" i="54"/>
  <c r="S30" i="54"/>
  <c r="R30" i="54"/>
  <c r="Q30" i="54"/>
  <c r="P30" i="54"/>
  <c r="O30" i="54"/>
  <c r="U29" i="54"/>
  <c r="H29" i="54" s="1"/>
  <c r="T29" i="54"/>
  <c r="S29" i="54"/>
  <c r="R29" i="54"/>
  <c r="O29" i="54"/>
  <c r="U28" i="54"/>
  <c r="H28" i="54" s="1"/>
  <c r="T28" i="54"/>
  <c r="S28" i="54"/>
  <c r="R28" i="54"/>
  <c r="Q28" i="54"/>
  <c r="P28" i="54"/>
  <c r="O28" i="54"/>
  <c r="U27" i="54"/>
  <c r="H27" i="54" s="1"/>
  <c r="R27" i="54"/>
  <c r="Q27" i="54"/>
  <c r="U26" i="54"/>
  <c r="H26" i="54" s="1"/>
  <c r="T26" i="54"/>
  <c r="S26" i="54"/>
  <c r="R26" i="54"/>
  <c r="Q26" i="54"/>
  <c r="P26" i="54"/>
  <c r="O26" i="54"/>
  <c r="U25" i="54"/>
  <c r="H25" i="54" s="1"/>
  <c r="T25" i="54"/>
  <c r="S25" i="54"/>
  <c r="R25" i="54"/>
  <c r="Q25" i="54"/>
  <c r="P25" i="54"/>
  <c r="O25" i="54"/>
  <c r="U24" i="54"/>
  <c r="H24" i="54" s="1"/>
  <c r="T24" i="54"/>
  <c r="S24" i="54"/>
  <c r="R24" i="54"/>
  <c r="Q24" i="54"/>
  <c r="P24" i="54"/>
  <c r="O24" i="54"/>
  <c r="U23" i="54"/>
  <c r="H23" i="54" s="1"/>
  <c r="T23" i="54"/>
  <c r="S23" i="54"/>
  <c r="R23" i="54"/>
  <c r="Q23" i="54"/>
  <c r="P23" i="54"/>
  <c r="O23" i="54"/>
  <c r="U22" i="54"/>
  <c r="H22" i="54" s="1"/>
  <c r="T22" i="54"/>
  <c r="S22" i="54"/>
  <c r="R22" i="54"/>
  <c r="Q22" i="54"/>
  <c r="P22" i="54"/>
  <c r="O22" i="54"/>
  <c r="U21" i="54"/>
  <c r="H21" i="54" s="1"/>
  <c r="T21" i="54"/>
  <c r="R21" i="54"/>
  <c r="Q21" i="54"/>
  <c r="P21" i="54"/>
  <c r="O21" i="54"/>
  <c r="U20" i="54"/>
  <c r="H20" i="54" s="1"/>
  <c r="Q20" i="54"/>
  <c r="U19" i="54"/>
  <c r="H19" i="54" s="1"/>
  <c r="T19" i="54"/>
  <c r="S19" i="54"/>
  <c r="R19" i="54"/>
  <c r="Q19" i="54"/>
  <c r="P19" i="54"/>
  <c r="O19" i="54"/>
  <c r="U18" i="54"/>
  <c r="H18" i="54" s="1"/>
  <c r="T18" i="54"/>
  <c r="S18" i="54"/>
  <c r="R18" i="54"/>
  <c r="Q18" i="54"/>
  <c r="P18" i="54"/>
  <c r="O18" i="54"/>
  <c r="U17" i="54"/>
  <c r="H17" i="54" s="1"/>
  <c r="R17" i="54"/>
  <c r="U16" i="54"/>
  <c r="H16" i="54" s="1"/>
  <c r="T16" i="54"/>
  <c r="S16" i="54"/>
  <c r="R16" i="54"/>
  <c r="Q16" i="54"/>
  <c r="P16" i="54"/>
  <c r="O16" i="54"/>
  <c r="U15" i="54"/>
  <c r="H15" i="54" s="1"/>
  <c r="R15" i="54"/>
  <c r="U14" i="54"/>
  <c r="H14" i="54" s="1"/>
  <c r="T14" i="54"/>
  <c r="S14" i="54"/>
  <c r="R14" i="54"/>
  <c r="Q14" i="54"/>
  <c r="P14" i="54"/>
  <c r="O14" i="54"/>
  <c r="U13" i="54"/>
  <c r="H13" i="54" s="1"/>
  <c r="T13" i="54"/>
  <c r="S13" i="54"/>
  <c r="R13" i="54"/>
  <c r="Q13" i="54"/>
  <c r="P13" i="54"/>
  <c r="O13" i="54"/>
  <c r="U12" i="54"/>
  <c r="H12" i="54" s="1"/>
  <c r="T12" i="54"/>
  <c r="H11" i="54"/>
  <c r="G11" i="54"/>
  <c r="U10" i="54"/>
  <c r="H10" i="54" s="1"/>
  <c r="T10" i="54"/>
  <c r="S10" i="54"/>
  <c r="R10" i="54"/>
  <c r="Q10" i="54"/>
  <c r="P10" i="54"/>
  <c r="O10" i="54"/>
  <c r="U9" i="54"/>
  <c r="H9" i="54" s="1"/>
  <c r="T9" i="54"/>
  <c r="S9" i="54"/>
  <c r="R9" i="54"/>
  <c r="Q9" i="54"/>
  <c r="P9" i="54"/>
  <c r="O9" i="54"/>
  <c r="U8" i="54"/>
  <c r="H8" i="54" s="1"/>
  <c r="T8" i="54"/>
  <c r="S8" i="54"/>
  <c r="R8" i="54"/>
  <c r="Q8" i="54"/>
  <c r="P8" i="54"/>
  <c r="O8" i="54"/>
  <c r="U7" i="54"/>
  <c r="H7" i="54" s="1"/>
  <c r="T7" i="54"/>
  <c r="S7" i="54"/>
  <c r="R7" i="54"/>
  <c r="Q7" i="54"/>
  <c r="P7" i="54"/>
  <c r="O7" i="54"/>
  <c r="U6" i="54"/>
  <c r="H6" i="54" s="1"/>
  <c r="T6" i="54"/>
  <c r="S6" i="54"/>
  <c r="R6" i="54"/>
  <c r="Q6" i="54"/>
  <c r="P6" i="54"/>
  <c r="O6" i="54"/>
  <c r="U5" i="54"/>
  <c r="H5" i="54" s="1"/>
  <c r="T5" i="54"/>
  <c r="S5" i="54"/>
  <c r="R5" i="54"/>
  <c r="Q5" i="54"/>
  <c r="P5" i="54"/>
  <c r="O5" i="54"/>
  <c r="U4" i="54"/>
  <c r="P51" i="53"/>
  <c r="Q51" i="53"/>
  <c r="R51" i="53"/>
  <c r="S51" i="53"/>
  <c r="T51" i="53"/>
  <c r="U51" i="53"/>
  <c r="H51" i="53" s="1"/>
  <c r="P50" i="53"/>
  <c r="R50" i="53"/>
  <c r="T50" i="53"/>
  <c r="U50" i="53"/>
  <c r="P49" i="53"/>
  <c r="Q49" i="53"/>
  <c r="R49" i="53"/>
  <c r="S49" i="53"/>
  <c r="T49" i="53"/>
  <c r="U49" i="53"/>
  <c r="H49" i="53" s="1"/>
  <c r="P48" i="53"/>
  <c r="R48" i="53"/>
  <c r="T48" i="53"/>
  <c r="U48" i="53"/>
  <c r="O51" i="53"/>
  <c r="O50" i="53"/>
  <c r="O49" i="53"/>
  <c r="O48" i="53"/>
  <c r="P47" i="53"/>
  <c r="Q47" i="53"/>
  <c r="R47" i="53"/>
  <c r="S47" i="53"/>
  <c r="T47" i="53"/>
  <c r="U47" i="53"/>
  <c r="H47" i="53" s="1"/>
  <c r="Q46" i="53"/>
  <c r="U46" i="53"/>
  <c r="H46" i="53" s="1"/>
  <c r="P45" i="53"/>
  <c r="Q45" i="53"/>
  <c r="R45" i="53"/>
  <c r="S45" i="53"/>
  <c r="T45" i="53"/>
  <c r="U45" i="53"/>
  <c r="H45" i="53" s="1"/>
  <c r="Q44" i="53"/>
  <c r="T44" i="53"/>
  <c r="U44" i="53"/>
  <c r="H44" i="53" s="1"/>
  <c r="O45" i="53"/>
  <c r="O47" i="53"/>
  <c r="P43" i="53"/>
  <c r="Q43" i="53"/>
  <c r="R43" i="53"/>
  <c r="S43" i="53"/>
  <c r="T43" i="53"/>
  <c r="U43" i="53"/>
  <c r="O43" i="53"/>
  <c r="P42" i="53"/>
  <c r="Q42" i="53"/>
  <c r="R42" i="53"/>
  <c r="S42" i="53"/>
  <c r="T42" i="53"/>
  <c r="U42" i="53"/>
  <c r="H42" i="53" s="1"/>
  <c r="O42" i="53"/>
  <c r="P41" i="53"/>
  <c r="Q41" i="53"/>
  <c r="R41" i="53"/>
  <c r="S41" i="53"/>
  <c r="T41" i="53"/>
  <c r="U41" i="53"/>
  <c r="P40" i="53"/>
  <c r="Q40" i="53"/>
  <c r="R40" i="53"/>
  <c r="S40" i="53"/>
  <c r="T40" i="53"/>
  <c r="U40" i="53"/>
  <c r="H40" i="53" s="1"/>
  <c r="P39" i="53"/>
  <c r="Q39" i="53"/>
  <c r="R39" i="53"/>
  <c r="S39" i="53"/>
  <c r="T39" i="53"/>
  <c r="U39" i="53"/>
  <c r="H39" i="53" s="1"/>
  <c r="P34" i="53"/>
  <c r="Q34" i="53"/>
  <c r="R34" i="53"/>
  <c r="S34" i="53"/>
  <c r="T34" i="53"/>
  <c r="U34" i="53"/>
  <c r="H34" i="53" s="1"/>
  <c r="P33" i="53"/>
  <c r="Q33" i="53"/>
  <c r="S33" i="53"/>
  <c r="T33" i="53"/>
  <c r="U33" i="53"/>
  <c r="H33" i="53" s="1"/>
  <c r="P38" i="53"/>
  <c r="Q38" i="53"/>
  <c r="R38" i="53"/>
  <c r="S38" i="53"/>
  <c r="T38" i="53"/>
  <c r="U38" i="53"/>
  <c r="Q37" i="53"/>
  <c r="R37" i="53"/>
  <c r="S37" i="53"/>
  <c r="T37" i="53"/>
  <c r="U37" i="53"/>
  <c r="H37" i="53" s="1"/>
  <c r="O41" i="53"/>
  <c r="O40" i="53"/>
  <c r="O39" i="53"/>
  <c r="O38" i="53"/>
  <c r="O34" i="53"/>
  <c r="O33" i="53"/>
  <c r="P32" i="53"/>
  <c r="Q32" i="53"/>
  <c r="R32" i="53"/>
  <c r="S32" i="53"/>
  <c r="T32" i="53"/>
  <c r="U32" i="53"/>
  <c r="H32" i="53" s="1"/>
  <c r="T31" i="53"/>
  <c r="U31" i="53"/>
  <c r="H31" i="53" s="1"/>
  <c r="P30" i="53"/>
  <c r="Q30" i="53"/>
  <c r="R30" i="53"/>
  <c r="S30" i="53"/>
  <c r="T30" i="53"/>
  <c r="U30" i="53"/>
  <c r="H30" i="53" s="1"/>
  <c r="S29" i="53"/>
  <c r="T29" i="53"/>
  <c r="U29" i="53"/>
  <c r="H29" i="53" s="1"/>
  <c r="O32" i="53"/>
  <c r="O30" i="53"/>
  <c r="P28" i="53"/>
  <c r="Q28" i="53"/>
  <c r="R28" i="53"/>
  <c r="S28" i="53"/>
  <c r="T28" i="53"/>
  <c r="U28" i="53"/>
  <c r="H28" i="53" s="1"/>
  <c r="U27" i="53"/>
  <c r="H27" i="53" s="1"/>
  <c r="P26" i="53"/>
  <c r="Q26" i="53"/>
  <c r="R26" i="53"/>
  <c r="S26" i="53"/>
  <c r="T26" i="53"/>
  <c r="U26" i="53"/>
  <c r="H26" i="53" s="1"/>
  <c r="O28" i="53"/>
  <c r="O26" i="53"/>
  <c r="P22" i="53"/>
  <c r="Q22" i="53"/>
  <c r="R22" i="53"/>
  <c r="S22" i="53"/>
  <c r="T22" i="53"/>
  <c r="U22" i="53"/>
  <c r="H22" i="53" s="1"/>
  <c r="P25" i="53"/>
  <c r="Q25" i="53"/>
  <c r="R25" i="53"/>
  <c r="S25" i="53"/>
  <c r="T25" i="53"/>
  <c r="U25" i="53"/>
  <c r="H25" i="53" s="1"/>
  <c r="P24" i="53"/>
  <c r="Q24" i="53"/>
  <c r="R24" i="53"/>
  <c r="S24" i="53"/>
  <c r="T24" i="53"/>
  <c r="U24" i="53"/>
  <c r="H24" i="53" s="1"/>
  <c r="P23" i="53"/>
  <c r="Q23" i="53"/>
  <c r="R23" i="53"/>
  <c r="S23" i="53"/>
  <c r="T23" i="53"/>
  <c r="U23" i="53"/>
  <c r="H23" i="53" s="1"/>
  <c r="O25" i="53"/>
  <c r="O24" i="53"/>
  <c r="O23" i="53"/>
  <c r="P20" i="53"/>
  <c r="R20" i="53"/>
  <c r="U20" i="53"/>
  <c r="H20" i="53" s="1"/>
  <c r="P21" i="53"/>
  <c r="R21" i="53"/>
  <c r="S21" i="53"/>
  <c r="T21" i="53"/>
  <c r="U21" i="53"/>
  <c r="H21" i="53" s="1"/>
  <c r="O22" i="53"/>
  <c r="O21" i="53"/>
  <c r="O20" i="53"/>
  <c r="T19" i="53"/>
  <c r="U19" i="53"/>
  <c r="H19" i="53" s="1"/>
  <c r="P18" i="53"/>
  <c r="Q18" i="53"/>
  <c r="R18" i="53"/>
  <c r="S18" i="53"/>
  <c r="T18" i="53"/>
  <c r="U18" i="53"/>
  <c r="H18" i="53" s="1"/>
  <c r="U17" i="53"/>
  <c r="H17" i="53" s="1"/>
  <c r="P16" i="53"/>
  <c r="Q16" i="53"/>
  <c r="R16" i="53"/>
  <c r="S16" i="53"/>
  <c r="T16" i="53"/>
  <c r="U16" i="53"/>
  <c r="H16" i="53" s="1"/>
  <c r="O16" i="53"/>
  <c r="O18" i="53"/>
  <c r="U15" i="53"/>
  <c r="H15" i="53" s="1"/>
  <c r="P14" i="53"/>
  <c r="Q14" i="53"/>
  <c r="R14" i="53"/>
  <c r="S14" i="53"/>
  <c r="T14" i="53"/>
  <c r="U14" i="53"/>
  <c r="H14" i="53" s="1"/>
  <c r="O14" i="53"/>
  <c r="P13" i="53"/>
  <c r="Q13" i="53"/>
  <c r="R13" i="53"/>
  <c r="S13" i="53"/>
  <c r="T13" i="53"/>
  <c r="U13" i="53"/>
  <c r="H13" i="53" s="1"/>
  <c r="O13" i="53"/>
  <c r="U12" i="53"/>
  <c r="H12" i="53" s="1"/>
  <c r="P10" i="53"/>
  <c r="Q10" i="53"/>
  <c r="R10" i="53"/>
  <c r="S10" i="53"/>
  <c r="T10" i="53"/>
  <c r="U10" i="53"/>
  <c r="H10" i="53" s="1"/>
  <c r="O10" i="53"/>
  <c r="P9" i="53"/>
  <c r="Q9" i="53"/>
  <c r="R9" i="53"/>
  <c r="S9" i="53"/>
  <c r="T9" i="53"/>
  <c r="U9" i="53"/>
  <c r="H9" i="53" s="1"/>
  <c r="P8" i="53"/>
  <c r="Q8" i="53"/>
  <c r="R8" i="53"/>
  <c r="S8" i="53"/>
  <c r="T8" i="53"/>
  <c r="U8" i="53"/>
  <c r="H8" i="53" s="1"/>
  <c r="P7" i="53"/>
  <c r="Q7" i="53"/>
  <c r="R7" i="53"/>
  <c r="S7" i="53"/>
  <c r="T7" i="53"/>
  <c r="U7" i="53"/>
  <c r="H7" i="53" s="1"/>
  <c r="O9" i="53"/>
  <c r="O8" i="53"/>
  <c r="O7" i="53"/>
  <c r="P6" i="53"/>
  <c r="Q6" i="53"/>
  <c r="R6" i="53"/>
  <c r="S6" i="53"/>
  <c r="T6" i="53"/>
  <c r="U6" i="53"/>
  <c r="H6" i="53" s="1"/>
  <c r="P5" i="53"/>
  <c r="Q5" i="53"/>
  <c r="R5" i="53"/>
  <c r="S5" i="53"/>
  <c r="T5" i="53"/>
  <c r="U5" i="53"/>
  <c r="H5" i="53" s="1"/>
  <c r="O6" i="53"/>
  <c r="O5" i="53"/>
  <c r="R4" i="53"/>
  <c r="U4" i="53"/>
  <c r="H50" i="53"/>
  <c r="H48" i="53"/>
  <c r="H43" i="53"/>
  <c r="H41" i="53"/>
  <c r="H38" i="53"/>
  <c r="H36" i="53"/>
  <c r="G36" i="53"/>
  <c r="H35" i="53"/>
  <c r="G35" i="53"/>
  <c r="H11" i="53"/>
  <c r="G11" i="53"/>
  <c r="P51" i="52"/>
  <c r="Q51" i="52"/>
  <c r="R51" i="52"/>
  <c r="S51" i="52"/>
  <c r="T51" i="52"/>
  <c r="U51" i="52"/>
  <c r="Q50" i="52"/>
  <c r="R50" i="52"/>
  <c r="S50" i="52"/>
  <c r="T50" i="52"/>
  <c r="U50" i="52"/>
  <c r="P49" i="52"/>
  <c r="Q49" i="52"/>
  <c r="R49" i="52"/>
  <c r="S49" i="52"/>
  <c r="T49" i="52"/>
  <c r="U49" i="52"/>
  <c r="Q48" i="52"/>
  <c r="R48" i="52"/>
  <c r="S48" i="52"/>
  <c r="T48" i="52"/>
  <c r="U48" i="52"/>
  <c r="O51" i="52"/>
  <c r="O49" i="52"/>
  <c r="P47" i="52"/>
  <c r="Q47" i="52"/>
  <c r="R47" i="52"/>
  <c r="S47" i="52"/>
  <c r="T47" i="52"/>
  <c r="U47" i="52"/>
  <c r="P46" i="52"/>
  <c r="S46" i="52"/>
  <c r="T46" i="52"/>
  <c r="U46" i="52"/>
  <c r="P45" i="52"/>
  <c r="Q45" i="52"/>
  <c r="R45" i="52"/>
  <c r="S45" i="52"/>
  <c r="T45" i="52"/>
  <c r="U45" i="52"/>
  <c r="P44" i="52"/>
  <c r="S44" i="52"/>
  <c r="T44" i="52"/>
  <c r="U44" i="52"/>
  <c r="O47" i="52"/>
  <c r="O46" i="52"/>
  <c r="O45" i="52"/>
  <c r="O44" i="52"/>
  <c r="P42" i="52"/>
  <c r="Q42" i="52"/>
  <c r="R42" i="52"/>
  <c r="S42" i="52"/>
  <c r="T42" i="52"/>
  <c r="U42" i="52"/>
  <c r="O42" i="52"/>
  <c r="P43" i="52"/>
  <c r="Q43" i="52"/>
  <c r="R43" i="52"/>
  <c r="S43" i="52"/>
  <c r="T43" i="52"/>
  <c r="U43" i="52"/>
  <c r="O43" i="52"/>
  <c r="P41" i="52"/>
  <c r="Q41" i="52"/>
  <c r="R41" i="52"/>
  <c r="S41" i="52"/>
  <c r="T41" i="52"/>
  <c r="U41" i="52"/>
  <c r="P40" i="52"/>
  <c r="Q40" i="52"/>
  <c r="R40" i="52"/>
  <c r="S40" i="52"/>
  <c r="T40" i="52"/>
  <c r="U40" i="52"/>
  <c r="P39" i="52"/>
  <c r="Q39" i="52"/>
  <c r="R39" i="52"/>
  <c r="S39" i="52"/>
  <c r="T39" i="52"/>
  <c r="U39" i="52"/>
  <c r="O41" i="52"/>
  <c r="O40" i="52"/>
  <c r="O39" i="52"/>
  <c r="P38" i="52"/>
  <c r="Q38" i="52"/>
  <c r="R38" i="52"/>
  <c r="S38" i="52"/>
  <c r="T38" i="52"/>
  <c r="U38" i="52"/>
  <c r="P37" i="52"/>
  <c r="S37" i="52"/>
  <c r="T37" i="52"/>
  <c r="U37" i="52"/>
  <c r="P34" i="52"/>
  <c r="Q34" i="52"/>
  <c r="R34" i="52"/>
  <c r="S34" i="52"/>
  <c r="T34" i="52"/>
  <c r="U34" i="52"/>
  <c r="P33" i="52"/>
  <c r="Q33" i="52"/>
  <c r="R33" i="52"/>
  <c r="S33" i="52"/>
  <c r="T33" i="52"/>
  <c r="U33" i="52"/>
  <c r="O38" i="52"/>
  <c r="O34" i="52"/>
  <c r="O33" i="52"/>
  <c r="P32" i="52"/>
  <c r="Q32" i="52"/>
  <c r="R32" i="52"/>
  <c r="S32" i="52"/>
  <c r="T32" i="52"/>
  <c r="U32" i="52"/>
  <c r="P31" i="52"/>
  <c r="S31" i="52"/>
  <c r="T31" i="52"/>
  <c r="U31" i="52"/>
  <c r="P30" i="52"/>
  <c r="Q30" i="52"/>
  <c r="R30" i="52"/>
  <c r="S30" i="52"/>
  <c r="T30" i="52"/>
  <c r="U30" i="52"/>
  <c r="P29" i="52"/>
  <c r="S29" i="52"/>
  <c r="T29" i="52"/>
  <c r="U29" i="52"/>
  <c r="O32" i="52"/>
  <c r="O31" i="52"/>
  <c r="O30" i="52"/>
  <c r="O29" i="52"/>
  <c r="P28" i="52"/>
  <c r="Q28" i="52"/>
  <c r="R28" i="52"/>
  <c r="S28" i="52"/>
  <c r="T28" i="52"/>
  <c r="U28" i="52"/>
  <c r="S27" i="52"/>
  <c r="T27" i="52"/>
  <c r="U27" i="52"/>
  <c r="P26" i="52"/>
  <c r="Q26" i="52"/>
  <c r="R26" i="52"/>
  <c r="S26" i="52"/>
  <c r="T26" i="52"/>
  <c r="U26" i="52"/>
  <c r="O28" i="52"/>
  <c r="O26" i="52"/>
  <c r="P25" i="52"/>
  <c r="Q25" i="52"/>
  <c r="R25" i="52"/>
  <c r="S25" i="52"/>
  <c r="T25" i="52"/>
  <c r="U25" i="52"/>
  <c r="P24" i="52"/>
  <c r="Q24" i="52"/>
  <c r="R24" i="52"/>
  <c r="S24" i="52"/>
  <c r="T24" i="52"/>
  <c r="U24" i="52"/>
  <c r="P23" i="52"/>
  <c r="Q23" i="52"/>
  <c r="R23" i="52"/>
  <c r="S23" i="52"/>
  <c r="T23" i="52"/>
  <c r="U23" i="52"/>
  <c r="O25" i="52"/>
  <c r="O24" i="52"/>
  <c r="O23" i="52"/>
  <c r="P22" i="52"/>
  <c r="Q22" i="52"/>
  <c r="R22" i="52"/>
  <c r="S22" i="52"/>
  <c r="T22" i="52"/>
  <c r="U22" i="52"/>
  <c r="P21" i="52"/>
  <c r="Q21" i="52"/>
  <c r="R21" i="52"/>
  <c r="S21" i="52"/>
  <c r="T21" i="52"/>
  <c r="U21" i="52"/>
  <c r="P20" i="52"/>
  <c r="Q20" i="52"/>
  <c r="R20" i="52"/>
  <c r="S20" i="52"/>
  <c r="T20" i="52"/>
  <c r="U20" i="52"/>
  <c r="P19" i="52"/>
  <c r="Q19" i="52"/>
  <c r="R19" i="52"/>
  <c r="S19" i="52"/>
  <c r="T19" i="52"/>
  <c r="U19" i="52"/>
  <c r="O22" i="52"/>
  <c r="O21" i="52"/>
  <c r="O20" i="52"/>
  <c r="O19" i="52"/>
  <c r="P18" i="52"/>
  <c r="Q18" i="52"/>
  <c r="R18" i="52"/>
  <c r="S18" i="52"/>
  <c r="T18" i="52"/>
  <c r="U18" i="52"/>
  <c r="P17" i="52"/>
  <c r="Q17" i="52"/>
  <c r="R17" i="52"/>
  <c r="S17" i="52"/>
  <c r="T17" i="52"/>
  <c r="U17" i="52"/>
  <c r="P16" i="52"/>
  <c r="Q16" i="52"/>
  <c r="R16" i="52"/>
  <c r="S16" i="52"/>
  <c r="T16" i="52"/>
  <c r="U16" i="52"/>
  <c r="O17" i="52"/>
  <c r="O18" i="52"/>
  <c r="O16" i="52"/>
  <c r="P15" i="52"/>
  <c r="Q15" i="52"/>
  <c r="R15" i="52"/>
  <c r="S15" i="52"/>
  <c r="T15" i="52"/>
  <c r="U15" i="52"/>
  <c r="O15" i="52"/>
  <c r="P14" i="52"/>
  <c r="Q14" i="52"/>
  <c r="R14" i="52"/>
  <c r="S14" i="52"/>
  <c r="T14" i="52"/>
  <c r="U14" i="52"/>
  <c r="O14" i="52"/>
  <c r="P13" i="52"/>
  <c r="Q13" i="52"/>
  <c r="R13" i="52"/>
  <c r="S13" i="52"/>
  <c r="T13" i="52"/>
  <c r="U13" i="52"/>
  <c r="O13" i="52"/>
  <c r="P12" i="52"/>
  <c r="Q12" i="52"/>
  <c r="R12" i="52"/>
  <c r="S12" i="52"/>
  <c r="T12" i="52"/>
  <c r="U12" i="52"/>
  <c r="O12" i="52"/>
  <c r="P10" i="52"/>
  <c r="Q10" i="52"/>
  <c r="R10" i="52"/>
  <c r="S10" i="52"/>
  <c r="T10" i="52"/>
  <c r="U10" i="52"/>
  <c r="O10" i="52"/>
  <c r="P9" i="52"/>
  <c r="Q9" i="52"/>
  <c r="R9" i="52"/>
  <c r="S9" i="52"/>
  <c r="T9" i="52"/>
  <c r="U9" i="52"/>
  <c r="P8" i="52"/>
  <c r="Q8" i="52"/>
  <c r="R8" i="52"/>
  <c r="S8" i="52"/>
  <c r="T8" i="52"/>
  <c r="U8" i="52"/>
  <c r="O9" i="52"/>
  <c r="O8" i="52"/>
  <c r="P7" i="52"/>
  <c r="Q7" i="52"/>
  <c r="R7" i="52"/>
  <c r="S7" i="52"/>
  <c r="T7" i="52"/>
  <c r="U7" i="52"/>
  <c r="O7" i="52"/>
  <c r="P6" i="52"/>
  <c r="Q6" i="52"/>
  <c r="R6" i="52"/>
  <c r="S6" i="52"/>
  <c r="T6" i="52"/>
  <c r="U6" i="52"/>
  <c r="P5" i="52"/>
  <c r="Q5" i="52"/>
  <c r="R5" i="52"/>
  <c r="S5" i="52"/>
  <c r="T5" i="52"/>
  <c r="U5" i="52"/>
  <c r="O6" i="52"/>
  <c r="O5" i="52"/>
  <c r="R4" i="52"/>
  <c r="S4" i="52"/>
  <c r="T4" i="52"/>
  <c r="U4" i="52"/>
  <c r="H23" i="63" l="1"/>
  <c r="U24" i="63"/>
  <c r="M11" i="62"/>
  <c r="G22" i="62"/>
  <c r="G6" i="62"/>
  <c r="M11" i="59"/>
  <c r="M11" i="60"/>
  <c r="G28" i="62"/>
  <c r="H33" i="62"/>
  <c r="U18" i="62"/>
  <c r="H18" i="62" s="1"/>
  <c r="H17" i="62"/>
  <c r="G21" i="62"/>
  <c r="H10" i="62"/>
  <c r="G38" i="62"/>
  <c r="G8" i="62"/>
  <c r="G24" i="62"/>
  <c r="H29" i="62"/>
  <c r="G30" i="62"/>
  <c r="U32" i="62"/>
  <c r="H32" i="62" s="1"/>
  <c r="G9" i="62"/>
  <c r="G23" i="62"/>
  <c r="G32" i="62"/>
  <c r="G39" i="62"/>
  <c r="G40" i="62"/>
  <c r="G41" i="62"/>
  <c r="G47" i="62"/>
  <c r="M47" i="62" s="1"/>
  <c r="G49" i="62"/>
  <c r="M49" i="62" s="1"/>
  <c r="G5" i="62"/>
  <c r="G17" i="62"/>
  <c r="G27" i="62"/>
  <c r="G34" i="62"/>
  <c r="G25" i="62"/>
  <c r="G51" i="62"/>
  <c r="M51" i="62" s="1"/>
  <c r="H27" i="62"/>
  <c r="U28" i="62"/>
  <c r="H28" i="62" s="1"/>
  <c r="H21" i="62"/>
  <c r="U22" i="62"/>
  <c r="S18" i="62"/>
  <c r="P18" i="62"/>
  <c r="T18" i="62"/>
  <c r="H20" i="62"/>
  <c r="H15" i="62"/>
  <c r="U10" i="60"/>
  <c r="H10" i="60" s="1"/>
  <c r="G9" i="60"/>
  <c r="G41" i="60"/>
  <c r="G40" i="60"/>
  <c r="G27" i="60"/>
  <c r="G32" i="60"/>
  <c r="G39" i="60"/>
  <c r="G6" i="60"/>
  <c r="G8" i="60"/>
  <c r="G25" i="60"/>
  <c r="G28" i="60"/>
  <c r="G30" i="60"/>
  <c r="G38" i="60"/>
  <c r="G22" i="60"/>
  <c r="G49" i="60"/>
  <c r="M49" i="60" s="1"/>
  <c r="G51" i="60"/>
  <c r="M51" i="60" s="1"/>
  <c r="G5" i="60"/>
  <c r="G24" i="60"/>
  <c r="G21" i="60"/>
  <c r="G23" i="60"/>
  <c r="G34" i="60"/>
  <c r="M11" i="53"/>
  <c r="M11" i="54"/>
  <c r="M11" i="58"/>
  <c r="G8" i="59"/>
  <c r="G9" i="59"/>
  <c r="G14" i="59"/>
  <c r="M14" i="59" s="1"/>
  <c r="G27" i="59"/>
  <c r="G30" i="59"/>
  <c r="G32" i="59"/>
  <c r="G5" i="59"/>
  <c r="G6" i="59"/>
  <c r="G40" i="59"/>
  <c r="G41" i="59"/>
  <c r="G45" i="59"/>
  <c r="M45" i="59" s="1"/>
  <c r="G23" i="59"/>
  <c r="G38" i="59"/>
  <c r="G47" i="59"/>
  <c r="M47" i="59" s="1"/>
  <c r="G49" i="59"/>
  <c r="M49" i="59" s="1"/>
  <c r="G51" i="59"/>
  <c r="M51" i="59" s="1"/>
  <c r="G22" i="59"/>
  <c r="G34" i="59"/>
  <c r="G17" i="59"/>
  <c r="G24" i="59"/>
  <c r="G28" i="59"/>
  <c r="G25" i="59"/>
  <c r="P18" i="59"/>
  <c r="U18" i="59"/>
  <c r="H18" i="59" s="1"/>
  <c r="H4" i="59"/>
  <c r="H4" i="58"/>
  <c r="M35" i="54"/>
  <c r="M35" i="53"/>
  <c r="M11" i="56"/>
  <c r="G16" i="57"/>
  <c r="G21" i="57"/>
  <c r="G22" i="57"/>
  <c r="G23" i="57"/>
  <c r="G24" i="57"/>
  <c r="G25" i="57"/>
  <c r="G26" i="57"/>
  <c r="G34" i="57"/>
  <c r="G49" i="57"/>
  <c r="M49" i="57" s="1"/>
  <c r="G5" i="57"/>
  <c r="G6" i="57"/>
  <c r="G7" i="57"/>
  <c r="G8" i="57"/>
  <c r="G9" i="57"/>
  <c r="G13" i="57"/>
  <c r="M13" i="57" s="1"/>
  <c r="G14" i="57"/>
  <c r="M14" i="57" s="1"/>
  <c r="G32" i="57"/>
  <c r="G45" i="57"/>
  <c r="M45" i="57" s="1"/>
  <c r="G28" i="57"/>
  <c r="G38" i="57"/>
  <c r="G39" i="57"/>
  <c r="G40" i="57"/>
  <c r="G41" i="57"/>
  <c r="G42" i="57"/>
  <c r="M42" i="57" s="1"/>
  <c r="G47" i="57"/>
  <c r="M47" i="57" s="1"/>
  <c r="G30" i="57"/>
  <c r="G51" i="57"/>
  <c r="M51" i="57" s="1"/>
  <c r="G23" i="58"/>
  <c r="G12" i="58"/>
  <c r="M12" i="58" s="1"/>
  <c r="G6" i="58"/>
  <c r="G9" i="58"/>
  <c r="G21" i="58"/>
  <c r="G30" i="58"/>
  <c r="G32" i="58"/>
  <c r="G34" i="58"/>
  <c r="G8" i="58"/>
  <c r="G16" i="58"/>
  <c r="G24" i="58"/>
  <c r="G40" i="58"/>
  <c r="G41" i="58"/>
  <c r="G42" i="58"/>
  <c r="M42" i="58" s="1"/>
  <c r="G45" i="58"/>
  <c r="M45" i="58" s="1"/>
  <c r="G7" i="58"/>
  <c r="G13" i="58"/>
  <c r="M13" i="58" s="1"/>
  <c r="G14" i="58"/>
  <c r="M14" i="58" s="1"/>
  <c r="G26" i="58"/>
  <c r="G38" i="58"/>
  <c r="G47" i="58"/>
  <c r="M47" i="58" s="1"/>
  <c r="G51" i="58"/>
  <c r="M51" i="58" s="1"/>
  <c r="G10" i="58"/>
  <c r="M10" i="58" s="1"/>
  <c r="G28" i="58"/>
  <c r="G25" i="58"/>
  <c r="G5" i="58"/>
  <c r="G22" i="58"/>
  <c r="G39" i="58"/>
  <c r="H18" i="58"/>
  <c r="M35" i="57"/>
  <c r="G6" i="56"/>
  <c r="G18" i="54"/>
  <c r="G34" i="54"/>
  <c r="G32" i="54"/>
  <c r="U52" i="57"/>
  <c r="G51" i="56"/>
  <c r="M51" i="56" s="1"/>
  <c r="G47" i="56"/>
  <c r="M47" i="56" s="1"/>
  <c r="G45" i="56"/>
  <c r="M45" i="56" s="1"/>
  <c r="G42" i="56"/>
  <c r="M42" i="56" s="1"/>
  <c r="G41" i="56"/>
  <c r="G40" i="56"/>
  <c r="G39" i="56"/>
  <c r="G38" i="56"/>
  <c r="G34" i="56"/>
  <c r="G30" i="56"/>
  <c r="G28" i="56"/>
  <c r="G26" i="56"/>
  <c r="G25" i="56"/>
  <c r="G24" i="56"/>
  <c r="G23" i="56"/>
  <c r="G22" i="56"/>
  <c r="U52" i="56"/>
  <c r="G16" i="56"/>
  <c r="G14" i="56"/>
  <c r="M14" i="56" s="1"/>
  <c r="G13" i="56"/>
  <c r="M13" i="56" s="1"/>
  <c r="G12" i="56"/>
  <c r="M12" i="56" s="1"/>
  <c r="G10" i="56"/>
  <c r="M10" i="56" s="1"/>
  <c r="G8" i="56"/>
  <c r="G5" i="56"/>
  <c r="G32" i="56"/>
  <c r="G9" i="56"/>
  <c r="G7" i="56"/>
  <c r="H4" i="57"/>
  <c r="H52" i="57" s="1"/>
  <c r="H4" i="56"/>
  <c r="H52" i="56" s="1"/>
  <c r="G5" i="54"/>
  <c r="G19" i="54"/>
  <c r="M19" i="54" s="1"/>
  <c r="G6" i="54"/>
  <c r="U52" i="54"/>
  <c r="G14" i="54"/>
  <c r="M14" i="54" s="1"/>
  <c r="G22" i="54"/>
  <c r="G23" i="54"/>
  <c r="G24" i="54"/>
  <c r="G25" i="54"/>
  <c r="G26" i="54"/>
  <c r="G28" i="54"/>
  <c r="G8" i="54"/>
  <c r="G9" i="54"/>
  <c r="G10" i="54"/>
  <c r="M10" i="54" s="1"/>
  <c r="G39" i="54"/>
  <c r="G40" i="54"/>
  <c r="G42" i="54"/>
  <c r="M42" i="54" s="1"/>
  <c r="G45" i="54"/>
  <c r="M45" i="54" s="1"/>
  <c r="G47" i="54"/>
  <c r="M47" i="54" s="1"/>
  <c r="G49" i="54"/>
  <c r="M49" i="54" s="1"/>
  <c r="G16" i="54"/>
  <c r="G38" i="54"/>
  <c r="G41" i="54"/>
  <c r="G51" i="54"/>
  <c r="M51" i="54" s="1"/>
  <c r="G7" i="54"/>
  <c r="G13" i="54"/>
  <c r="M13" i="54" s="1"/>
  <c r="G30" i="54"/>
  <c r="H4" i="54"/>
  <c r="H52" i="54" s="1"/>
  <c r="G14" i="53"/>
  <c r="M14" i="53" s="1"/>
  <c r="G5" i="53"/>
  <c r="G30" i="53"/>
  <c r="U52" i="53"/>
  <c r="G9" i="53"/>
  <c r="G22" i="53"/>
  <c r="G25" i="53"/>
  <c r="G28" i="53"/>
  <c r="G40" i="53"/>
  <c r="G42" i="53"/>
  <c r="M42" i="53" s="1"/>
  <c r="G43" i="53"/>
  <c r="G6" i="53"/>
  <c r="G8" i="53"/>
  <c r="G13" i="53"/>
  <c r="M13" i="53" s="1"/>
  <c r="G16" i="53"/>
  <c r="G45" i="53"/>
  <c r="M45" i="53" s="1"/>
  <c r="G47" i="53"/>
  <c r="M47" i="53" s="1"/>
  <c r="G49" i="53"/>
  <c r="M49" i="53" s="1"/>
  <c r="G10" i="53"/>
  <c r="M10" i="53" s="1"/>
  <c r="G18" i="53"/>
  <c r="G39" i="53"/>
  <c r="G7" i="53"/>
  <c r="G23" i="53"/>
  <c r="G26" i="53"/>
  <c r="G32" i="53"/>
  <c r="G41" i="53"/>
  <c r="G34" i="53"/>
  <c r="G38" i="53"/>
  <c r="G51" i="53"/>
  <c r="M51" i="53" s="1"/>
  <c r="G24" i="53"/>
  <c r="H4" i="53"/>
  <c r="H52" i="53" s="1"/>
  <c r="H24" i="63" l="1"/>
  <c r="U25" i="63"/>
  <c r="H25" i="63" s="1"/>
  <c r="M40" i="62"/>
  <c r="U23" i="62"/>
  <c r="H22" i="62"/>
  <c r="M40" i="60"/>
  <c r="H52" i="58"/>
  <c r="M24" i="59"/>
  <c r="M24" i="57"/>
  <c r="M8" i="58"/>
  <c r="M24" i="58"/>
  <c r="M40" i="58"/>
  <c r="U52" i="58"/>
  <c r="M8" i="56"/>
  <c r="M24" i="56"/>
  <c r="M40" i="56"/>
  <c r="M24" i="54"/>
  <c r="M40" i="57"/>
  <c r="M8" i="57"/>
  <c r="M8" i="54"/>
  <c r="M40" i="54"/>
  <c r="M40" i="53"/>
  <c r="M8" i="53"/>
  <c r="J52" i="52"/>
  <c r="I52" i="52"/>
  <c r="H51" i="52"/>
  <c r="H50" i="52"/>
  <c r="H49" i="52"/>
  <c r="H48" i="52"/>
  <c r="H47" i="52"/>
  <c r="H46" i="52"/>
  <c r="H45" i="52"/>
  <c r="H44" i="52"/>
  <c r="H43" i="52"/>
  <c r="H42" i="52"/>
  <c r="G42" i="52"/>
  <c r="H41" i="52"/>
  <c r="H40" i="52"/>
  <c r="H39" i="52"/>
  <c r="H38" i="52"/>
  <c r="H37" i="52"/>
  <c r="H36" i="52"/>
  <c r="G36" i="52"/>
  <c r="H35" i="52"/>
  <c r="G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6" i="52"/>
  <c r="H15" i="52"/>
  <c r="H14" i="52"/>
  <c r="H13" i="52"/>
  <c r="H12" i="52"/>
  <c r="H11" i="52"/>
  <c r="G11" i="52"/>
  <c r="H10" i="52"/>
  <c r="H9" i="52"/>
  <c r="H8" i="52"/>
  <c r="H7" i="52"/>
  <c r="H6" i="52"/>
  <c r="H5" i="52"/>
  <c r="H4" i="52"/>
  <c r="U25" i="65" l="1"/>
  <c r="M24" i="63"/>
  <c r="U52" i="63"/>
  <c r="H52" i="63"/>
  <c r="U24" i="62"/>
  <c r="H23" i="62"/>
  <c r="M42" i="52"/>
  <c r="M11" i="52"/>
  <c r="M35" i="52"/>
  <c r="G5" i="52"/>
  <c r="G34" i="52"/>
  <c r="G18" i="52"/>
  <c r="G20" i="52"/>
  <c r="G32" i="52"/>
  <c r="G26" i="52"/>
  <c r="G25" i="52"/>
  <c r="G38" i="52"/>
  <c r="G39" i="52"/>
  <c r="G41" i="52"/>
  <c r="G8" i="52"/>
  <c r="G14" i="52"/>
  <c r="M14" i="52" s="1"/>
  <c r="G23" i="52"/>
  <c r="G40" i="52"/>
  <c r="G49" i="52"/>
  <c r="M49" i="52" s="1"/>
  <c r="G51" i="52"/>
  <c r="M51" i="52" s="1"/>
  <c r="G22" i="52"/>
  <c r="G28" i="52"/>
  <c r="G30" i="52"/>
  <c r="H24" i="65" l="1"/>
  <c r="H25" i="65"/>
  <c r="H24" i="62"/>
  <c r="U25" i="62"/>
  <c r="H25" i="62" s="1"/>
  <c r="M40" i="52"/>
  <c r="H52" i="62" l="1"/>
  <c r="M24" i="62"/>
  <c r="U52" i="62"/>
  <c r="G10" i="52"/>
  <c r="M10" i="52" s="1"/>
  <c r="G43" i="52"/>
  <c r="M43" i="52" s="1"/>
  <c r="G9" i="52"/>
  <c r="H17" i="52"/>
  <c r="H52" i="52" s="1"/>
  <c r="U52" i="52"/>
  <c r="G6" i="52"/>
  <c r="G24" i="52" l="1"/>
  <c r="M24" i="52" s="1"/>
  <c r="G16" i="52" l="1"/>
  <c r="G13" i="52"/>
  <c r="M13" i="52" s="1"/>
  <c r="T52" i="52"/>
  <c r="S52" i="52"/>
  <c r="G19" i="52" l="1"/>
  <c r="M19" i="52" s="1"/>
  <c r="G21" i="52"/>
  <c r="M21" i="52" s="1"/>
  <c r="G15" i="52"/>
  <c r="M15" i="52" s="1"/>
  <c r="G12" i="52"/>
  <c r="M12" i="52" s="1"/>
  <c r="G7" i="52" l="1"/>
  <c r="G33" i="52"/>
  <c r="M33" i="52" s="1"/>
  <c r="G17" i="52"/>
  <c r="M17" i="52" s="1"/>
  <c r="M8" i="52" l="1"/>
  <c r="R50" i="57" l="1"/>
  <c r="R27" i="57"/>
  <c r="R17" i="57"/>
  <c r="R29" i="57"/>
  <c r="R31" i="57"/>
  <c r="R37" i="57"/>
  <c r="R4" i="57"/>
  <c r="S4" i="57"/>
  <c r="S15" i="57"/>
  <c r="S29" i="57"/>
  <c r="S31" i="57"/>
  <c r="S33" i="57"/>
  <c r="S37" i="57"/>
  <c r="S44" i="57"/>
  <c r="S20" i="57"/>
  <c r="T4" i="57"/>
  <c r="T27" i="57"/>
  <c r="T19" i="57"/>
  <c r="T31" i="57"/>
  <c r="T33" i="57"/>
  <c r="T37" i="57"/>
  <c r="T46" i="57"/>
  <c r="T44" i="57"/>
  <c r="O15" i="56"/>
  <c r="O43" i="56"/>
  <c r="O50" i="56"/>
  <c r="O20" i="56"/>
  <c r="O44" i="56"/>
  <c r="O29" i="56"/>
  <c r="O31" i="56"/>
  <c r="O37" i="56"/>
  <c r="P43" i="56"/>
  <c r="P4" i="56"/>
  <c r="P29" i="56"/>
  <c r="P31" i="56"/>
  <c r="P37" i="56"/>
  <c r="P50" i="56"/>
  <c r="Q43" i="56"/>
  <c r="Q19" i="56"/>
  <c r="G19" i="56" s="1"/>
  <c r="M19" i="56" s="1"/>
  <c r="Q29" i="56"/>
  <c r="Q31" i="56"/>
  <c r="Q37" i="56"/>
  <c r="Q21" i="56"/>
  <c r="G21" i="56" s="1"/>
  <c r="Q46" i="56"/>
  <c r="Q44" i="56"/>
  <c r="R43" i="56"/>
  <c r="R4" i="56"/>
  <c r="R15" i="56"/>
  <c r="R29" i="56"/>
  <c r="R31" i="56"/>
  <c r="R37" i="56"/>
  <c r="R33" i="56"/>
  <c r="R50" i="56"/>
  <c r="R20" i="56"/>
  <c r="S4" i="56"/>
  <c r="S43" i="56"/>
  <c r="S44" i="56"/>
  <c r="S29" i="56"/>
  <c r="S31" i="56"/>
  <c r="S37" i="56"/>
  <c r="S33" i="56"/>
  <c r="T43" i="56"/>
  <c r="T4" i="56"/>
  <c r="T20" i="56"/>
  <c r="T29" i="56"/>
  <c r="T31" i="56"/>
  <c r="T37" i="56"/>
  <c r="T33" i="56"/>
  <c r="T50" i="56"/>
  <c r="T46" i="56"/>
  <c r="T27" i="56"/>
  <c r="O43" i="58"/>
  <c r="O46" i="58"/>
  <c r="O44" i="58"/>
  <c r="O48" i="58"/>
  <c r="O29" i="58"/>
  <c r="O31" i="58"/>
  <c r="O37" i="58"/>
  <c r="O33" i="58"/>
  <c r="Q29" i="58"/>
  <c r="Q31" i="58"/>
  <c r="Q33" i="58"/>
  <c r="Q37" i="58"/>
  <c r="S29" i="58"/>
  <c r="S31" i="58"/>
  <c r="S33" i="58"/>
  <c r="S37" i="58"/>
  <c r="P27" i="58"/>
  <c r="P50" i="58"/>
  <c r="P4" i="58"/>
  <c r="P18" i="58" s="1"/>
  <c r="R48" i="58"/>
  <c r="R44" i="58"/>
  <c r="R46" i="58"/>
  <c r="R4" i="58"/>
  <c r="R18" i="58" s="1"/>
  <c r="R43" i="58"/>
  <c r="S43" i="58"/>
  <c r="T43" i="58"/>
  <c r="S15" i="58"/>
  <c r="T15" i="58"/>
  <c r="S48" i="58"/>
  <c r="S20" i="58"/>
  <c r="T20" i="58"/>
  <c r="T44" i="58"/>
  <c r="T48" i="58"/>
  <c r="T27" i="58"/>
  <c r="T17" i="58"/>
  <c r="T29" i="58"/>
  <c r="T31" i="58"/>
  <c r="T33" i="58"/>
  <c r="T37" i="58"/>
  <c r="O50" i="58" l="1"/>
  <c r="S27" i="58"/>
  <c r="S44" i="58"/>
  <c r="G44" i="58" s="1"/>
  <c r="M44" i="58" s="1"/>
  <c r="S46" i="58"/>
  <c r="R15" i="58"/>
  <c r="R19" i="58"/>
  <c r="G19" i="58" s="1"/>
  <c r="M19" i="58" s="1"/>
  <c r="Q48" i="58"/>
  <c r="G48" i="58" s="1"/>
  <c r="M48" i="58" s="1"/>
  <c r="R20" i="58"/>
  <c r="G20" i="58" s="1"/>
  <c r="M21" i="58" s="1"/>
  <c r="Q15" i="58"/>
  <c r="T44" i="56"/>
  <c r="T4" i="58"/>
  <c r="T18" i="58" s="1"/>
  <c r="S17" i="58"/>
  <c r="G17" i="58" s="1"/>
  <c r="S4" i="58"/>
  <c r="S18" i="58" s="1"/>
  <c r="R27" i="58"/>
  <c r="R50" i="58"/>
  <c r="P46" i="58"/>
  <c r="G46" i="58" s="1"/>
  <c r="M46" i="58" s="1"/>
  <c r="P15" i="58"/>
  <c r="O15" i="58"/>
  <c r="O27" i="58"/>
  <c r="R46" i="56"/>
  <c r="R15" i="57"/>
  <c r="T15" i="57"/>
  <c r="G37" i="58"/>
  <c r="M37" i="58" s="1"/>
  <c r="G29" i="58"/>
  <c r="M29" i="58" s="1"/>
  <c r="G43" i="58"/>
  <c r="M43" i="58" s="1"/>
  <c r="T15" i="56"/>
  <c r="S50" i="56"/>
  <c r="G50" i="56" s="1"/>
  <c r="M50" i="56" s="1"/>
  <c r="S15" i="56"/>
  <c r="R48" i="56"/>
  <c r="R49" i="56"/>
  <c r="Q33" i="56"/>
  <c r="P46" i="56"/>
  <c r="P15" i="56"/>
  <c r="O33" i="56"/>
  <c r="O46" i="56"/>
  <c r="O4" i="56"/>
  <c r="T29" i="57"/>
  <c r="T17" i="57"/>
  <c r="S17" i="57"/>
  <c r="S46" i="57"/>
  <c r="S19" i="57"/>
  <c r="R20" i="57"/>
  <c r="R19" i="57"/>
  <c r="S46" i="56"/>
  <c r="S27" i="56"/>
  <c r="R27" i="56"/>
  <c r="Q49" i="56"/>
  <c r="Q48" i="56"/>
  <c r="Q20" i="56"/>
  <c r="Q15" i="56"/>
  <c r="Q27" i="56"/>
  <c r="P49" i="56"/>
  <c r="P48" i="56"/>
  <c r="G29" i="56"/>
  <c r="M29" i="56" s="1"/>
  <c r="O27" i="56"/>
  <c r="S18" i="56"/>
  <c r="R44" i="56"/>
  <c r="R18" i="56"/>
  <c r="Q17" i="56"/>
  <c r="G31" i="56"/>
  <c r="M31" i="56" s="1"/>
  <c r="O49" i="56"/>
  <c r="O48" i="56"/>
  <c r="T18" i="57"/>
  <c r="S27" i="57"/>
  <c r="S18" i="57"/>
  <c r="R18" i="57"/>
  <c r="R33" i="57"/>
  <c r="G33" i="58"/>
  <c r="M33" i="58" s="1"/>
  <c r="G31" i="58"/>
  <c r="M31" i="58" s="1"/>
  <c r="G49" i="58"/>
  <c r="M49" i="58" s="1"/>
  <c r="O4" i="58"/>
  <c r="O18" i="58" s="1"/>
  <c r="T18" i="56"/>
  <c r="T52" i="56" s="1"/>
  <c r="S49" i="56"/>
  <c r="S48" i="56"/>
  <c r="P27" i="56"/>
  <c r="P44" i="56"/>
  <c r="P17" i="56"/>
  <c r="P33" i="56"/>
  <c r="P18" i="56"/>
  <c r="G37" i="56"/>
  <c r="M37" i="56" s="1"/>
  <c r="G20" i="56"/>
  <c r="M21" i="56" s="1"/>
  <c r="O17" i="56"/>
  <c r="G43" i="56"/>
  <c r="M43" i="56" s="1"/>
  <c r="T48" i="57"/>
  <c r="T50" i="57"/>
  <c r="G50" i="58" l="1"/>
  <c r="M50" i="58" s="1"/>
  <c r="G27" i="58"/>
  <c r="M27" i="58" s="1"/>
  <c r="G44" i="56"/>
  <c r="M44" i="56" s="1"/>
  <c r="G15" i="56"/>
  <c r="M15" i="56" s="1"/>
  <c r="G17" i="56"/>
  <c r="R52" i="56"/>
  <c r="S52" i="58"/>
  <c r="P52" i="58"/>
  <c r="R52" i="57"/>
  <c r="S52" i="57"/>
  <c r="T52" i="58"/>
  <c r="P52" i="56"/>
  <c r="T52" i="57"/>
  <c r="S52" i="56"/>
  <c r="Q52" i="56"/>
  <c r="Q52" i="58"/>
  <c r="O18" i="56"/>
  <c r="G18" i="56" s="1"/>
  <c r="M17" i="56" s="1"/>
  <c r="M52" i="56" s="1"/>
  <c r="G4" i="56"/>
  <c r="G48" i="56"/>
  <c r="M48" i="56" s="1"/>
  <c r="G46" i="56"/>
  <c r="M46" i="56" s="1"/>
  <c r="G15" i="58"/>
  <c r="M15" i="58" s="1"/>
  <c r="G4" i="58"/>
  <c r="G18" i="57"/>
  <c r="G49" i="56"/>
  <c r="M49" i="56" s="1"/>
  <c r="G27" i="56"/>
  <c r="M27" i="56" s="1"/>
  <c r="G33" i="56"/>
  <c r="M33" i="56" s="1"/>
  <c r="R52" i="58"/>
  <c r="O52" i="58" l="1"/>
  <c r="G18" i="58"/>
  <c r="M17" i="58" s="1"/>
  <c r="M52" i="58" s="1"/>
  <c r="M5" i="56"/>
  <c r="G52" i="56"/>
  <c r="M5" i="58"/>
  <c r="O52" i="56"/>
  <c r="G52" i="58" l="1"/>
  <c r="G47" i="52" l="1"/>
  <c r="M47" i="52" s="1"/>
  <c r="G45" i="52"/>
  <c r="M45" i="52" s="1"/>
  <c r="Q50" i="57" l="1"/>
  <c r="G50" i="57" s="1"/>
  <c r="M50" i="57" s="1"/>
  <c r="Q29" i="57"/>
  <c r="Q31" i="57"/>
  <c r="Q33" i="57"/>
  <c r="Q37" i="57"/>
  <c r="Q10" i="57"/>
  <c r="Q27" i="57"/>
  <c r="Q44" i="57" l="1"/>
  <c r="Q20" i="57"/>
  <c r="Q46" i="57"/>
  <c r="G46" i="57" s="1"/>
  <c r="M46" i="57" s="1"/>
  <c r="Q48" i="57"/>
  <c r="Q15" i="57" l="1"/>
  <c r="P29" i="57" l="1"/>
  <c r="P10" i="57"/>
  <c r="P15" i="57"/>
  <c r="P43" i="57"/>
  <c r="Q33" i="54"/>
  <c r="Q31" i="54"/>
  <c r="Q37" i="54"/>
  <c r="G37" i="54" s="1"/>
  <c r="M37" i="54" s="1"/>
  <c r="O10" i="57"/>
  <c r="G10" i="57" s="1"/>
  <c r="M10" i="57" s="1"/>
  <c r="O12" i="57"/>
  <c r="T44" i="54"/>
  <c r="T17" i="54"/>
  <c r="S17" i="54"/>
  <c r="Q17" i="54"/>
  <c r="Q48" i="54"/>
  <c r="Q43" i="54"/>
  <c r="R4" i="54"/>
  <c r="Q4" i="54"/>
  <c r="P20" i="54"/>
  <c r="P15" i="54"/>
  <c r="O33" i="54"/>
  <c r="G33" i="54" s="1"/>
  <c r="M33" i="54" s="1"/>
  <c r="O17" i="54"/>
  <c r="O46" i="54"/>
  <c r="S31" i="53"/>
  <c r="T15" i="53"/>
  <c r="S15" i="53"/>
  <c r="S20" i="53"/>
  <c r="S48" i="53"/>
  <c r="R33" i="53"/>
  <c r="G33" i="53" s="1"/>
  <c r="Q20" i="53"/>
  <c r="P17" i="53"/>
  <c r="O27" i="53"/>
  <c r="Q4" i="52"/>
  <c r="O19" i="53"/>
  <c r="O12" i="53"/>
  <c r="O31" i="53"/>
  <c r="O37" i="53"/>
  <c r="O29" i="53"/>
  <c r="O46" i="53"/>
  <c r="P50" i="52"/>
  <c r="P27" i="52"/>
  <c r="R37" i="52"/>
  <c r="R31" i="52"/>
  <c r="Q31" i="52"/>
  <c r="O37" i="52"/>
  <c r="P44" i="53" l="1"/>
  <c r="P37" i="53"/>
  <c r="G37" i="53" s="1"/>
  <c r="P12" i="53"/>
  <c r="Q48" i="53"/>
  <c r="G48" i="53" s="1"/>
  <c r="Q50" i="53"/>
  <c r="P19" i="53"/>
  <c r="Q31" i="53"/>
  <c r="Q15" i="53"/>
  <c r="Q17" i="53"/>
  <c r="R31" i="53"/>
  <c r="T46" i="53"/>
  <c r="O12" i="54"/>
  <c r="P29" i="54"/>
  <c r="P12" i="54"/>
  <c r="R20" i="54"/>
  <c r="S20" i="54"/>
  <c r="T27" i="54"/>
  <c r="O37" i="57"/>
  <c r="P12" i="57"/>
  <c r="G12" i="57" s="1"/>
  <c r="M12" i="57" s="1"/>
  <c r="P44" i="57"/>
  <c r="O48" i="57"/>
  <c r="Q29" i="52"/>
  <c r="Q46" i="52"/>
  <c r="O4" i="52"/>
  <c r="R19" i="53"/>
  <c r="S17" i="53"/>
  <c r="S4" i="53"/>
  <c r="P46" i="54"/>
  <c r="R15" i="53"/>
  <c r="S44" i="53"/>
  <c r="T4" i="53"/>
  <c r="T27" i="53"/>
  <c r="O15" i="54"/>
  <c r="O31" i="54"/>
  <c r="P31" i="54"/>
  <c r="P17" i="54"/>
  <c r="G17" i="54" s="1"/>
  <c r="M17" i="54" s="1"/>
  <c r="P4" i="54"/>
  <c r="O20" i="54"/>
  <c r="Q15" i="54"/>
  <c r="R12" i="54"/>
  <c r="Q44" i="54"/>
  <c r="S15" i="54"/>
  <c r="S46" i="54"/>
  <c r="S21" i="54"/>
  <c r="G21" i="54" s="1"/>
  <c r="T43" i="54"/>
  <c r="O43" i="57"/>
  <c r="G43" i="57" s="1"/>
  <c r="M43" i="57" s="1"/>
  <c r="O33" i="57"/>
  <c r="P20" i="57"/>
  <c r="O20" i="57"/>
  <c r="O44" i="57"/>
  <c r="P37" i="57"/>
  <c r="T46" i="54"/>
  <c r="Q19" i="57"/>
  <c r="G19" i="57" s="1"/>
  <c r="M19" i="57" s="1"/>
  <c r="R44" i="52"/>
  <c r="O48" i="52"/>
  <c r="O15" i="53"/>
  <c r="P27" i="53"/>
  <c r="P4" i="53"/>
  <c r="R17" i="53"/>
  <c r="G31" i="52"/>
  <c r="M31" i="52" s="1"/>
  <c r="O27" i="52"/>
  <c r="Q27" i="52"/>
  <c r="R46" i="52"/>
  <c r="O50" i="52"/>
  <c r="G50" i="52" s="1"/>
  <c r="M50" i="52" s="1"/>
  <c r="O17" i="53"/>
  <c r="P4" i="52"/>
  <c r="O4" i="53"/>
  <c r="P48" i="52"/>
  <c r="Q44" i="52"/>
  <c r="G44" i="52" s="1"/>
  <c r="M44" i="52" s="1"/>
  <c r="O44" i="53"/>
  <c r="P15" i="53"/>
  <c r="P46" i="53"/>
  <c r="P29" i="53"/>
  <c r="P31" i="53"/>
  <c r="G31" i="53" s="1"/>
  <c r="Q4" i="53"/>
  <c r="Q27" i="53"/>
  <c r="Q21" i="53"/>
  <c r="G21" i="53" s="1"/>
  <c r="Q29" i="53"/>
  <c r="Q12" i="53"/>
  <c r="Q19" i="53"/>
  <c r="R12" i="53"/>
  <c r="R29" i="53"/>
  <c r="R27" i="53"/>
  <c r="S19" i="53"/>
  <c r="S27" i="53"/>
  <c r="S50" i="53"/>
  <c r="T12" i="53"/>
  <c r="T17" i="53"/>
  <c r="T20" i="53"/>
  <c r="G20" i="53" s="1"/>
  <c r="O48" i="54"/>
  <c r="G48" i="54" s="1"/>
  <c r="M48" i="54" s="1"/>
  <c r="R50" i="54"/>
  <c r="G50" i="54" s="1"/>
  <c r="M50" i="54" s="1"/>
  <c r="Q12" i="54"/>
  <c r="S43" i="54"/>
  <c r="G43" i="54" s="1"/>
  <c r="M43" i="54" s="1"/>
  <c r="S12" i="54"/>
  <c r="S44" i="54"/>
  <c r="O17" i="57"/>
  <c r="O31" i="57"/>
  <c r="P33" i="57"/>
  <c r="P17" i="57"/>
  <c r="Q4" i="57"/>
  <c r="Q37" i="52"/>
  <c r="Q52" i="52" s="1"/>
  <c r="R29" i="52"/>
  <c r="R27" i="52"/>
  <c r="R44" i="53"/>
  <c r="R46" i="53"/>
  <c r="S12" i="53"/>
  <c r="S46" i="53"/>
  <c r="O4" i="54"/>
  <c r="O27" i="54"/>
  <c r="P27" i="54"/>
  <c r="Q46" i="54"/>
  <c r="R46" i="54"/>
  <c r="S4" i="54"/>
  <c r="S27" i="54"/>
  <c r="T4" i="54"/>
  <c r="T15" i="54"/>
  <c r="T20" i="54"/>
  <c r="O15" i="57"/>
  <c r="G15" i="57" s="1"/>
  <c r="M15" i="57" s="1"/>
  <c r="O4" i="57"/>
  <c r="O27" i="57"/>
  <c r="Q29" i="54"/>
  <c r="O29" i="57"/>
  <c r="G29" i="57" s="1"/>
  <c r="M29" i="57" s="1"/>
  <c r="P27" i="57"/>
  <c r="P48" i="57"/>
  <c r="P31" i="57"/>
  <c r="P4" i="57"/>
  <c r="Q17" i="57"/>
  <c r="G29" i="53" l="1"/>
  <c r="P52" i="52"/>
  <c r="Q52" i="54"/>
  <c r="R52" i="54"/>
  <c r="Q52" i="57"/>
  <c r="O52" i="54"/>
  <c r="G44" i="57"/>
  <c r="M44" i="57" s="1"/>
  <c r="G31" i="57"/>
  <c r="M31" i="57" s="1"/>
  <c r="G12" i="53"/>
  <c r="R52" i="52"/>
  <c r="G19" i="53"/>
  <c r="G27" i="53"/>
  <c r="G31" i="54"/>
  <c r="M31" i="54" s="1"/>
  <c r="T52" i="54"/>
  <c r="G4" i="57"/>
  <c r="O52" i="57"/>
  <c r="G46" i="54"/>
  <c r="M46" i="54" s="1"/>
  <c r="G37" i="52"/>
  <c r="M37" i="52" s="1"/>
  <c r="G46" i="53"/>
  <c r="G44" i="53"/>
  <c r="G27" i="52"/>
  <c r="M27" i="52" s="1"/>
  <c r="P52" i="53"/>
  <c r="G15" i="53"/>
  <c r="T52" i="53"/>
  <c r="G46" i="52"/>
  <c r="M46" i="52" s="1"/>
  <c r="G48" i="57"/>
  <c r="M48" i="57" s="1"/>
  <c r="G27" i="54"/>
  <c r="M27" i="54" s="1"/>
  <c r="G17" i="57"/>
  <c r="M17" i="57" s="1"/>
  <c r="G17" i="53"/>
  <c r="G20" i="54"/>
  <c r="M21" i="54" s="1"/>
  <c r="G15" i="54"/>
  <c r="M15" i="54" s="1"/>
  <c r="G4" i="52"/>
  <c r="O52" i="52"/>
  <c r="G29" i="54"/>
  <c r="M29" i="54" s="1"/>
  <c r="G50" i="53"/>
  <c r="P52" i="57"/>
  <c r="G27" i="57"/>
  <c r="M27" i="57" s="1"/>
  <c r="Q52" i="53"/>
  <c r="G4" i="53"/>
  <c r="O52" i="53"/>
  <c r="G48" i="52"/>
  <c r="M48" i="52" s="1"/>
  <c r="G44" i="54"/>
  <c r="M44" i="54" s="1"/>
  <c r="G4" i="54"/>
  <c r="P52" i="54"/>
  <c r="G29" i="52"/>
  <c r="M29" i="52" s="1"/>
  <c r="G37" i="57"/>
  <c r="M37" i="57" s="1"/>
  <c r="S52" i="54"/>
  <c r="R52" i="53"/>
  <c r="G20" i="57"/>
  <c r="M21" i="57" s="1"/>
  <c r="G33" i="57"/>
  <c r="M33" i="57" s="1"/>
  <c r="S52" i="53"/>
  <c r="G12" i="54"/>
  <c r="M12" i="54" s="1"/>
  <c r="M52" i="52" l="1"/>
  <c r="G52" i="54"/>
  <c r="M5" i="54"/>
  <c r="M52" i="54" s="1"/>
  <c r="G52" i="53"/>
  <c r="M5" i="52"/>
  <c r="G52" i="52"/>
  <c r="G52" i="57"/>
  <c r="M5" i="57"/>
  <c r="M52" i="57" s="1"/>
  <c r="T42" i="59" l="1"/>
  <c r="G42" i="59" s="1"/>
  <c r="M42" i="59" s="1"/>
  <c r="T10" i="60" l="1"/>
  <c r="H19" i="60" l="1"/>
  <c r="H17" i="60" l="1"/>
  <c r="R37" i="64" l="1"/>
  <c r="R48" i="64"/>
  <c r="Q15" i="64"/>
  <c r="O50" i="64"/>
  <c r="T44" i="64"/>
  <c r="Q14" i="64"/>
  <c r="Q37" i="64"/>
  <c r="Q16" i="64"/>
  <c r="P15" i="64"/>
  <c r="O15" i="64"/>
  <c r="T43" i="64"/>
  <c r="Q45" i="64"/>
  <c r="O14" i="64"/>
  <c r="O45" i="64"/>
  <c r="R29" i="64"/>
  <c r="Q20" i="64"/>
  <c r="P14" i="64"/>
  <c r="P50" i="64"/>
  <c r="P19" i="64"/>
  <c r="O48" i="64"/>
  <c r="G14" i="64" l="1"/>
  <c r="M14" i="64" s="1"/>
  <c r="G15" i="64"/>
  <c r="M15" i="64" s="1"/>
  <c r="O19" i="64"/>
  <c r="O37" i="64"/>
  <c r="P48" i="67" l="1"/>
  <c r="S18" i="69" l="1"/>
  <c r="R18" i="69"/>
  <c r="T18" i="69"/>
  <c r="R22" i="69"/>
  <c r="Q22" i="69" l="1"/>
  <c r="Q18" i="69"/>
  <c r="P18" i="69"/>
  <c r="P22" i="69"/>
  <c r="G22" i="69" l="1"/>
  <c r="O18" i="69"/>
  <c r="G18" i="69" s="1"/>
  <c r="T29" i="71" l="1"/>
  <c r="G29" i="71" s="1"/>
  <c r="O50" i="73" l="1"/>
  <c r="P50" i="73"/>
  <c r="O47" i="73"/>
  <c r="O51" i="73"/>
  <c r="O48" i="73"/>
  <c r="G48" i="73" s="1"/>
  <c r="M48" i="73" s="1"/>
  <c r="U47" i="73"/>
  <c r="H47" i="73" s="1"/>
  <c r="U45" i="73"/>
  <c r="H45" i="73" s="1"/>
  <c r="U7" i="73"/>
  <c r="S10" i="73"/>
  <c r="S49" i="73"/>
  <c r="T53" i="73"/>
  <c r="T7" i="73"/>
  <c r="U17" i="73"/>
  <c r="H17" i="73" s="1"/>
  <c r="T32" i="73"/>
  <c r="T40" i="73"/>
  <c r="T38" i="73"/>
  <c r="T42" i="73"/>
  <c r="T4" i="73"/>
  <c r="T21" i="73" s="1"/>
  <c r="AB55" i="74" l="1"/>
  <c r="T34" i="73"/>
  <c r="Q15" i="73"/>
  <c r="U15" i="73"/>
  <c r="H15" i="73" s="1"/>
  <c r="U51" i="73"/>
  <c r="H51" i="73" s="1"/>
  <c r="R15" i="73"/>
  <c r="O49" i="73"/>
  <c r="O13" i="73"/>
  <c r="G13" i="73" s="1"/>
  <c r="H7" i="73"/>
  <c r="P45" i="73"/>
  <c r="G45" i="73" s="1"/>
  <c r="M45" i="73" s="1"/>
  <c r="H55" i="73" l="1"/>
  <c r="U55" i="73"/>
  <c r="W4" i="76" l="1"/>
  <c r="Z4" i="76" l="1"/>
  <c r="W18" i="76"/>
  <c r="W17" i="76"/>
  <c r="P10" i="76"/>
  <c r="P7" i="76"/>
  <c r="S10" i="76" l="1"/>
  <c r="P17" i="76"/>
  <c r="P30" i="76"/>
  <c r="P49" i="76"/>
  <c r="P47" i="76"/>
  <c r="S15" i="76"/>
  <c r="P48" i="76"/>
  <c r="P20" i="76"/>
  <c r="R15" i="76"/>
  <c r="Q48" i="76"/>
  <c r="P15" i="76"/>
  <c r="S4" i="76"/>
  <c r="P45" i="76"/>
  <c r="Q49" i="76"/>
  <c r="P24" i="76"/>
  <c r="Q32" i="76"/>
  <c r="Q20" i="76"/>
  <c r="P18" i="76"/>
  <c r="W55" i="76"/>
  <c r="P21" i="76" l="1"/>
  <c r="S21" i="76"/>
  <c r="G48" i="76"/>
  <c r="M48" i="76" s="1"/>
  <c r="P55" i="76" l="1"/>
  <c r="V17" i="75" l="1"/>
  <c r="V16" i="75"/>
  <c r="V4" i="75"/>
  <c r="V20" i="75" l="1"/>
  <c r="AA42" i="75"/>
  <c r="I42" i="75" s="1"/>
  <c r="AA42" i="74"/>
  <c r="I42" i="74" s="1"/>
  <c r="Z40" i="75"/>
  <c r="Z40" i="74"/>
  <c r="Z12" i="75"/>
  <c r="Z12" i="74"/>
  <c r="Z10" i="75"/>
  <c r="Z10" i="74"/>
  <c r="X40" i="75"/>
  <c r="X40" i="74"/>
  <c r="Y18" i="74"/>
  <c r="X10" i="75"/>
  <c r="X10" i="74"/>
  <c r="W34" i="75"/>
  <c r="W34" i="74"/>
  <c r="V45" i="75"/>
  <c r="I45" i="75" s="1"/>
  <c r="V45" i="74"/>
  <c r="I45" i="74" s="1"/>
  <c r="AA18" i="74"/>
  <c r="AA20" i="75"/>
  <c r="AA20" i="74"/>
  <c r="AA32" i="75"/>
  <c r="AA32" i="74"/>
  <c r="Z32" i="75"/>
  <c r="Z32" i="74"/>
  <c r="Z16" i="75"/>
  <c r="Z16" i="74"/>
  <c r="Z7" i="74"/>
  <c r="X46" i="75"/>
  <c r="X46" i="74"/>
  <c r="Y34" i="75"/>
  <c r="Y34" i="74"/>
  <c r="X38" i="75"/>
  <c r="X38" i="74"/>
  <c r="X32" i="75"/>
  <c r="X32" i="74"/>
  <c r="Y20" i="75"/>
  <c r="Y20" i="74"/>
  <c r="X20" i="75"/>
  <c r="X20" i="74"/>
  <c r="Y17" i="74"/>
  <c r="Y7" i="74"/>
  <c r="X12" i="75"/>
  <c r="X12" i="74"/>
  <c r="W40" i="75"/>
  <c r="W40" i="74"/>
  <c r="W32" i="75"/>
  <c r="W32" i="74"/>
  <c r="W7" i="74"/>
  <c r="W10" i="75"/>
  <c r="W10" i="74"/>
  <c r="V27" i="75"/>
  <c r="V27" i="74"/>
  <c r="V18" i="75"/>
  <c r="V18" i="74"/>
  <c r="V38" i="75"/>
  <c r="V38" i="74"/>
  <c r="V5" i="75"/>
  <c r="V5" i="74"/>
  <c r="AA16" i="75"/>
  <c r="AA16" i="74"/>
  <c r="AA40" i="75"/>
  <c r="AA40" i="74"/>
  <c r="AA30" i="75"/>
  <c r="AA30" i="74"/>
  <c r="Z38" i="75"/>
  <c r="Z38" i="74"/>
  <c r="Z20" i="75"/>
  <c r="Z20" i="74"/>
  <c r="Z27" i="75"/>
  <c r="Z27" i="74"/>
  <c r="Z17" i="74"/>
  <c r="Y40" i="75"/>
  <c r="Y40" i="74"/>
  <c r="X30" i="75"/>
  <c r="X30" i="74"/>
  <c r="X17" i="74"/>
  <c r="X7" i="74"/>
  <c r="X16" i="75"/>
  <c r="X16" i="74"/>
  <c r="W12" i="75"/>
  <c r="W12" i="74"/>
  <c r="W46" i="75"/>
  <c r="W46" i="74"/>
  <c r="W15" i="75"/>
  <c r="I15" i="75" s="1"/>
  <c r="W15" i="74"/>
  <c r="I15" i="74" s="1"/>
  <c r="V24" i="75"/>
  <c r="V24" i="74"/>
  <c r="V34" i="75"/>
  <c r="V34" i="74"/>
  <c r="V10" i="75"/>
  <c r="V10" i="74"/>
  <c r="V7" i="74"/>
  <c r="AA34" i="75"/>
  <c r="AA34" i="74"/>
  <c r="Z18" i="74"/>
  <c r="Y38" i="75"/>
  <c r="Y38" i="74"/>
  <c r="X34" i="75"/>
  <c r="X34" i="74"/>
  <c r="Y30" i="75"/>
  <c r="Y30" i="74"/>
  <c r="X18" i="74"/>
  <c r="W27" i="75"/>
  <c r="W27" i="74"/>
  <c r="W20" i="75"/>
  <c r="W20" i="74"/>
  <c r="V30" i="75"/>
  <c r="V30" i="74"/>
  <c r="V17" i="74"/>
  <c r="V40" i="75"/>
  <c r="V40" i="74"/>
  <c r="V46" i="75"/>
  <c r="V46" i="74"/>
  <c r="AA17" i="74"/>
  <c r="AA38" i="75"/>
  <c r="AA38" i="74"/>
  <c r="AA7" i="74"/>
  <c r="Z34" i="75"/>
  <c r="Z34" i="74"/>
  <c r="Z30" i="75"/>
  <c r="Z30" i="74"/>
  <c r="Y32" i="75"/>
  <c r="Y32" i="74"/>
  <c r="Y24" i="75"/>
  <c r="Y24" i="74"/>
  <c r="X24" i="75"/>
  <c r="X24" i="74"/>
  <c r="Y27" i="75"/>
  <c r="Y27" i="74"/>
  <c r="X27" i="75"/>
  <c r="X27" i="74"/>
  <c r="Y10" i="75"/>
  <c r="Y10" i="74"/>
  <c r="Y12" i="75"/>
  <c r="Y12" i="74"/>
  <c r="W22" i="75"/>
  <c r="I22" i="75" s="1"/>
  <c r="W22" i="74"/>
  <c r="I22" i="74" s="1"/>
  <c r="W17" i="74"/>
  <c r="W38" i="75"/>
  <c r="W38" i="74"/>
  <c r="W30" i="75"/>
  <c r="W30" i="74"/>
  <c r="W18" i="74"/>
  <c r="V32" i="75"/>
  <c r="V32" i="74"/>
  <c r="V23" i="75"/>
  <c r="I23" i="75" s="1"/>
  <c r="V23" i="74"/>
  <c r="I23" i="74" s="1"/>
  <c r="V12" i="75"/>
  <c r="V12" i="74"/>
  <c r="T21" i="70"/>
  <c r="T28" i="70"/>
  <c r="T49" i="70"/>
  <c r="T48" i="70"/>
  <c r="T44" i="70"/>
  <c r="T33" i="70"/>
  <c r="T35" i="70"/>
  <c r="T50" i="70"/>
  <c r="O45" i="71"/>
  <c r="O4" i="71"/>
  <c r="O32" i="71"/>
  <c r="O36" i="71"/>
  <c r="O40" i="71"/>
  <c r="O47" i="71"/>
  <c r="O53" i="71"/>
  <c r="P15" i="71"/>
  <c r="P45" i="71"/>
  <c r="P49" i="71"/>
  <c r="P30" i="71"/>
  <c r="P32" i="71"/>
  <c r="P40" i="71"/>
  <c r="Q15" i="71"/>
  <c r="Q10" i="71"/>
  <c r="Q7" i="71"/>
  <c r="Q48" i="71"/>
  <c r="Q49" i="71"/>
  <c r="Q45" i="71"/>
  <c r="Q30" i="71"/>
  <c r="Q32" i="71"/>
  <c r="Q34" i="71"/>
  <c r="Q36" i="71"/>
  <c r="Q40" i="71"/>
  <c r="P4" i="71"/>
  <c r="P21" i="71" s="1"/>
  <c r="Q4" i="71"/>
  <c r="Q52" i="71"/>
  <c r="R16" i="71"/>
  <c r="R10" i="71"/>
  <c r="R7" i="71"/>
  <c r="R50" i="71"/>
  <c r="R4" i="71"/>
  <c r="R32" i="71"/>
  <c r="R38" i="71"/>
  <c r="R40" i="71"/>
  <c r="R49" i="71"/>
  <c r="S16" i="71"/>
  <c r="S4" i="71"/>
  <c r="S7" i="71"/>
  <c r="S51" i="71"/>
  <c r="S32" i="71"/>
  <c r="T30" i="71"/>
  <c r="S53" i="71"/>
  <c r="T17" i="71"/>
  <c r="S10" i="71"/>
  <c r="T7" i="71"/>
  <c r="T52" i="71"/>
  <c r="T50" i="71"/>
  <c r="T31" i="71"/>
  <c r="G31" i="71" s="1"/>
  <c r="T32" i="71"/>
  <c r="T34" i="71"/>
  <c r="T38" i="71"/>
  <c r="T40" i="71"/>
  <c r="T47" i="71"/>
  <c r="O7" i="72"/>
  <c r="O15" i="72"/>
  <c r="O17" i="72"/>
  <c r="P17" i="72"/>
  <c r="O50" i="72"/>
  <c r="P50" i="72"/>
  <c r="P27" i="72"/>
  <c r="O51" i="72"/>
  <c r="G51" i="72" s="1"/>
  <c r="P49" i="72"/>
  <c r="P24" i="72"/>
  <c r="P47" i="72"/>
  <c r="Q15" i="72"/>
  <c r="Q17" i="72"/>
  <c r="Q4" i="72"/>
  <c r="R7" i="72"/>
  <c r="R15" i="72"/>
  <c r="R24" i="72"/>
  <c r="U47" i="72"/>
  <c r="H47" i="72" s="1"/>
  <c r="U45" i="72"/>
  <c r="H45" i="72" s="1"/>
  <c r="U15" i="72"/>
  <c r="H15" i="72" s="1"/>
  <c r="U7" i="72"/>
  <c r="O30" i="73"/>
  <c r="S10" i="72"/>
  <c r="O10" i="73"/>
  <c r="S49" i="72"/>
  <c r="T53" i="72"/>
  <c r="S17" i="72"/>
  <c r="S14" i="72"/>
  <c r="T7" i="72"/>
  <c r="O7" i="73"/>
  <c r="T17" i="72"/>
  <c r="U17" i="72"/>
  <c r="H17" i="72" s="1"/>
  <c r="O17" i="73"/>
  <c r="T32" i="72"/>
  <c r="G32" i="72" s="1"/>
  <c r="M32" i="72" s="1"/>
  <c r="T40" i="72"/>
  <c r="G40" i="72" s="1"/>
  <c r="M40" i="72" s="1"/>
  <c r="T38" i="72"/>
  <c r="O53" i="73"/>
  <c r="O15" i="73"/>
  <c r="P10" i="73"/>
  <c r="P7" i="73"/>
  <c r="P15" i="73"/>
  <c r="P17" i="73"/>
  <c r="P32" i="73"/>
  <c r="P34" i="73"/>
  <c r="P40" i="73"/>
  <c r="P42" i="73"/>
  <c r="P24" i="73"/>
  <c r="P47" i="73"/>
  <c r="P49" i="73"/>
  <c r="P30" i="73"/>
  <c r="Q7" i="73"/>
  <c r="Q16" i="73"/>
  <c r="Q10" i="73"/>
  <c r="Q49" i="73"/>
  <c r="Q47" i="73"/>
  <c r="Q30" i="73"/>
  <c r="Q32" i="73"/>
  <c r="Q40" i="73"/>
  <c r="Q42" i="73"/>
  <c r="R16" i="73"/>
  <c r="R10" i="73"/>
  <c r="R40" i="73"/>
  <c r="R32" i="73"/>
  <c r="S40" i="73"/>
  <c r="S32" i="73"/>
  <c r="S4" i="73"/>
  <c r="S46" i="73"/>
  <c r="T46" i="73"/>
  <c r="T17" i="73"/>
  <c r="S7" i="73"/>
  <c r="R30" i="73"/>
  <c r="S30" i="73"/>
  <c r="R47" i="73"/>
  <c r="T16" i="70"/>
  <c r="S47" i="70"/>
  <c r="S39" i="70"/>
  <c r="S35" i="70"/>
  <c r="S31" i="70"/>
  <c r="S46" i="70"/>
  <c r="S44" i="70"/>
  <c r="S48" i="70"/>
  <c r="S4" i="70"/>
  <c r="S20" i="70" s="1"/>
  <c r="S21" i="70"/>
  <c r="R28" i="70"/>
  <c r="R23" i="70"/>
  <c r="R46" i="70"/>
  <c r="R50" i="70"/>
  <c r="R48" i="70"/>
  <c r="R7" i="70"/>
  <c r="R19" i="70"/>
  <c r="R16" i="70"/>
  <c r="R10" i="70"/>
  <c r="R15" i="70"/>
  <c r="Q26" i="70"/>
  <c r="Q23" i="70"/>
  <c r="Q39" i="70"/>
  <c r="Q33" i="70"/>
  <c r="Q31" i="70"/>
  <c r="Q27" i="70"/>
  <c r="G27" i="70" s="1"/>
  <c r="Q7" i="70"/>
  <c r="Q49" i="70"/>
  <c r="Q17" i="70"/>
  <c r="Q10" i="70"/>
  <c r="P33" i="70"/>
  <c r="P39" i="70"/>
  <c r="P31" i="70"/>
  <c r="P47" i="70"/>
  <c r="G47" i="70" s="1"/>
  <c r="M47" i="70" s="1"/>
  <c r="P26" i="70"/>
  <c r="P46" i="70"/>
  <c r="P52" i="70"/>
  <c r="P7" i="70"/>
  <c r="P16" i="70"/>
  <c r="P4" i="70"/>
  <c r="P20" i="70" s="1"/>
  <c r="P10" i="70"/>
  <c r="P15" i="70"/>
  <c r="O41" i="70"/>
  <c r="G41" i="70" s="1"/>
  <c r="M42" i="70" s="1"/>
  <c r="O39" i="70"/>
  <c r="O35" i="70"/>
  <c r="O31" i="70"/>
  <c r="O44" i="70"/>
  <c r="O23" i="70"/>
  <c r="O4" i="70"/>
  <c r="O26" i="70"/>
  <c r="O28" i="70"/>
  <c r="O7" i="70"/>
  <c r="G7" i="70" l="1"/>
  <c r="M8" i="70" s="1"/>
  <c r="Q27" i="72"/>
  <c r="P30" i="72"/>
  <c r="I40" i="74"/>
  <c r="T31" i="70"/>
  <c r="T39" i="70"/>
  <c r="G39" i="70" s="1"/>
  <c r="M39" i="70" s="1"/>
  <c r="R14" i="72"/>
  <c r="S19" i="70"/>
  <c r="S17" i="70"/>
  <c r="R52" i="70"/>
  <c r="S16" i="70"/>
  <c r="S23" i="70"/>
  <c r="S33" i="70"/>
  <c r="G52" i="70"/>
  <c r="M52" i="70" s="1"/>
  <c r="Q46" i="70"/>
  <c r="P28" i="70"/>
  <c r="P35" i="70"/>
  <c r="G35" i="70" s="1"/>
  <c r="M35" i="70" s="1"/>
  <c r="G21" i="70"/>
  <c r="M21" i="70" s="1"/>
  <c r="O49" i="70"/>
  <c r="O19" i="70"/>
  <c r="O16" i="70"/>
  <c r="O15" i="70"/>
  <c r="O10" i="70"/>
  <c r="O48" i="70"/>
  <c r="P48" i="70"/>
  <c r="P19" i="70"/>
  <c r="Q15" i="70"/>
  <c r="Q48" i="70"/>
  <c r="R26" i="70"/>
  <c r="G26" i="70" s="1"/>
  <c r="M26" i="70" s="1"/>
  <c r="O17" i="70"/>
  <c r="P23" i="70"/>
  <c r="R17" i="70"/>
  <c r="R44" i="70"/>
  <c r="G50" i="70"/>
  <c r="M50" i="70" s="1"/>
  <c r="G31" i="70"/>
  <c r="M31" i="70" s="1"/>
  <c r="G49" i="70"/>
  <c r="M49" i="70" s="1"/>
  <c r="O20" i="70"/>
  <c r="O46" i="70"/>
  <c r="O33" i="70"/>
  <c r="G33" i="70" s="1"/>
  <c r="M33" i="70" s="1"/>
  <c r="P17" i="70"/>
  <c r="Q16" i="70"/>
  <c r="Q19" i="70"/>
  <c r="Q28" i="70"/>
  <c r="G28" i="70" s="1"/>
  <c r="M29" i="70" s="1"/>
  <c r="R4" i="70"/>
  <c r="R20" i="70" s="1"/>
  <c r="R54" i="70" s="1"/>
  <c r="S15" i="70"/>
  <c r="S10" i="70"/>
  <c r="G44" i="70"/>
  <c r="M44" i="70" s="1"/>
  <c r="O47" i="72"/>
  <c r="I32" i="75"/>
  <c r="Q20" i="71"/>
  <c r="I40" i="75"/>
  <c r="I32" i="74"/>
  <c r="I30" i="75"/>
  <c r="I20" i="75"/>
  <c r="N19" i="75" s="1"/>
  <c r="S53" i="73"/>
  <c r="Q38" i="73"/>
  <c r="Q17" i="73"/>
  <c r="O14" i="73"/>
  <c r="R17" i="72"/>
  <c r="G17" i="72" s="1"/>
  <c r="M17" i="72" s="1"/>
  <c r="I12" i="74"/>
  <c r="I16" i="75"/>
  <c r="O12" i="75"/>
  <c r="O53" i="75"/>
  <c r="O4" i="75"/>
  <c r="O20" i="75"/>
  <c r="O16" i="75"/>
  <c r="R24" i="71"/>
  <c r="G49" i="73"/>
  <c r="M49" i="73" s="1"/>
  <c r="P36" i="71"/>
  <c r="G38" i="71" s="1"/>
  <c r="P27" i="71"/>
  <c r="P17" i="71"/>
  <c r="P53" i="71"/>
  <c r="P12" i="71"/>
  <c r="G12" i="71" s="1"/>
  <c r="M13" i="71" s="1"/>
  <c r="T23" i="70"/>
  <c r="T17" i="70"/>
  <c r="I30" i="74"/>
  <c r="I46" i="74"/>
  <c r="I20" i="74"/>
  <c r="N19" i="74" s="1"/>
  <c r="G16" i="71"/>
  <c r="M16" i="71" s="1"/>
  <c r="I38" i="74"/>
  <c r="I16" i="74"/>
  <c r="I27" i="75"/>
  <c r="O27" i="73"/>
  <c r="Q50" i="72"/>
  <c r="G50" i="72" s="1"/>
  <c r="M50" i="72" s="1"/>
  <c r="Q47" i="72"/>
  <c r="G47" i="72" s="1"/>
  <c r="O30" i="72"/>
  <c r="G30" i="72" s="1"/>
  <c r="M30" i="72" s="1"/>
  <c r="S30" i="71"/>
  <c r="Q27" i="71"/>
  <c r="AA55" i="75"/>
  <c r="G15" i="72"/>
  <c r="S49" i="71"/>
  <c r="S20" i="71"/>
  <c r="R34" i="71"/>
  <c r="R18" i="71"/>
  <c r="P47" i="71"/>
  <c r="P20" i="71"/>
  <c r="G15" i="73"/>
  <c r="T51" i="71"/>
  <c r="S40" i="71"/>
  <c r="G40" i="71" s="1"/>
  <c r="M40" i="71" s="1"/>
  <c r="S34" i="71"/>
  <c r="R27" i="71"/>
  <c r="R4" i="73"/>
  <c r="R21" i="73" s="1"/>
  <c r="P53" i="73"/>
  <c r="O27" i="71"/>
  <c r="Q17" i="74"/>
  <c r="Q7" i="74"/>
  <c r="Q16" i="74"/>
  <c r="S24" i="73"/>
  <c r="T17" i="74"/>
  <c r="T38" i="74"/>
  <c r="T7" i="74"/>
  <c r="T53" i="75"/>
  <c r="T53" i="74"/>
  <c r="S34" i="74"/>
  <c r="S30" i="74"/>
  <c r="G50" i="75"/>
  <c r="M50" i="75" s="1"/>
  <c r="S50" i="74"/>
  <c r="G50" i="74" s="1"/>
  <c r="M50" i="74" s="1"/>
  <c r="R32" i="74"/>
  <c r="R47" i="74"/>
  <c r="R24" i="74"/>
  <c r="Q24" i="74"/>
  <c r="R27" i="75"/>
  <c r="R27" i="74"/>
  <c r="Q27" i="75"/>
  <c r="Q27" i="74"/>
  <c r="R24" i="73"/>
  <c r="R18" i="73"/>
  <c r="S21" i="73"/>
  <c r="S38" i="73"/>
  <c r="R38" i="73"/>
  <c r="R12" i="73"/>
  <c r="R14" i="73"/>
  <c r="Q34" i="73"/>
  <c r="Q51" i="73"/>
  <c r="Q53" i="73"/>
  <c r="G16" i="73"/>
  <c r="M16" i="73" s="1"/>
  <c r="P51" i="73"/>
  <c r="G42" i="73"/>
  <c r="M43" i="73" s="1"/>
  <c r="S27" i="72"/>
  <c r="G27" i="72" s="1"/>
  <c r="M27" i="72" s="1"/>
  <c r="P20" i="72"/>
  <c r="G7" i="72"/>
  <c r="T20" i="71"/>
  <c r="T53" i="71"/>
  <c r="S47" i="71"/>
  <c r="S17" i="71"/>
  <c r="R20" i="71"/>
  <c r="R47" i="71"/>
  <c r="Q21" i="71"/>
  <c r="Q24" i="71"/>
  <c r="Q53" i="71"/>
  <c r="Q17" i="71"/>
  <c r="P24" i="71"/>
  <c r="P48" i="71"/>
  <c r="O49" i="71"/>
  <c r="O30" i="71"/>
  <c r="O51" i="71"/>
  <c r="G32" i="71"/>
  <c r="M32" i="71" s="1"/>
  <c r="O21" i="71"/>
  <c r="G4" i="71"/>
  <c r="I24" i="74"/>
  <c r="I5" i="74"/>
  <c r="V55" i="74"/>
  <c r="I18" i="74"/>
  <c r="I10" i="74"/>
  <c r="T18" i="74"/>
  <c r="T20" i="74"/>
  <c r="T32" i="74"/>
  <c r="T49" i="74"/>
  <c r="S49" i="74"/>
  <c r="S32" i="74"/>
  <c r="S16" i="74"/>
  <c r="S7" i="74"/>
  <c r="Q46" i="74"/>
  <c r="R34" i="74"/>
  <c r="Q38" i="74"/>
  <c r="Q32" i="74"/>
  <c r="R51" i="75"/>
  <c r="R51" i="74"/>
  <c r="Q51" i="75"/>
  <c r="Q51" i="74"/>
  <c r="R20" i="74"/>
  <c r="Q20" i="74"/>
  <c r="Q53" i="75"/>
  <c r="Q53" i="74"/>
  <c r="R17" i="74"/>
  <c r="R49" i="74"/>
  <c r="Q30" i="74"/>
  <c r="R10" i="74"/>
  <c r="R12" i="74"/>
  <c r="R14" i="74"/>
  <c r="P22" i="75"/>
  <c r="G22" i="75" s="1"/>
  <c r="M22" i="75" s="1"/>
  <c r="P22" i="74"/>
  <c r="G22" i="74" s="1"/>
  <c r="M22" i="74" s="1"/>
  <c r="P17" i="74"/>
  <c r="P38" i="74"/>
  <c r="P30" i="74"/>
  <c r="P47" i="74"/>
  <c r="P18" i="74"/>
  <c r="O49" i="75"/>
  <c r="O49" i="74"/>
  <c r="O47" i="75"/>
  <c r="O47" i="74"/>
  <c r="O32" i="75"/>
  <c r="O32" i="74"/>
  <c r="O23" i="75"/>
  <c r="G23" i="75" s="1"/>
  <c r="O23" i="74"/>
  <c r="G23" i="74" s="1"/>
  <c r="O12" i="74"/>
  <c r="O14" i="74"/>
  <c r="T12" i="73"/>
  <c r="T14" i="73"/>
  <c r="U47" i="74"/>
  <c r="T51" i="75"/>
  <c r="T51" i="74"/>
  <c r="G42" i="75"/>
  <c r="M43" i="75" s="1"/>
  <c r="T42" i="74"/>
  <c r="G42" i="74" s="1"/>
  <c r="M43" i="74" s="1"/>
  <c r="T34" i="74"/>
  <c r="T47" i="74"/>
  <c r="S40" i="74"/>
  <c r="S12" i="74"/>
  <c r="S14" i="74"/>
  <c r="S18" i="74"/>
  <c r="S10" i="74"/>
  <c r="R38" i="74"/>
  <c r="Q40" i="74"/>
  <c r="Q34" i="74"/>
  <c r="R53" i="75"/>
  <c r="R53" i="74"/>
  <c r="R30" i="74"/>
  <c r="R18" i="74"/>
  <c r="Q18" i="74"/>
  <c r="Q10" i="74"/>
  <c r="P34" i="74"/>
  <c r="P27" i="75"/>
  <c r="P27" i="74"/>
  <c r="P20" i="74"/>
  <c r="O30" i="75"/>
  <c r="O30" i="74"/>
  <c r="O45" i="75"/>
  <c r="O45" i="74"/>
  <c r="G45" i="74" s="1"/>
  <c r="M45" i="74" s="1"/>
  <c r="O17" i="75"/>
  <c r="O17" i="74"/>
  <c r="O40" i="75"/>
  <c r="O40" i="74"/>
  <c r="O46" i="75"/>
  <c r="O46" i="74"/>
  <c r="S14" i="73"/>
  <c r="S12" i="73"/>
  <c r="R53" i="73"/>
  <c r="S27" i="73"/>
  <c r="R27" i="73"/>
  <c r="R7" i="73"/>
  <c r="G7" i="73" s="1"/>
  <c r="M8" i="73" s="1"/>
  <c r="R17" i="73"/>
  <c r="S34" i="73"/>
  <c r="G34" i="73" s="1"/>
  <c r="M34" i="73" s="1"/>
  <c r="Q50" i="73"/>
  <c r="G50" i="73" s="1"/>
  <c r="M50" i="73" s="1"/>
  <c r="Q18" i="73"/>
  <c r="P4" i="73"/>
  <c r="P21" i="73" s="1"/>
  <c r="G47" i="73"/>
  <c r="P18" i="73"/>
  <c r="G40" i="73"/>
  <c r="M40" i="73" s="1"/>
  <c r="O4" i="73"/>
  <c r="T42" i="72"/>
  <c r="G42" i="72" s="1"/>
  <c r="M43" i="72" s="1"/>
  <c r="T34" i="72"/>
  <c r="G34" i="72" s="1"/>
  <c r="M34" i="72" s="1"/>
  <c r="H7" i="72"/>
  <c r="Q49" i="72"/>
  <c r="P45" i="72"/>
  <c r="G45" i="72" s="1"/>
  <c r="M45" i="72" s="1"/>
  <c r="O53" i="72"/>
  <c r="G53" i="72" s="1"/>
  <c r="M53" i="72" s="1"/>
  <c r="O48" i="72"/>
  <c r="G48" i="72" s="1"/>
  <c r="M48" i="72" s="1"/>
  <c r="O24" i="72"/>
  <c r="G24" i="72" s="1"/>
  <c r="M24" i="72" s="1"/>
  <c r="O10" i="72"/>
  <c r="S24" i="71"/>
  <c r="R53" i="71"/>
  <c r="Q47" i="71"/>
  <c r="G7" i="71"/>
  <c r="M8" i="71" s="1"/>
  <c r="O22" i="71"/>
  <c r="G45" i="71"/>
  <c r="M45" i="71" s="1"/>
  <c r="T4" i="70"/>
  <c r="I10" i="75"/>
  <c r="I24" i="75"/>
  <c r="I46" i="75"/>
  <c r="I5" i="75"/>
  <c r="I12" i="75"/>
  <c r="I38" i="75"/>
  <c r="R46" i="73"/>
  <c r="G46" i="73" s="1"/>
  <c r="M46" i="73" s="1"/>
  <c r="O18" i="73"/>
  <c r="O20" i="73"/>
  <c r="G10" i="73"/>
  <c r="M10" i="73" s="1"/>
  <c r="G30" i="73"/>
  <c r="M30" i="73" s="1"/>
  <c r="Q21" i="72"/>
  <c r="O20" i="72"/>
  <c r="S38" i="71"/>
  <c r="S21" i="71"/>
  <c r="R21" i="71"/>
  <c r="Q18" i="71"/>
  <c r="Q22" i="71"/>
  <c r="G15" i="71"/>
  <c r="T19" i="70"/>
  <c r="T12" i="70"/>
  <c r="G12" i="70" s="1"/>
  <c r="M13" i="70" s="1"/>
  <c r="I17" i="74"/>
  <c r="N17" i="74" s="1"/>
  <c r="I7" i="74"/>
  <c r="I34" i="74"/>
  <c r="X55" i="74"/>
  <c r="I27" i="74"/>
  <c r="W55" i="74"/>
  <c r="Y55" i="74"/>
  <c r="Z55" i="74"/>
  <c r="AA55" i="74"/>
  <c r="R7" i="74"/>
  <c r="Q14" i="74"/>
  <c r="Q12" i="74"/>
  <c r="P40" i="74"/>
  <c r="P32" i="74"/>
  <c r="P7" i="74"/>
  <c r="P10" i="74"/>
  <c r="O27" i="75"/>
  <c r="O27" i="74"/>
  <c r="O18" i="75"/>
  <c r="O18" i="74"/>
  <c r="O38" i="75"/>
  <c r="O38" i="74"/>
  <c r="O48" i="75"/>
  <c r="O48" i="74"/>
  <c r="G48" i="74" s="1"/>
  <c r="M48" i="74" s="1"/>
  <c r="O5" i="75"/>
  <c r="O5" i="74"/>
  <c r="T16" i="74"/>
  <c r="T40" i="74"/>
  <c r="T30" i="74"/>
  <c r="S38" i="74"/>
  <c r="S20" i="74"/>
  <c r="S27" i="75"/>
  <c r="S27" i="74"/>
  <c r="S17" i="74"/>
  <c r="S47" i="74"/>
  <c r="R40" i="74"/>
  <c r="P14" i="74"/>
  <c r="P12" i="74"/>
  <c r="P46" i="74"/>
  <c r="P15" i="74"/>
  <c r="G15" i="74" s="1"/>
  <c r="P51" i="75"/>
  <c r="P51" i="74"/>
  <c r="P53" i="75"/>
  <c r="P53" i="74"/>
  <c r="O24" i="75"/>
  <c r="O24" i="74"/>
  <c r="O34" i="74"/>
  <c r="O10" i="75"/>
  <c r="O10" i="74"/>
  <c r="O7" i="75"/>
  <c r="O7" i="74"/>
  <c r="S17" i="73"/>
  <c r="Q27" i="73"/>
  <c r="Q4" i="73"/>
  <c r="Q21" i="73" s="1"/>
  <c r="Q14" i="73"/>
  <c r="Q12" i="73"/>
  <c r="P27" i="73"/>
  <c r="P20" i="73"/>
  <c r="G32" i="73"/>
  <c r="M32" i="73" s="1"/>
  <c r="T4" i="72"/>
  <c r="U51" i="72"/>
  <c r="H51" i="72" s="1"/>
  <c r="M51" i="72" s="1"/>
  <c r="O49" i="72"/>
  <c r="P10" i="72"/>
  <c r="O13" i="72"/>
  <c r="G13" i="72" s="1"/>
  <c r="O14" i="72"/>
  <c r="G14" i="72" s="1"/>
  <c r="T49" i="71"/>
  <c r="S48" i="71"/>
  <c r="R17" i="71"/>
  <c r="G50" i="71"/>
  <c r="M50" i="71" s="1"/>
  <c r="G52" i="71"/>
  <c r="M52" i="71" s="1"/>
  <c r="R30" i="71"/>
  <c r="P51" i="71"/>
  <c r="P34" i="71"/>
  <c r="P18" i="71"/>
  <c r="P22" i="71"/>
  <c r="P10" i="71"/>
  <c r="G10" i="71" s="1"/>
  <c r="M10" i="71" s="1"/>
  <c r="O20" i="71"/>
  <c r="G20" i="71" s="1"/>
  <c r="O24" i="71"/>
  <c r="O34" i="71"/>
  <c r="O18" i="71"/>
  <c r="O17" i="71"/>
  <c r="T46" i="70"/>
  <c r="G46" i="70" s="1"/>
  <c r="I34" i="75"/>
  <c r="U50" i="69"/>
  <c r="H50" i="69" s="1"/>
  <c r="U41" i="69"/>
  <c r="H41" i="69" s="1"/>
  <c r="U33" i="69"/>
  <c r="U39" i="69"/>
  <c r="H39" i="69" s="1"/>
  <c r="U31" i="69"/>
  <c r="U35" i="69"/>
  <c r="T41" i="69"/>
  <c r="T33" i="69"/>
  <c r="T35" i="69"/>
  <c r="G35" i="69" s="1"/>
  <c r="T39" i="69"/>
  <c r="G39" i="69" s="1"/>
  <c r="M39" i="69" s="1"/>
  <c r="T31" i="69"/>
  <c r="T28" i="69"/>
  <c r="T46" i="69"/>
  <c r="T50" i="69"/>
  <c r="T27" i="69"/>
  <c r="T52" i="69"/>
  <c r="T19" i="69"/>
  <c r="T4" i="69"/>
  <c r="T51" i="69"/>
  <c r="T7" i="69"/>
  <c r="T15" i="69"/>
  <c r="T16" i="69"/>
  <c r="S46" i="69"/>
  <c r="S50" i="69"/>
  <c r="S49" i="69"/>
  <c r="S51" i="69"/>
  <c r="S4" i="69"/>
  <c r="S26" i="69"/>
  <c r="S28" i="69"/>
  <c r="S52" i="69"/>
  <c r="S48" i="69"/>
  <c r="S16" i="69"/>
  <c r="S7" i="69"/>
  <c r="S15" i="69"/>
  <c r="S10" i="69"/>
  <c r="R50" i="69"/>
  <c r="R23" i="69"/>
  <c r="R46" i="69"/>
  <c r="R26" i="69"/>
  <c r="R28" i="69"/>
  <c r="R27" i="69"/>
  <c r="R52" i="69"/>
  <c r="R19" i="69"/>
  <c r="R12" i="69"/>
  <c r="G12" i="69" s="1"/>
  <c r="R10" i="69"/>
  <c r="R7" i="69"/>
  <c r="G38" i="73" l="1"/>
  <c r="R55" i="72"/>
  <c r="G36" i="71"/>
  <c r="M36" i="71" s="1"/>
  <c r="G19" i="70"/>
  <c r="G23" i="70"/>
  <c r="M23" i="70" s="1"/>
  <c r="S54" i="70"/>
  <c r="P54" i="70"/>
  <c r="R48" i="69"/>
  <c r="T17" i="69"/>
  <c r="T26" i="69"/>
  <c r="G20" i="72"/>
  <c r="Q54" i="70"/>
  <c r="O54" i="70"/>
  <c r="G48" i="70"/>
  <c r="M48" i="70" s="1"/>
  <c r="G16" i="70"/>
  <c r="M16" i="70" s="1"/>
  <c r="S55" i="72"/>
  <c r="G53" i="71"/>
  <c r="M53" i="71" s="1"/>
  <c r="G24" i="73"/>
  <c r="M24" i="73" s="1"/>
  <c r="G10" i="74"/>
  <c r="M10" i="74" s="1"/>
  <c r="G51" i="74"/>
  <c r="M51" i="74" s="1"/>
  <c r="G47" i="71"/>
  <c r="M47" i="71" s="1"/>
  <c r="S17" i="69"/>
  <c r="U36" i="69"/>
  <c r="H36" i="69" s="1"/>
  <c r="H35" i="69"/>
  <c r="R17" i="69"/>
  <c r="S19" i="69"/>
  <c r="T20" i="69"/>
  <c r="T54" i="69" s="1"/>
  <c r="S20" i="69"/>
  <c r="U16" i="69"/>
  <c r="H31" i="69"/>
  <c r="U32" i="69"/>
  <c r="H32" i="69" s="1"/>
  <c r="G10" i="70"/>
  <c r="M10" i="70" s="1"/>
  <c r="G17" i="70"/>
  <c r="M17" i="70" s="1"/>
  <c r="G15" i="70"/>
  <c r="M15" i="70" s="1"/>
  <c r="U34" i="69"/>
  <c r="H34" i="69" s="1"/>
  <c r="H33" i="69"/>
  <c r="G14" i="73"/>
  <c r="G17" i="73"/>
  <c r="M17" i="73" s="1"/>
  <c r="G49" i="74"/>
  <c r="M49" i="74" s="1"/>
  <c r="G53" i="75"/>
  <c r="M53" i="75" s="1"/>
  <c r="G24" i="71"/>
  <c r="M24" i="71" s="1"/>
  <c r="P55" i="72"/>
  <c r="G27" i="73"/>
  <c r="M27" i="73" s="1"/>
  <c r="G34" i="74"/>
  <c r="M34" i="74" s="1"/>
  <c r="O21" i="75"/>
  <c r="I55" i="74"/>
  <c r="G7" i="74"/>
  <c r="M8" i="74" s="1"/>
  <c r="G49" i="72"/>
  <c r="M49" i="72" s="1"/>
  <c r="G18" i="74"/>
  <c r="M18" i="74" s="1"/>
  <c r="G18" i="73"/>
  <c r="M18" i="73" s="1"/>
  <c r="Q55" i="73"/>
  <c r="R55" i="73"/>
  <c r="G12" i="73"/>
  <c r="G51" i="73"/>
  <c r="M51" i="73" s="1"/>
  <c r="G18" i="71"/>
  <c r="M18" i="71" s="1"/>
  <c r="S55" i="73"/>
  <c r="G53" i="73"/>
  <c r="M53" i="73" s="1"/>
  <c r="R55" i="71"/>
  <c r="Q55" i="71"/>
  <c r="S55" i="71"/>
  <c r="T55" i="71"/>
  <c r="G27" i="71"/>
  <c r="M27" i="71" s="1"/>
  <c r="M46" i="70"/>
  <c r="E46" i="70"/>
  <c r="T21" i="72"/>
  <c r="G21" i="72" s="1"/>
  <c r="M20" i="72" s="1"/>
  <c r="G5" i="75"/>
  <c r="G53" i="74"/>
  <c r="M53" i="74" s="1"/>
  <c r="S55" i="74"/>
  <c r="U55" i="74"/>
  <c r="H47" i="74"/>
  <c r="H55" i="74" s="1"/>
  <c r="G14" i="74"/>
  <c r="G47" i="74"/>
  <c r="G51" i="75"/>
  <c r="M51" i="75" s="1"/>
  <c r="M5" i="71"/>
  <c r="G30" i="71"/>
  <c r="M30" i="71" s="1"/>
  <c r="M8" i="72"/>
  <c r="G24" i="74"/>
  <c r="M24" i="74" s="1"/>
  <c r="G17" i="71"/>
  <c r="M17" i="71" s="1"/>
  <c r="G38" i="74"/>
  <c r="G27" i="74"/>
  <c r="M27" i="74" s="1"/>
  <c r="P55" i="74"/>
  <c r="G20" i="73"/>
  <c r="G22" i="71"/>
  <c r="M22" i="71" s="1"/>
  <c r="P55" i="71"/>
  <c r="U55" i="72"/>
  <c r="O21" i="73"/>
  <c r="G4" i="73"/>
  <c r="M47" i="73"/>
  <c r="E47" i="73"/>
  <c r="G46" i="74"/>
  <c r="M46" i="74" s="1"/>
  <c r="G27" i="75"/>
  <c r="M27" i="75" s="1"/>
  <c r="H47" i="75"/>
  <c r="H55" i="75" s="1"/>
  <c r="U55" i="75"/>
  <c r="G12" i="74"/>
  <c r="G21" i="71"/>
  <c r="M20" i="71" s="1"/>
  <c r="G49" i="71"/>
  <c r="M49" i="71" s="1"/>
  <c r="M13" i="72"/>
  <c r="T20" i="70"/>
  <c r="G20" i="70" s="1"/>
  <c r="M19" i="70" s="1"/>
  <c r="G4" i="70"/>
  <c r="G10" i="72"/>
  <c r="M10" i="72" s="1"/>
  <c r="H55" i="72"/>
  <c r="P55" i="73"/>
  <c r="G46" i="75"/>
  <c r="M46" i="75" s="1"/>
  <c r="G17" i="74"/>
  <c r="M17" i="74" s="1"/>
  <c r="G30" i="74"/>
  <c r="M30" i="74" s="1"/>
  <c r="G20" i="74"/>
  <c r="M20" i="74" s="1"/>
  <c r="Q55" i="74"/>
  <c r="G32" i="74"/>
  <c r="M32" i="74" s="1"/>
  <c r="G48" i="71"/>
  <c r="M48" i="71" s="1"/>
  <c r="T55" i="74"/>
  <c r="G16" i="74"/>
  <c r="M16" i="74" s="1"/>
  <c r="G34" i="71"/>
  <c r="M34" i="71" s="1"/>
  <c r="G5" i="74"/>
  <c r="O55" i="74"/>
  <c r="R55" i="74"/>
  <c r="M47" i="72"/>
  <c r="G4" i="72"/>
  <c r="Q55" i="72"/>
  <c r="G40" i="74"/>
  <c r="M40" i="74" s="1"/>
  <c r="T55" i="73"/>
  <c r="G14" i="75"/>
  <c r="O55" i="71"/>
  <c r="G51" i="71"/>
  <c r="M51" i="71" s="1"/>
  <c r="O55" i="72"/>
  <c r="T55" i="75"/>
  <c r="G16" i="75"/>
  <c r="M16" i="75" s="1"/>
  <c r="Q50" i="69"/>
  <c r="Q52" i="69"/>
  <c r="G52" i="69" s="1"/>
  <c r="M52" i="69" s="1"/>
  <c r="Q48" i="69"/>
  <c r="Q31" i="69"/>
  <c r="Q14" i="69"/>
  <c r="Q26" i="69"/>
  <c r="G26" i="69" s="1"/>
  <c r="Q28" i="69"/>
  <c r="Q49" i="69"/>
  <c r="Q4" i="69"/>
  <c r="Q16" i="69"/>
  <c r="Q10" i="69"/>
  <c r="Q15" i="69"/>
  <c r="P27" i="69"/>
  <c r="G27" i="69" s="1"/>
  <c r="P44" i="69"/>
  <c r="G44" i="69" s="1"/>
  <c r="M44" i="69" s="1"/>
  <c r="P33" i="69"/>
  <c r="P23" i="69"/>
  <c r="P50" i="69"/>
  <c r="P46" i="69"/>
  <c r="P51" i="69"/>
  <c r="G51" i="69" s="1"/>
  <c r="M51" i="69" s="1"/>
  <c r="P17" i="69" l="1"/>
  <c r="P19" i="69"/>
  <c r="S54" i="69"/>
  <c r="Q7" i="69"/>
  <c r="Q17" i="69"/>
  <c r="P48" i="69"/>
  <c r="Q46" i="69"/>
  <c r="R16" i="69"/>
  <c r="E47" i="72"/>
  <c r="O55" i="75"/>
  <c r="R15" i="69"/>
  <c r="M35" i="69"/>
  <c r="P41" i="69"/>
  <c r="G41" i="69" s="1"/>
  <c r="M42" i="69" s="1"/>
  <c r="P49" i="69"/>
  <c r="M26" i="69"/>
  <c r="Q19" i="69"/>
  <c r="Q20" i="69"/>
  <c r="Q23" i="69"/>
  <c r="G23" i="69" s="1"/>
  <c r="M23" i="69" s="1"/>
  <c r="R4" i="69"/>
  <c r="H16" i="69"/>
  <c r="H54" i="69" s="1"/>
  <c r="U54" i="69"/>
  <c r="M54" i="70"/>
  <c r="M13" i="73"/>
  <c r="T55" i="72"/>
  <c r="M13" i="74"/>
  <c r="T54" i="70"/>
  <c r="M55" i="72"/>
  <c r="M5" i="72"/>
  <c r="G55" i="72"/>
  <c r="M55" i="71"/>
  <c r="M5" i="73"/>
  <c r="M5" i="74"/>
  <c r="G55" i="74"/>
  <c r="O55" i="73"/>
  <c r="G21" i="73"/>
  <c r="M20" i="73" s="1"/>
  <c r="M55" i="73" s="1"/>
  <c r="E47" i="71"/>
  <c r="G55" i="71"/>
  <c r="G54" i="70"/>
  <c r="M5" i="70"/>
  <c r="M47" i="74"/>
  <c r="E47" i="74"/>
  <c r="P15" i="69"/>
  <c r="P16" i="69"/>
  <c r="P7" i="69"/>
  <c r="P31" i="69"/>
  <c r="O33" i="69"/>
  <c r="G33" i="69" s="1"/>
  <c r="M33" i="69" s="1"/>
  <c r="O14" i="69"/>
  <c r="O28" i="69"/>
  <c r="O15" i="69"/>
  <c r="G15" i="69" s="1"/>
  <c r="M15" i="69" s="1"/>
  <c r="O16" i="69"/>
  <c r="G16" i="69" s="1"/>
  <c r="M16" i="69" s="1"/>
  <c r="O17" i="69" l="1"/>
  <c r="G17" i="69" s="1"/>
  <c r="M17" i="69" s="1"/>
  <c r="P14" i="69"/>
  <c r="G14" i="69" s="1"/>
  <c r="M13" i="69" s="1"/>
  <c r="P10" i="69"/>
  <c r="Q54" i="69"/>
  <c r="O31" i="69"/>
  <c r="G31" i="69" s="1"/>
  <c r="M31" i="69" s="1"/>
  <c r="O7" i="69"/>
  <c r="O10" i="69"/>
  <c r="G10" i="69" s="1"/>
  <c r="M10" i="69" s="1"/>
  <c r="O50" i="69"/>
  <c r="G50" i="69" s="1"/>
  <c r="M50" i="69" s="1"/>
  <c r="R20" i="69"/>
  <c r="G20" i="69" s="1"/>
  <c r="O48" i="69"/>
  <c r="G48" i="69" s="1"/>
  <c r="M48" i="69" s="1"/>
  <c r="O46" i="69"/>
  <c r="G46" i="69" s="1"/>
  <c r="O19" i="69"/>
  <c r="G19" i="69" s="1"/>
  <c r="P28" i="69"/>
  <c r="G28" i="69" s="1"/>
  <c r="M29" i="69" s="1"/>
  <c r="G4" i="69"/>
  <c r="O49" i="69"/>
  <c r="G49" i="69" s="1"/>
  <c r="M49" i="69" s="1"/>
  <c r="M55" i="74"/>
  <c r="G55" i="73"/>
  <c r="R54" i="69" l="1"/>
  <c r="M19" i="69"/>
  <c r="P54" i="69"/>
  <c r="M5" i="69"/>
  <c r="M46" i="69"/>
  <c r="E46" i="69"/>
  <c r="G7" i="69"/>
  <c r="M8" i="69" s="1"/>
  <c r="O54" i="69"/>
  <c r="T39" i="68"/>
  <c r="T35" i="68"/>
  <c r="T33" i="68"/>
  <c r="T31" i="68"/>
  <c r="S39" i="68"/>
  <c r="S35" i="68"/>
  <c r="S33" i="68"/>
  <c r="S31" i="68"/>
  <c r="T22" i="68"/>
  <c r="T26" i="68"/>
  <c r="T28" i="68"/>
  <c r="T7" i="68"/>
  <c r="S10" i="68"/>
  <c r="T14" i="68"/>
  <c r="T16" i="68"/>
  <c r="T15" i="68"/>
  <c r="S22" i="68"/>
  <c r="S16" i="68"/>
  <c r="S28" i="68"/>
  <c r="S7" i="68"/>
  <c r="S48" i="68"/>
  <c r="S14" i="68"/>
  <c r="R24" i="68"/>
  <c r="G24" i="68" s="1"/>
  <c r="R22" i="68"/>
  <c r="R39" i="68"/>
  <c r="R31" i="68"/>
  <c r="R7" i="68"/>
  <c r="R26" i="68"/>
  <c r="R28" i="68"/>
  <c r="R14" i="68"/>
  <c r="R16" i="68"/>
  <c r="Q33" i="68"/>
  <c r="Q39" i="68"/>
  <c r="Q31" i="68"/>
  <c r="Q22" i="68"/>
  <c r="Q16" i="68"/>
  <c r="Q26" i="68"/>
  <c r="Q28" i="68"/>
  <c r="P7" i="68"/>
  <c r="Q10" i="68"/>
  <c r="Q14" i="68"/>
  <c r="G14" i="68" s="1"/>
  <c r="P44" i="68"/>
  <c r="G44" i="68" s="1"/>
  <c r="M44" i="68" s="1"/>
  <c r="P35" i="68"/>
  <c r="P39" i="68"/>
  <c r="P31" i="68"/>
  <c r="P51" i="68"/>
  <c r="P49" i="68"/>
  <c r="P23" i="68"/>
  <c r="G23" i="68" s="1"/>
  <c r="P28" i="68"/>
  <c r="P17" i="68"/>
  <c r="T49" i="67"/>
  <c r="P16" i="68"/>
  <c r="P10" i="68"/>
  <c r="P15" i="68"/>
  <c r="P12" i="68"/>
  <c r="O39" i="68"/>
  <c r="O31" i="68"/>
  <c r="G31" i="68" s="1"/>
  <c r="M31" i="68" s="1"/>
  <c r="O13" i="68"/>
  <c r="G13" i="68" s="1"/>
  <c r="O12" i="68"/>
  <c r="G12" i="68" s="1"/>
  <c r="P46" i="68"/>
  <c r="O49" i="68"/>
  <c r="O4" i="68"/>
  <c r="O51" i="68"/>
  <c r="O27" i="68"/>
  <c r="G27" i="68" s="1"/>
  <c r="O52" i="68"/>
  <c r="O17" i="68"/>
  <c r="O28" i="68"/>
  <c r="G28" i="68" s="1"/>
  <c r="M29" i="68" s="1"/>
  <c r="T17" i="68" l="1"/>
  <c r="T49" i="68"/>
  <c r="S15" i="68"/>
  <c r="T18" i="68"/>
  <c r="G54" i="69"/>
  <c r="P33" i="68"/>
  <c r="G39" i="68"/>
  <c r="M39" i="68" s="1"/>
  <c r="Q18" i="68"/>
  <c r="M54" i="69"/>
  <c r="Q46" i="68"/>
  <c r="R33" i="68"/>
  <c r="S46" i="68"/>
  <c r="O46" i="68"/>
  <c r="O22" i="68"/>
  <c r="G22" i="68" s="1"/>
  <c r="M23" i="68" s="1"/>
  <c r="O35" i="68"/>
  <c r="G51" i="68"/>
  <c r="M51" i="68" s="1"/>
  <c r="P50" i="68"/>
  <c r="O16" i="68"/>
  <c r="G16" i="68" s="1"/>
  <c r="M16" i="68" s="1"/>
  <c r="O33" i="68"/>
  <c r="P48" i="68"/>
  <c r="Q48" i="68"/>
  <c r="Q15" i="68"/>
  <c r="Q49" i="68"/>
  <c r="G49" i="68" s="1"/>
  <c r="Q50" i="68"/>
  <c r="Q35" i="68"/>
  <c r="R15" i="68"/>
  <c r="R48" i="68"/>
  <c r="R10" i="68"/>
  <c r="R35" i="68"/>
  <c r="G35" i="68" s="1"/>
  <c r="M35" i="68" s="1"/>
  <c r="R46" i="68"/>
  <c r="S19" i="68"/>
  <c r="G19" i="68" s="1"/>
  <c r="S50" i="68"/>
  <c r="U49" i="68"/>
  <c r="H49" i="68" s="1"/>
  <c r="O7" i="68"/>
  <c r="G7" i="68" s="1"/>
  <c r="M8" i="68" s="1"/>
  <c r="O26" i="68"/>
  <c r="O48" i="68"/>
  <c r="O18" i="68"/>
  <c r="O10" i="68"/>
  <c r="G10" i="68" s="1"/>
  <c r="M10" i="68" s="1"/>
  <c r="O20" i="68"/>
  <c r="M13" i="68"/>
  <c r="T23" i="67"/>
  <c r="G23" i="67" s="1"/>
  <c r="P26" i="68"/>
  <c r="G26" i="68" s="1"/>
  <c r="M26" i="68" s="1"/>
  <c r="P4" i="68"/>
  <c r="G4" i="68" s="1"/>
  <c r="P18" i="68"/>
  <c r="Q17" i="68"/>
  <c r="U4" i="68"/>
  <c r="Q52" i="68"/>
  <c r="G52" i="68" s="1"/>
  <c r="M52" i="68" s="1"/>
  <c r="R18" i="68"/>
  <c r="R17" i="68"/>
  <c r="T48" i="68"/>
  <c r="S17" i="68"/>
  <c r="S54" i="68" s="1"/>
  <c r="T46" i="68"/>
  <c r="U19" i="67"/>
  <c r="U27" i="67"/>
  <c r="H27" i="67" s="1"/>
  <c r="U46" i="67"/>
  <c r="H46" i="67" s="1"/>
  <c r="T46" i="67"/>
  <c r="T52" i="67"/>
  <c r="T48" i="67"/>
  <c r="T33" i="67"/>
  <c r="T18" i="67"/>
  <c r="T28" i="67"/>
  <c r="U16" i="67"/>
  <c r="T7" i="67"/>
  <c r="T15" i="67"/>
  <c r="S39" i="67"/>
  <c r="S35" i="67"/>
  <c r="S33" i="67"/>
  <c r="S31" i="67"/>
  <c r="S44" i="67"/>
  <c r="S52" i="67"/>
  <c r="S49" i="67"/>
  <c r="S26" i="67"/>
  <c r="S28" i="67"/>
  <c r="S16" i="67"/>
  <c r="S47" i="67"/>
  <c r="G47" i="67" s="1"/>
  <c r="M47" i="67" s="1"/>
  <c r="S17" i="67"/>
  <c r="S12" i="67"/>
  <c r="S14" i="67"/>
  <c r="G14" i="67" s="1"/>
  <c r="S7" i="67"/>
  <c r="S10" i="67"/>
  <c r="R39" i="67"/>
  <c r="R35" i="67"/>
  <c r="R33" i="67"/>
  <c r="R31" i="67"/>
  <c r="P49" i="67"/>
  <c r="R49" i="67"/>
  <c r="R22" i="67"/>
  <c r="R46" i="67"/>
  <c r="R28" i="67"/>
  <c r="R48" i="67"/>
  <c r="R18" i="67"/>
  <c r="R16" i="67"/>
  <c r="R13" i="67"/>
  <c r="R7" i="67"/>
  <c r="R10" i="67"/>
  <c r="Q39" i="67"/>
  <c r="G39" i="67" s="1"/>
  <c r="M39" i="67" s="1"/>
  <c r="Q33" i="67"/>
  <c r="Q31" i="67"/>
  <c r="Q28" i="67"/>
  <c r="Q46" i="67"/>
  <c r="Q52" i="67"/>
  <c r="Q10" i="67"/>
  <c r="Q16" i="67"/>
  <c r="P26" i="67"/>
  <c r="P28" i="67"/>
  <c r="O28" i="67"/>
  <c r="P16" i="67"/>
  <c r="O16" i="67"/>
  <c r="P41" i="67"/>
  <c r="G41" i="67" s="1"/>
  <c r="M42" i="67" s="1"/>
  <c r="P35" i="67"/>
  <c r="P31" i="67"/>
  <c r="O33" i="67"/>
  <c r="P7" i="67"/>
  <c r="O7" i="67"/>
  <c r="P46" i="67"/>
  <c r="O50" i="67"/>
  <c r="P52" i="67"/>
  <c r="P4" i="67"/>
  <c r="O52" i="67"/>
  <c r="P10" i="67"/>
  <c r="O4" i="67"/>
  <c r="Q48" i="67" l="1"/>
  <c r="Q26" i="67"/>
  <c r="S48" i="67"/>
  <c r="G28" i="67"/>
  <c r="M29" i="67" s="1"/>
  <c r="G33" i="67"/>
  <c r="M33" i="67" s="1"/>
  <c r="Q17" i="67"/>
  <c r="G33" i="68"/>
  <c r="M33" i="68" s="1"/>
  <c r="Q35" i="67"/>
  <c r="R54" i="68"/>
  <c r="S22" i="67"/>
  <c r="U52" i="67"/>
  <c r="H52" i="67" s="1"/>
  <c r="T54" i="68"/>
  <c r="Q54" i="68"/>
  <c r="G17" i="68"/>
  <c r="M17" i="68" s="1"/>
  <c r="Q15" i="67"/>
  <c r="Q7" i="67"/>
  <c r="G7" i="67" s="1"/>
  <c r="M8" i="67" s="1"/>
  <c r="P18" i="67"/>
  <c r="O54" i="68"/>
  <c r="G46" i="68"/>
  <c r="M46" i="68" s="1"/>
  <c r="M49" i="68"/>
  <c r="O20" i="67"/>
  <c r="P20" i="67"/>
  <c r="Q12" i="67"/>
  <c r="G12" i="67" s="1"/>
  <c r="O13" i="67"/>
  <c r="G13" i="67" s="1"/>
  <c r="O15" i="67"/>
  <c r="O46" i="67"/>
  <c r="O18" i="67"/>
  <c r="O31" i="67"/>
  <c r="P17" i="67"/>
  <c r="Q18" i="67"/>
  <c r="Q22" i="67"/>
  <c r="Q54" i="67" s="1"/>
  <c r="R52" i="67"/>
  <c r="G52" i="67" s="1"/>
  <c r="M52" i="67" s="1"/>
  <c r="S46" i="67"/>
  <c r="G18" i="68"/>
  <c r="G15" i="68"/>
  <c r="M15" i="68" s="1"/>
  <c r="O22" i="67"/>
  <c r="O26" i="67"/>
  <c r="R17" i="67"/>
  <c r="R26" i="67"/>
  <c r="T16" i="67"/>
  <c r="T26" i="67"/>
  <c r="T35" i="67"/>
  <c r="T50" i="67"/>
  <c r="H19" i="67"/>
  <c r="U20" i="67"/>
  <c r="H20" i="67" s="1"/>
  <c r="G48" i="68"/>
  <c r="M48" i="68" s="1"/>
  <c r="O10" i="67"/>
  <c r="G10" i="67" s="1"/>
  <c r="M10" i="67" s="1"/>
  <c r="O44" i="67"/>
  <c r="G44" i="67" s="1"/>
  <c r="M44" i="67" s="1"/>
  <c r="O35" i="67"/>
  <c r="O17" i="67"/>
  <c r="P15" i="67"/>
  <c r="R15" i="67"/>
  <c r="R50" i="67"/>
  <c r="S15" i="67"/>
  <c r="S18" i="67"/>
  <c r="S4" i="67"/>
  <c r="G4" i="67" s="1"/>
  <c r="T22" i="67"/>
  <c r="H4" i="68"/>
  <c r="H54" i="68" s="1"/>
  <c r="U54" i="68"/>
  <c r="G49" i="67"/>
  <c r="M49" i="67" s="1"/>
  <c r="H16" i="67"/>
  <c r="T31" i="67"/>
  <c r="U48" i="67"/>
  <c r="H48" i="67" s="1"/>
  <c r="P20" i="68"/>
  <c r="G20" i="68" s="1"/>
  <c r="G50" i="68"/>
  <c r="M50" i="68" s="1"/>
  <c r="R26" i="66"/>
  <c r="R47" i="66"/>
  <c r="R4" i="66"/>
  <c r="R33" i="66"/>
  <c r="R31" i="66"/>
  <c r="R29" i="66"/>
  <c r="G29" i="66" s="1"/>
  <c r="M29" i="66" s="1"/>
  <c r="R14" i="66"/>
  <c r="R13" i="66"/>
  <c r="R15" i="66"/>
  <c r="R10" i="66"/>
  <c r="R7" i="66"/>
  <c r="Q10" i="66"/>
  <c r="Q7" i="66"/>
  <c r="Q42" i="66"/>
  <c r="Q20" i="66"/>
  <c r="Q26" i="66"/>
  <c r="Q4" i="66"/>
  <c r="Q47" i="66"/>
  <c r="Q33" i="66"/>
  <c r="G26" i="67" l="1"/>
  <c r="M26" i="67" s="1"/>
  <c r="Q13" i="66"/>
  <c r="G48" i="67"/>
  <c r="M48" i="67" s="1"/>
  <c r="G17" i="67"/>
  <c r="M17" i="67" s="1"/>
  <c r="R50" i="66"/>
  <c r="G50" i="67"/>
  <c r="M50" i="67" s="1"/>
  <c r="P54" i="67"/>
  <c r="R24" i="66"/>
  <c r="R46" i="66"/>
  <c r="R48" i="66"/>
  <c r="M19" i="68"/>
  <c r="M54" i="68" s="1"/>
  <c r="R54" i="67"/>
  <c r="T54" i="67"/>
  <c r="G46" i="67"/>
  <c r="M5" i="67"/>
  <c r="Q14" i="66"/>
  <c r="Q16" i="66"/>
  <c r="P54" i="68"/>
  <c r="G35" i="67"/>
  <c r="M35" i="67" s="1"/>
  <c r="E46" i="68"/>
  <c r="Q18" i="66"/>
  <c r="Q48" i="66"/>
  <c r="R21" i="66"/>
  <c r="Q24" i="66"/>
  <c r="G24" i="66" s="1"/>
  <c r="M24" i="66" s="1"/>
  <c r="Q50" i="66"/>
  <c r="R16" i="66"/>
  <c r="G22" i="67"/>
  <c r="M23" i="67" s="1"/>
  <c r="R18" i="66"/>
  <c r="R44" i="66"/>
  <c r="U54" i="67"/>
  <c r="S20" i="67"/>
  <c r="S54" i="67" s="1"/>
  <c r="G16" i="67"/>
  <c r="M16" i="67" s="1"/>
  <c r="G31" i="67"/>
  <c r="M31" i="67" s="1"/>
  <c r="G18" i="67"/>
  <c r="G15" i="67"/>
  <c r="M15" i="67" s="1"/>
  <c r="M13" i="67"/>
  <c r="O54" i="67"/>
  <c r="G54" i="68"/>
  <c r="Q15" i="66"/>
  <c r="H54" i="67"/>
  <c r="E46" i="67"/>
  <c r="M46" i="67"/>
  <c r="M5" i="68"/>
  <c r="R52" i="66" l="1"/>
  <c r="G20" i="67"/>
  <c r="M19" i="67" s="1"/>
  <c r="M54" i="67" s="1"/>
  <c r="Q52" i="66"/>
  <c r="G54" i="67" l="1"/>
  <c r="P19" i="60" l="1"/>
  <c r="P43" i="60"/>
  <c r="P26" i="60"/>
  <c r="P31" i="60"/>
  <c r="P33" i="60"/>
  <c r="P37" i="60"/>
  <c r="Q12" i="60"/>
  <c r="Q10" i="60"/>
  <c r="Q7" i="60"/>
  <c r="Q26" i="60"/>
  <c r="Q43" i="60"/>
  <c r="Q15" i="60"/>
  <c r="Q47" i="60"/>
  <c r="Q14" i="60"/>
  <c r="Q29" i="60"/>
  <c r="Q31" i="60"/>
  <c r="Q37" i="60"/>
  <c r="R7" i="60"/>
  <c r="R12" i="60"/>
  <c r="R13" i="60"/>
  <c r="R14" i="60"/>
  <c r="R43" i="60"/>
  <c r="R29" i="60"/>
  <c r="R31" i="60"/>
  <c r="R37" i="60"/>
  <c r="S26" i="60"/>
  <c r="S7" i="60"/>
  <c r="S4" i="60"/>
  <c r="S12" i="60"/>
  <c r="S15" i="60"/>
  <c r="S29" i="60"/>
  <c r="S31" i="60"/>
  <c r="S37" i="60"/>
  <c r="S16" i="60"/>
  <c r="S47" i="60"/>
  <c r="S46" i="60"/>
  <c r="S42" i="60"/>
  <c r="S50" i="60"/>
  <c r="S10" i="60"/>
  <c r="S19" i="60"/>
  <c r="T29" i="60"/>
  <c r="T31" i="60"/>
  <c r="G31" i="60" s="1"/>
  <c r="T33" i="60"/>
  <c r="T15" i="60"/>
  <c r="T26" i="60"/>
  <c r="T50" i="60"/>
  <c r="T46" i="60"/>
  <c r="T7" i="60"/>
  <c r="T12" i="60"/>
  <c r="T13" i="60"/>
  <c r="T14" i="60"/>
  <c r="R20" i="60"/>
  <c r="R44" i="60"/>
  <c r="R48" i="60"/>
  <c r="T44" i="60"/>
  <c r="T48" i="60"/>
  <c r="P14" i="60"/>
  <c r="P13" i="60"/>
  <c r="R46" i="60" l="1"/>
  <c r="T4" i="60"/>
  <c r="T18" i="60" s="1"/>
  <c r="S13" i="60"/>
  <c r="R10" i="60"/>
  <c r="Q46" i="60"/>
  <c r="P15" i="60"/>
  <c r="P12" i="60"/>
  <c r="G14" i="60"/>
  <c r="Q45" i="60"/>
  <c r="Q13" i="60"/>
  <c r="R26" i="60"/>
  <c r="T37" i="60"/>
  <c r="G37" i="60" s="1"/>
  <c r="G50" i="60"/>
  <c r="M50" i="60" s="1"/>
  <c r="S33" i="60"/>
  <c r="R42" i="60"/>
  <c r="P44" i="60"/>
  <c r="P46" i="60"/>
  <c r="P45" i="60"/>
  <c r="G29" i="60"/>
  <c r="Q16" i="60"/>
  <c r="Q4" i="60"/>
  <c r="Q18" i="60" s="1"/>
  <c r="G47" i="60"/>
  <c r="M47" i="60" s="1"/>
  <c r="P16" i="60"/>
  <c r="T16" i="60"/>
  <c r="T52" i="60" s="1"/>
  <c r="S18" i="60"/>
  <c r="S52" i="60" s="1"/>
  <c r="R33" i="60"/>
  <c r="R16" i="60"/>
  <c r="R45" i="60"/>
  <c r="R4" i="60"/>
  <c r="R15" i="60"/>
  <c r="Q33" i="60"/>
  <c r="G33" i="60" s="1"/>
  <c r="P4" i="60"/>
  <c r="P18" i="60" s="1"/>
  <c r="P7" i="60"/>
  <c r="O46" i="60" l="1"/>
  <c r="G46" i="60" s="1"/>
  <c r="G45" i="60"/>
  <c r="M45" i="60" s="1"/>
  <c r="O4" i="60"/>
  <c r="R18" i="60"/>
  <c r="R52" i="60" s="1"/>
  <c r="O20" i="60"/>
  <c r="G20" i="60" s="1"/>
  <c r="Q52" i="60"/>
  <c r="O18" i="60" l="1"/>
  <c r="G18" i="60" s="1"/>
  <c r="G4" i="60"/>
  <c r="O46" i="59" l="1"/>
  <c r="O29" i="59"/>
  <c r="O31" i="59"/>
  <c r="P12" i="59"/>
  <c r="P10" i="59"/>
  <c r="P26" i="59"/>
  <c r="O13" i="59"/>
  <c r="P19" i="59"/>
  <c r="P43" i="59"/>
  <c r="P50" i="59"/>
  <c r="P29" i="59"/>
  <c r="P31" i="59"/>
  <c r="Q10" i="59"/>
  <c r="Q50" i="59"/>
  <c r="Q21" i="59"/>
  <c r="Q37" i="59"/>
  <c r="Q29" i="59"/>
  <c r="Q31" i="59"/>
  <c r="Q19" i="59"/>
  <c r="R7" i="59"/>
  <c r="R29" i="59"/>
  <c r="R31" i="59"/>
  <c r="R33" i="59"/>
  <c r="R37" i="59"/>
  <c r="P39" i="59"/>
  <c r="Q39" i="59"/>
  <c r="R39" i="59"/>
  <c r="R13" i="59"/>
  <c r="S7" i="59"/>
  <c r="S29" i="59"/>
  <c r="S31" i="59"/>
  <c r="S37" i="59"/>
  <c r="S39" i="59"/>
  <c r="S19" i="59"/>
  <c r="T7" i="59"/>
  <c r="T4" i="59"/>
  <c r="U46" i="59"/>
  <c r="H46" i="59" s="1"/>
  <c r="T48" i="59"/>
  <c r="T44" i="59"/>
  <c r="O12" i="60"/>
  <c r="G12" i="60" s="1"/>
  <c r="M12" i="60" s="1"/>
  <c r="O15" i="60"/>
  <c r="G15" i="60" s="1"/>
  <c r="O13" i="60"/>
  <c r="G13" i="60" s="1"/>
  <c r="O19" i="60"/>
  <c r="G19" i="60" s="1"/>
  <c r="M19" i="60" s="1"/>
  <c r="O17" i="60"/>
  <c r="G17" i="60" s="1"/>
  <c r="O16" i="60"/>
  <c r="G16" i="60" s="1"/>
  <c r="U29" i="59"/>
  <c r="H29" i="59" s="1"/>
  <c r="U31" i="59"/>
  <c r="H31" i="59" s="1"/>
  <c r="U33" i="59"/>
  <c r="H33" i="59" s="1"/>
  <c r="U39" i="59"/>
  <c r="H39" i="59" s="1"/>
  <c r="T29" i="59"/>
  <c r="T31" i="59"/>
  <c r="T37" i="59"/>
  <c r="P10" i="60"/>
  <c r="P52" i="60" s="1"/>
  <c r="T33" i="59" l="1"/>
  <c r="O7" i="60"/>
  <c r="T46" i="59"/>
  <c r="Q46" i="59"/>
  <c r="O26" i="60"/>
  <c r="G26" i="60" s="1"/>
  <c r="U44" i="59"/>
  <c r="H44" i="59" s="1"/>
  <c r="R20" i="59"/>
  <c r="R26" i="59"/>
  <c r="P7" i="59"/>
  <c r="O26" i="59"/>
  <c r="T26" i="59"/>
  <c r="S21" i="59"/>
  <c r="G21" i="59" s="1"/>
  <c r="S46" i="59"/>
  <c r="S20" i="59"/>
  <c r="S44" i="59"/>
  <c r="S33" i="59"/>
  <c r="S15" i="59"/>
  <c r="R4" i="59"/>
  <c r="R10" i="59"/>
  <c r="Q16" i="59"/>
  <c r="Q15" i="59"/>
  <c r="P33" i="59"/>
  <c r="P16" i="59"/>
  <c r="O4" i="59"/>
  <c r="G4" i="59" s="1"/>
  <c r="P46" i="59"/>
  <c r="O12" i="59"/>
  <c r="O43" i="60"/>
  <c r="G43" i="60" s="1"/>
  <c r="M43" i="60" s="1"/>
  <c r="U37" i="59"/>
  <c r="H37" i="59" s="1"/>
  <c r="O48" i="60"/>
  <c r="G48" i="60" s="1"/>
  <c r="M48" i="60" s="1"/>
  <c r="U16" i="59"/>
  <c r="U21" i="59"/>
  <c r="H21" i="59" s="1"/>
  <c r="T15" i="59"/>
  <c r="T18" i="59"/>
  <c r="S26" i="59"/>
  <c r="S10" i="59"/>
  <c r="P13" i="59"/>
  <c r="G31" i="59"/>
  <c r="M31" i="59" s="1"/>
  <c r="O15" i="59"/>
  <c r="O10" i="59"/>
  <c r="O44" i="60"/>
  <c r="G44" i="60" s="1"/>
  <c r="O42" i="60"/>
  <c r="G42" i="60" s="1"/>
  <c r="M42" i="60" s="1"/>
  <c r="O10" i="60"/>
  <c r="G10" i="60" s="1"/>
  <c r="M10" i="60" s="1"/>
  <c r="T16" i="59"/>
  <c r="S4" i="59"/>
  <c r="S18" i="59" s="1"/>
  <c r="S12" i="59"/>
  <c r="S13" i="59"/>
  <c r="R44" i="59"/>
  <c r="R46" i="59"/>
  <c r="G46" i="59" s="1"/>
  <c r="M46" i="59" s="1"/>
  <c r="R16" i="59"/>
  <c r="R15" i="59"/>
  <c r="Q33" i="59"/>
  <c r="Q26" i="59"/>
  <c r="G26" i="59" s="1"/>
  <c r="M27" i="59" s="1"/>
  <c r="Q20" i="59"/>
  <c r="Q7" i="59"/>
  <c r="Q4" i="59"/>
  <c r="Q13" i="59"/>
  <c r="Q12" i="59"/>
  <c r="P37" i="59"/>
  <c r="P20" i="59"/>
  <c r="P44" i="59"/>
  <c r="O33" i="59"/>
  <c r="O48" i="59"/>
  <c r="G48" i="59" s="1"/>
  <c r="M48" i="59" s="1"/>
  <c r="O50" i="59"/>
  <c r="G50" i="59" s="1"/>
  <c r="M50" i="59" s="1"/>
  <c r="O43" i="59"/>
  <c r="G43" i="59" s="1"/>
  <c r="M43" i="59" s="1"/>
  <c r="G7" i="60"/>
  <c r="S16" i="59"/>
  <c r="R18" i="59"/>
  <c r="R19" i="59"/>
  <c r="O37" i="59"/>
  <c r="G29" i="59"/>
  <c r="M29" i="59" s="1"/>
  <c r="O20" i="59"/>
  <c r="G20" i="59" s="1"/>
  <c r="M21" i="59" s="1"/>
  <c r="G39" i="59"/>
  <c r="M40" i="59" s="1"/>
  <c r="Q44" i="59"/>
  <c r="P15" i="59"/>
  <c r="O19" i="59"/>
  <c r="G13" i="59"/>
  <c r="M13" i="59" s="1"/>
  <c r="O16" i="59"/>
  <c r="O7" i="59"/>
  <c r="O18" i="59"/>
  <c r="H52" i="59" l="1"/>
  <c r="P52" i="59"/>
  <c r="U52" i="59"/>
  <c r="G16" i="59"/>
  <c r="R52" i="59"/>
  <c r="G7" i="59"/>
  <c r="M8" i="59" s="1"/>
  <c r="G19" i="59"/>
  <c r="M19" i="59" s="1"/>
  <c r="O52" i="60"/>
  <c r="G12" i="59"/>
  <c r="M12" i="59" s="1"/>
  <c r="G10" i="59"/>
  <c r="M10" i="59" s="1"/>
  <c r="T52" i="59"/>
  <c r="M5" i="59"/>
  <c r="G33" i="59"/>
  <c r="M33" i="59" s="1"/>
  <c r="G37" i="59"/>
  <c r="M37" i="59" s="1"/>
  <c r="O52" i="59"/>
  <c r="G44" i="59"/>
  <c r="M44" i="59" s="1"/>
  <c r="S52" i="59"/>
  <c r="M8" i="60"/>
  <c r="G52" i="60"/>
  <c r="G15" i="59"/>
  <c r="M15" i="59" s="1"/>
  <c r="Q18" i="59"/>
  <c r="G18" i="59" s="1"/>
  <c r="M17" i="59" s="1"/>
  <c r="M52" i="59" l="1"/>
  <c r="Q52" i="59"/>
  <c r="G52" i="59"/>
  <c r="I46" i="53" l="1"/>
  <c r="M46" i="53" s="1"/>
  <c r="I50" i="53"/>
  <c r="M50" i="53" s="1"/>
  <c r="I21" i="53"/>
  <c r="I15" i="53"/>
  <c r="M15" i="53" s="1"/>
  <c r="I12" i="53"/>
  <c r="M12" i="53" s="1"/>
  <c r="I19" i="53"/>
  <c r="M19" i="53" s="1"/>
  <c r="I43" i="53"/>
  <c r="M43" i="53" s="1"/>
  <c r="I5" i="53"/>
  <c r="I24" i="53"/>
  <c r="M24" i="53" s="1"/>
  <c r="I27" i="53"/>
  <c r="M27" i="53" s="1"/>
  <c r="I48" i="53"/>
  <c r="M48" i="53" s="1"/>
  <c r="I20" i="53"/>
  <c r="M21" i="53" s="1"/>
  <c r="I44" i="53"/>
  <c r="M44" i="53" s="1"/>
  <c r="I29" i="53"/>
  <c r="M29" i="53" s="1"/>
  <c r="I37" i="53"/>
  <c r="M37" i="53" s="1"/>
  <c r="I33" i="53"/>
  <c r="M33" i="53" s="1"/>
  <c r="I31" i="53"/>
  <c r="M31" i="53" s="1"/>
  <c r="I17" i="53"/>
  <c r="M17" i="53" s="1"/>
  <c r="M5" i="53" l="1"/>
  <c r="M52" i="53" s="1"/>
  <c r="I52" i="53"/>
  <c r="I6" i="75" l="1"/>
  <c r="V55" i="75"/>
  <c r="I7" i="75"/>
  <c r="X17" i="75" l="1"/>
  <c r="X18" i="75"/>
  <c r="Y17" i="75"/>
  <c r="W17" i="77"/>
  <c r="W18" i="77"/>
  <c r="W32" i="77"/>
  <c r="W38" i="77"/>
  <c r="X32" i="77"/>
  <c r="Z32" i="77"/>
  <c r="Y18" i="75" l="1"/>
  <c r="Z4" i="77"/>
  <c r="W34" i="77"/>
  <c r="W40" i="77"/>
  <c r="W4" i="77"/>
  <c r="V34" i="77"/>
  <c r="V40" i="77"/>
  <c r="Y38" i="77"/>
  <c r="Z17" i="75"/>
  <c r="W17" i="75"/>
  <c r="Z18" i="75"/>
  <c r="Y4" i="75"/>
  <c r="Y55" i="75" s="1"/>
  <c r="Z4" i="75"/>
  <c r="W4" i="75"/>
  <c r="X18" i="77"/>
  <c r="X18" i="76"/>
  <c r="V32" i="77"/>
  <c r="V32" i="76"/>
  <c r="X38" i="77"/>
  <c r="X38" i="76"/>
  <c r="Z34" i="77"/>
  <c r="Z40" i="77"/>
  <c r="Z34" i="76"/>
  <c r="Z40" i="76"/>
  <c r="Z18" i="77"/>
  <c r="Z18" i="76"/>
  <c r="Y42" i="77"/>
  <c r="Y42" i="76"/>
  <c r="Y32" i="77"/>
  <c r="Y32" i="76"/>
  <c r="Y18" i="77"/>
  <c r="Y18" i="76"/>
  <c r="V38" i="77"/>
  <c r="V38" i="76"/>
  <c r="X40" i="77"/>
  <c r="X34" i="77"/>
  <c r="X34" i="76"/>
  <c r="X40" i="76"/>
  <c r="X4" i="77"/>
  <c r="X4" i="76"/>
  <c r="V4" i="77"/>
  <c r="V4" i="76"/>
  <c r="V42" i="77"/>
  <c r="V42" i="76"/>
  <c r="X42" i="77"/>
  <c r="X42" i="76"/>
  <c r="X4" i="75"/>
  <c r="X55" i="75" s="1"/>
  <c r="W18" i="75"/>
  <c r="Z42" i="77"/>
  <c r="Z42" i="76"/>
  <c r="Z17" i="77"/>
  <c r="Z17" i="76"/>
  <c r="Z38" i="77"/>
  <c r="Z38" i="76"/>
  <c r="Y34" i="77"/>
  <c r="Y40" i="77"/>
  <c r="Y40" i="76"/>
  <c r="Y34" i="76"/>
  <c r="Y17" i="77"/>
  <c r="Y17" i="76"/>
  <c r="Y4" i="77"/>
  <c r="Y4" i="76"/>
  <c r="X17" i="77"/>
  <c r="X17" i="76"/>
  <c r="V17" i="77"/>
  <c r="V17" i="76"/>
  <c r="P10" i="75"/>
  <c r="Q17" i="75"/>
  <c r="Q18" i="75"/>
  <c r="P48" i="75"/>
  <c r="Q32" i="75"/>
  <c r="Q34" i="75"/>
  <c r="Q38" i="75"/>
  <c r="G38" i="75" s="1"/>
  <c r="Q40" i="75"/>
  <c r="P45" i="75"/>
  <c r="R45" i="75"/>
  <c r="R7" i="75"/>
  <c r="S7" i="75"/>
  <c r="R10" i="75"/>
  <c r="S10" i="75"/>
  <c r="R32" i="75"/>
  <c r="R34" i="75"/>
  <c r="R40" i="75"/>
  <c r="R17" i="75"/>
  <c r="R12" i="75"/>
  <c r="S12" i="75"/>
  <c r="Q15" i="75"/>
  <c r="R15" i="75"/>
  <c r="S15" i="75"/>
  <c r="O45" i="77"/>
  <c r="O53" i="77"/>
  <c r="P22" i="77"/>
  <c r="Q22" i="77"/>
  <c r="R50" i="77"/>
  <c r="R51" i="77"/>
  <c r="G51" i="77" s="1"/>
  <c r="M51" i="77" s="1"/>
  <c r="R45" i="77"/>
  <c r="S22" i="77"/>
  <c r="S51" i="77"/>
  <c r="Q12" i="75"/>
  <c r="P15" i="75"/>
  <c r="P7" i="75"/>
  <c r="P12" i="75"/>
  <c r="Q45" i="77" l="1"/>
  <c r="R52" i="77"/>
  <c r="G52" i="77" s="1"/>
  <c r="M52" i="77" s="1"/>
  <c r="S53" i="77"/>
  <c r="G53" i="77" s="1"/>
  <c r="M53" i="77" s="1"/>
  <c r="S27" i="77"/>
  <c r="G27" i="77" s="1"/>
  <c r="M27" i="77" s="1"/>
  <c r="G22" i="77"/>
  <c r="M22" i="77" s="1"/>
  <c r="P24" i="77"/>
  <c r="W55" i="77"/>
  <c r="S10" i="77"/>
  <c r="Q24" i="77"/>
  <c r="Q48" i="77"/>
  <c r="Q16" i="77"/>
  <c r="P49" i="77"/>
  <c r="P38" i="77"/>
  <c r="P17" i="77"/>
  <c r="O20" i="77"/>
  <c r="S4" i="77"/>
  <c r="S21" i="77" s="1"/>
  <c r="R38" i="77"/>
  <c r="Q30" i="77"/>
  <c r="Q47" i="77"/>
  <c r="Q20" i="77"/>
  <c r="Q32" i="77"/>
  <c r="P20" i="77"/>
  <c r="P34" i="77"/>
  <c r="P4" i="77"/>
  <c r="P21" i="77" s="1"/>
  <c r="P12" i="77"/>
  <c r="O34" i="77"/>
  <c r="P32" i="77"/>
  <c r="P7" i="77"/>
  <c r="P47" i="77"/>
  <c r="S30" i="77"/>
  <c r="S32" i="77"/>
  <c r="R48" i="77"/>
  <c r="Q49" i="77"/>
  <c r="P30" i="77"/>
  <c r="P18" i="77"/>
  <c r="P10" i="77"/>
  <c r="P16" i="77"/>
  <c r="I18" i="75"/>
  <c r="N18" i="75" s="1"/>
  <c r="Z55" i="75"/>
  <c r="I17" i="75"/>
  <c r="Q30" i="75"/>
  <c r="R18" i="75"/>
  <c r="Z55" i="77"/>
  <c r="G7" i="75"/>
  <c r="M8" i="75" s="1"/>
  <c r="Z55" i="76"/>
  <c r="S30" i="75"/>
  <c r="Q48" i="75"/>
  <c r="G48" i="75" s="1"/>
  <c r="M48" i="75" s="1"/>
  <c r="S20" i="75"/>
  <c r="R4" i="75"/>
  <c r="R21" i="75" s="1"/>
  <c r="R30" i="75"/>
  <c r="P24" i="75"/>
  <c r="Q4" i="75"/>
  <c r="P30" i="75"/>
  <c r="G32" i="75"/>
  <c r="M32" i="75" s="1"/>
  <c r="Q20" i="75"/>
  <c r="P18" i="75"/>
  <c r="I17" i="77"/>
  <c r="Y55" i="77"/>
  <c r="W55" i="75"/>
  <c r="V55" i="76"/>
  <c r="I4" i="76"/>
  <c r="I40" i="76"/>
  <c r="I38" i="76"/>
  <c r="I32" i="76"/>
  <c r="S49" i="77"/>
  <c r="S49" i="76"/>
  <c r="S38" i="77"/>
  <c r="S38" i="76"/>
  <c r="S12" i="77"/>
  <c r="S12" i="76"/>
  <c r="S20" i="77"/>
  <c r="S20" i="76"/>
  <c r="R47" i="77"/>
  <c r="R47" i="76"/>
  <c r="R34" i="77"/>
  <c r="R34" i="76"/>
  <c r="R7" i="77"/>
  <c r="R7" i="76"/>
  <c r="R17" i="77"/>
  <c r="R17" i="76"/>
  <c r="R4" i="77"/>
  <c r="R21" i="77" s="1"/>
  <c r="R4" i="76"/>
  <c r="R21" i="76" s="1"/>
  <c r="Q17" i="77"/>
  <c r="Q17" i="76"/>
  <c r="Q40" i="77"/>
  <c r="Q40" i="76"/>
  <c r="O7" i="77"/>
  <c r="O7" i="76"/>
  <c r="O17" i="77"/>
  <c r="O17" i="76"/>
  <c r="R49" i="75"/>
  <c r="R24" i="75"/>
  <c r="P49" i="75"/>
  <c r="P47" i="75"/>
  <c r="G40" i="75"/>
  <c r="M40" i="75" s="1"/>
  <c r="P20" i="75"/>
  <c r="Q10" i="75"/>
  <c r="I42" i="76"/>
  <c r="I4" i="75"/>
  <c r="V55" i="77"/>
  <c r="I4" i="77"/>
  <c r="N4" i="77" s="1"/>
  <c r="I34" i="76"/>
  <c r="I38" i="77"/>
  <c r="I32" i="77"/>
  <c r="S50" i="76"/>
  <c r="S16" i="77"/>
  <c r="S16" i="76"/>
  <c r="R40" i="77"/>
  <c r="R40" i="76"/>
  <c r="R20" i="77"/>
  <c r="R20" i="76"/>
  <c r="G20" i="76" s="1"/>
  <c r="O42" i="77"/>
  <c r="O42" i="76"/>
  <c r="Q7" i="77"/>
  <c r="Q7" i="76"/>
  <c r="S24" i="77"/>
  <c r="S24" i="76"/>
  <c r="R42" i="77"/>
  <c r="R42" i="76"/>
  <c r="R32" i="77"/>
  <c r="R32" i="76"/>
  <c r="R16" i="77"/>
  <c r="R16" i="76"/>
  <c r="R49" i="77"/>
  <c r="R49" i="76"/>
  <c r="R50" i="76"/>
  <c r="Q15" i="77"/>
  <c r="G15" i="77" s="1"/>
  <c r="Q15" i="76"/>
  <c r="G15" i="76" s="1"/>
  <c r="O38" i="77"/>
  <c r="O38" i="76"/>
  <c r="Q34" i="77"/>
  <c r="Q34" i="76"/>
  <c r="Q4" i="77"/>
  <c r="Q4" i="76"/>
  <c r="O47" i="77"/>
  <c r="O47" i="76"/>
  <c r="O4" i="77"/>
  <c r="O4" i="76"/>
  <c r="R20" i="75"/>
  <c r="G10" i="75"/>
  <c r="M10" i="75" s="1"/>
  <c r="I42" i="77"/>
  <c r="X55" i="76"/>
  <c r="I34" i="77"/>
  <c r="I18" i="76"/>
  <c r="G45" i="77"/>
  <c r="M45" i="77" s="1"/>
  <c r="O45" i="76"/>
  <c r="G45" i="76" s="1"/>
  <c r="M45" i="76" s="1"/>
  <c r="R12" i="77"/>
  <c r="R12" i="76"/>
  <c r="O49" i="77"/>
  <c r="O49" i="76"/>
  <c r="Q42" i="77"/>
  <c r="Q42" i="76"/>
  <c r="O10" i="77"/>
  <c r="O10" i="76"/>
  <c r="O16" i="77"/>
  <c r="O16" i="76"/>
  <c r="G12" i="75"/>
  <c r="M13" i="75" s="1"/>
  <c r="S34" i="77"/>
  <c r="S34" i="76"/>
  <c r="S18" i="77"/>
  <c r="S18" i="76"/>
  <c r="R18" i="77"/>
  <c r="R18" i="76"/>
  <c r="G15" i="75"/>
  <c r="S47" i="77"/>
  <c r="S47" i="76"/>
  <c r="S42" i="77"/>
  <c r="S42" i="76"/>
  <c r="S17" i="77"/>
  <c r="S17" i="76"/>
  <c r="S7" i="77"/>
  <c r="S7" i="76"/>
  <c r="R24" i="77"/>
  <c r="R24" i="76"/>
  <c r="R10" i="77"/>
  <c r="R10" i="76"/>
  <c r="Q18" i="77"/>
  <c r="Q18" i="76"/>
  <c r="Q12" i="77"/>
  <c r="Q12" i="76"/>
  <c r="O32" i="77"/>
  <c r="G32" i="77" s="1"/>
  <c r="O32" i="76"/>
  <c r="G32" i="76" s="1"/>
  <c r="M32" i="76" s="1"/>
  <c r="Q38" i="77"/>
  <c r="Q38" i="76"/>
  <c r="G38" i="76" s="1"/>
  <c r="Q10" i="77"/>
  <c r="Q10" i="76"/>
  <c r="O12" i="77"/>
  <c r="O12" i="76"/>
  <c r="O18" i="77"/>
  <c r="O18" i="76"/>
  <c r="O24" i="77"/>
  <c r="O24" i="76"/>
  <c r="O30" i="77"/>
  <c r="G30" i="77" s="1"/>
  <c r="M30" i="77" s="1"/>
  <c r="O30" i="76"/>
  <c r="G30" i="76" s="1"/>
  <c r="M30" i="76" s="1"/>
  <c r="S17" i="75"/>
  <c r="S18" i="75"/>
  <c r="S4" i="75"/>
  <c r="S47" i="75"/>
  <c r="G45" i="75"/>
  <c r="M45" i="75" s="1"/>
  <c r="P4" i="75"/>
  <c r="Q49" i="75"/>
  <c r="G34" i="75"/>
  <c r="M34" i="75" s="1"/>
  <c r="P17" i="75"/>
  <c r="I17" i="76"/>
  <c r="Y55" i="76"/>
  <c r="N4" i="75"/>
  <c r="N17" i="75"/>
  <c r="X55" i="77"/>
  <c r="I40" i="77"/>
  <c r="I18" i="77"/>
  <c r="G20" i="77" l="1"/>
  <c r="G48" i="77"/>
  <c r="M48" i="77" s="1"/>
  <c r="P55" i="77"/>
  <c r="I55" i="75"/>
  <c r="G30" i="75"/>
  <c r="M30" i="75" s="1"/>
  <c r="G24" i="76"/>
  <c r="M24" i="76" s="1"/>
  <c r="G50" i="76"/>
  <c r="M50" i="76" s="1"/>
  <c r="G18" i="77"/>
  <c r="M18" i="77" s="1"/>
  <c r="M32" i="77"/>
  <c r="G16" i="77"/>
  <c r="M16" i="77" s="1"/>
  <c r="G49" i="76"/>
  <c r="M49" i="76" s="1"/>
  <c r="G49" i="77"/>
  <c r="M49" i="77" s="1"/>
  <c r="G12" i="76"/>
  <c r="M13" i="76" s="1"/>
  <c r="G18" i="76"/>
  <c r="M18" i="76" s="1"/>
  <c r="G12" i="77"/>
  <c r="M13" i="77" s="1"/>
  <c r="S55" i="77"/>
  <c r="G16" i="76"/>
  <c r="M16" i="76" s="1"/>
  <c r="R55" i="75"/>
  <c r="G50" i="77"/>
  <c r="M50" i="77" s="1"/>
  <c r="S21" i="75"/>
  <c r="S55" i="75" s="1"/>
  <c r="G24" i="77"/>
  <c r="M24" i="77" s="1"/>
  <c r="N32" i="76"/>
  <c r="N18" i="76"/>
  <c r="N38" i="76"/>
  <c r="O21" i="76"/>
  <c r="G4" i="76"/>
  <c r="G47" i="77"/>
  <c r="M47" i="77" s="1"/>
  <c r="G42" i="77"/>
  <c r="M43" i="77" s="1"/>
  <c r="G17" i="76"/>
  <c r="M17" i="76" s="1"/>
  <c r="G7" i="77"/>
  <c r="M8" i="77" s="1"/>
  <c r="R55" i="76"/>
  <c r="Q21" i="75"/>
  <c r="Q55" i="75" s="1"/>
  <c r="N4" i="76"/>
  <c r="N17" i="76"/>
  <c r="P21" i="75"/>
  <c r="P55" i="75" s="1"/>
  <c r="G4" i="75"/>
  <c r="S55" i="76"/>
  <c r="G10" i="76"/>
  <c r="M10" i="76" s="1"/>
  <c r="G4" i="77"/>
  <c r="O21" i="77"/>
  <c r="G34" i="76"/>
  <c r="M34" i="76" s="1"/>
  <c r="G38" i="77"/>
  <c r="I55" i="77"/>
  <c r="G17" i="77"/>
  <c r="M17" i="77" s="1"/>
  <c r="R55" i="77"/>
  <c r="G24" i="75"/>
  <c r="M24" i="75" s="1"/>
  <c r="G17" i="75"/>
  <c r="M17" i="75" s="1"/>
  <c r="G10" i="77"/>
  <c r="M10" i="77" s="1"/>
  <c r="Q21" i="76"/>
  <c r="Q55" i="76" s="1"/>
  <c r="G34" i="77"/>
  <c r="M34" i="77" s="1"/>
  <c r="G47" i="75"/>
  <c r="M47" i="75" s="1"/>
  <c r="G40" i="76"/>
  <c r="M40" i="76" s="1"/>
  <c r="I55" i="76"/>
  <c r="N17" i="77"/>
  <c r="N18" i="77"/>
  <c r="N38" i="77"/>
  <c r="N32" i="77"/>
  <c r="G47" i="76"/>
  <c r="M47" i="76" s="1"/>
  <c r="Q21" i="77"/>
  <c r="Q55" i="77" s="1"/>
  <c r="G42" i="76"/>
  <c r="M43" i="76" s="1"/>
  <c r="G20" i="75"/>
  <c r="G49" i="75"/>
  <c r="M49" i="75" s="1"/>
  <c r="G7" i="76"/>
  <c r="M8" i="76" s="1"/>
  <c r="G40" i="77"/>
  <c r="M40" i="77" s="1"/>
  <c r="G18" i="75"/>
  <c r="M18" i="75" s="1"/>
  <c r="G21" i="77" l="1"/>
  <c r="M20" i="77" s="1"/>
  <c r="O55" i="76"/>
  <c r="G21" i="76"/>
  <c r="M20" i="76" s="1"/>
  <c r="O55" i="77"/>
  <c r="G21" i="75"/>
  <c r="G55" i="75" s="1"/>
  <c r="M5" i="77"/>
  <c r="M5" i="75"/>
  <c r="M5" i="76"/>
  <c r="M55" i="77" l="1"/>
  <c r="G55" i="76"/>
  <c r="M55" i="76"/>
  <c r="G55" i="77"/>
  <c r="M20" i="75"/>
  <c r="M55" i="75" s="1"/>
  <c r="P13" i="66" l="1"/>
  <c r="P15" i="66"/>
  <c r="P46" i="66"/>
  <c r="P42" i="66"/>
  <c r="P37" i="66"/>
  <c r="P39" i="66"/>
  <c r="P31" i="66"/>
  <c r="P33" i="66"/>
  <c r="P16" i="66"/>
  <c r="P14" i="66"/>
  <c r="P12" i="66"/>
  <c r="P47" i="66"/>
  <c r="G47" i="66" s="1"/>
  <c r="M47" i="66" s="1"/>
  <c r="P7" i="66"/>
  <c r="P26" i="66"/>
  <c r="P20" i="66"/>
  <c r="P44" i="66"/>
  <c r="O48" i="66"/>
  <c r="G48" i="66" s="1"/>
  <c r="M48" i="66" s="1"/>
  <c r="O44" i="66"/>
  <c r="G44" i="66" s="1"/>
  <c r="O42" i="66"/>
  <c r="G42" i="66" s="1"/>
  <c r="M42" i="66" s="1"/>
  <c r="O39" i="66"/>
  <c r="G39" i="66" s="1"/>
  <c r="M40" i="66" s="1"/>
  <c r="O37" i="66"/>
  <c r="G37" i="66" s="1"/>
  <c r="M37" i="66" s="1"/>
  <c r="O31" i="66"/>
  <c r="G31" i="66" s="1"/>
  <c r="M31" i="66" s="1"/>
  <c r="O7" i="66"/>
  <c r="G7" i="66" s="1"/>
  <c r="M8" i="66" s="1"/>
  <c r="O26" i="66"/>
  <c r="G26" i="66" s="1"/>
  <c r="M27" i="66" s="1"/>
  <c r="O45" i="66"/>
  <c r="G45" i="66" s="1"/>
  <c r="M45" i="66" s="1"/>
  <c r="O10" i="66"/>
  <c r="O13" i="66"/>
  <c r="G13" i="66" s="1"/>
  <c r="M13" i="66" s="1"/>
  <c r="O50" i="66" l="1"/>
  <c r="G50" i="66" s="1"/>
  <c r="M50" i="66" s="1"/>
  <c r="O16" i="66"/>
  <c r="G16" i="66" s="1"/>
  <c r="O33" i="66"/>
  <c r="G33" i="66" s="1"/>
  <c r="M33" i="66" s="1"/>
  <c r="O46" i="66"/>
  <c r="G46" i="66" s="1"/>
  <c r="M46" i="66" s="1"/>
  <c r="O4" i="66"/>
  <c r="E44" i="66"/>
  <c r="M44" i="66"/>
  <c r="O14" i="66"/>
  <c r="G14" i="66" s="1"/>
  <c r="M14" i="66" s="1"/>
  <c r="O43" i="66"/>
  <c r="G43" i="66" s="1"/>
  <c r="M43" i="66" s="1"/>
  <c r="O21" i="66"/>
  <c r="G21" i="66" s="1"/>
  <c r="O20" i="66"/>
  <c r="G20" i="66" s="1"/>
  <c r="M21" i="66" s="1"/>
  <c r="P10" i="66"/>
  <c r="P52" i="66" s="1"/>
  <c r="O18" i="66" l="1"/>
  <c r="G18" i="66" s="1"/>
  <c r="M17" i="66" s="1"/>
  <c r="G4" i="66"/>
  <c r="G10" i="66"/>
  <c r="M10" i="66" s="1"/>
  <c r="M5" i="66" l="1"/>
  <c r="O12" i="66" l="1"/>
  <c r="T13" i="65"/>
  <c r="T33" i="65"/>
  <c r="T31" i="65"/>
  <c r="T37" i="65"/>
  <c r="U44" i="65"/>
  <c r="H44" i="65" s="1"/>
  <c r="U5" i="65"/>
  <c r="U20" i="65"/>
  <c r="T29" i="65" l="1"/>
  <c r="G12" i="66"/>
  <c r="O15" i="66"/>
  <c r="G15" i="66" s="1"/>
  <c r="M15" i="66" s="1"/>
  <c r="H5" i="65"/>
  <c r="H20" i="65"/>
  <c r="U21" i="65"/>
  <c r="T15" i="65"/>
  <c r="H21" i="65" l="1"/>
  <c r="U22" i="65"/>
  <c r="O52" i="66"/>
  <c r="M12" i="66"/>
  <c r="M52" i="66" s="1"/>
  <c r="G52" i="66"/>
  <c r="T44" i="65"/>
  <c r="T20" i="65"/>
  <c r="U16" i="65"/>
  <c r="T42" i="65"/>
  <c r="T50" i="65"/>
  <c r="T46" i="65"/>
  <c r="T49" i="65"/>
  <c r="G49" i="65" s="1"/>
  <c r="M49" i="65" s="1"/>
  <c r="T7" i="65"/>
  <c r="T19" i="65"/>
  <c r="G19" i="65" s="1"/>
  <c r="M19" i="65" s="1"/>
  <c r="T43" i="65"/>
  <c r="T26" i="65"/>
  <c r="T12" i="65"/>
  <c r="T14" i="65"/>
  <c r="S10" i="65"/>
  <c r="S39" i="65"/>
  <c r="G39" i="65" s="1"/>
  <c r="M40" i="65" s="1"/>
  <c r="S33" i="65"/>
  <c r="S37" i="65"/>
  <c r="S29" i="65"/>
  <c r="S20" i="65"/>
  <c r="S4" i="65"/>
  <c r="S15" i="65"/>
  <c r="S13" i="65"/>
  <c r="S16" i="65"/>
  <c r="S18" i="65" l="1"/>
  <c r="S46" i="65"/>
  <c r="S44" i="65"/>
  <c r="S31" i="65"/>
  <c r="T16" i="65"/>
  <c r="S47" i="65"/>
  <c r="S7" i="65"/>
  <c r="T4" i="65"/>
  <c r="T18" i="65" s="1"/>
  <c r="T52" i="65" s="1"/>
  <c r="H22" i="65"/>
  <c r="U23" i="65"/>
  <c r="H23" i="65" s="1"/>
  <c r="U17" i="65"/>
  <c r="H17" i="65" l="1"/>
  <c r="U18" i="65"/>
  <c r="H18" i="65" l="1"/>
  <c r="H52" i="65" s="1"/>
  <c r="U52" i="65"/>
  <c r="O46" i="64"/>
  <c r="O7" i="64"/>
  <c r="U14" i="60" l="1"/>
  <c r="H14" i="60" s="1"/>
  <c r="M14" i="60" s="1"/>
  <c r="O14" i="62"/>
  <c r="U20" i="60"/>
  <c r="U44" i="60"/>
  <c r="H44" i="60" s="1"/>
  <c r="M44" i="60" s="1"/>
  <c r="O48" i="62"/>
  <c r="O44" i="62"/>
  <c r="P7" i="62"/>
  <c r="P19" i="62"/>
  <c r="P26" i="62"/>
  <c r="P12" i="62"/>
  <c r="P31" i="62"/>
  <c r="P33" i="62"/>
  <c r="P37" i="62"/>
  <c r="P50" i="62"/>
  <c r="P46" i="62"/>
  <c r="P42" i="62"/>
  <c r="G42" i="62" s="1"/>
  <c r="M42" i="62" s="1"/>
  <c r="P48" i="62"/>
  <c r="Q26" i="62"/>
  <c r="Q7" i="62"/>
  <c r="Q45" i="62"/>
  <c r="Q19" i="62"/>
  <c r="Q29" i="62"/>
  <c r="Q31" i="62"/>
  <c r="Q37" i="62"/>
  <c r="P13" i="62"/>
  <c r="P14" i="62"/>
  <c r="Q13" i="62"/>
  <c r="Q14" i="62"/>
  <c r="Q20" i="62"/>
  <c r="Q12" i="62"/>
  <c r="R44" i="62"/>
  <c r="R48" i="62"/>
  <c r="R7" i="62"/>
  <c r="R12" i="62"/>
  <c r="S12" i="62"/>
  <c r="S13" i="62"/>
  <c r="R29" i="62"/>
  <c r="R33" i="62"/>
  <c r="R37" i="62"/>
  <c r="R43" i="62"/>
  <c r="R26" i="62"/>
  <c r="S26" i="62"/>
  <c r="R10" i="62"/>
  <c r="T7" i="62"/>
  <c r="T26" i="62"/>
  <c r="T44" i="62"/>
  <c r="T43" i="62"/>
  <c r="T16" i="62"/>
  <c r="T45" i="62"/>
  <c r="T29" i="62"/>
  <c r="T31" i="62"/>
  <c r="T12" i="62"/>
  <c r="O13" i="63"/>
  <c r="O12" i="63"/>
  <c r="O7" i="63"/>
  <c r="O46" i="63"/>
  <c r="Q4" i="62"/>
  <c r="O44" i="63"/>
  <c r="O20" i="63"/>
  <c r="P12" i="63"/>
  <c r="P42" i="63"/>
  <c r="P10" i="63"/>
  <c r="Q7" i="63"/>
  <c r="P39" i="63"/>
  <c r="G39" i="63" s="1"/>
  <c r="M40" i="63" s="1"/>
  <c r="P44" i="63"/>
  <c r="P48" i="63"/>
  <c r="Q43" i="63"/>
  <c r="Q42" i="63"/>
  <c r="Q10" i="63"/>
  <c r="Q26" i="63"/>
  <c r="Q4" i="63"/>
  <c r="Q31" i="63"/>
  <c r="Q13" i="63"/>
  <c r="P13" i="63"/>
  <c r="R42" i="63"/>
  <c r="R7" i="63"/>
  <c r="R19" i="63"/>
  <c r="R13" i="63"/>
  <c r="R29" i="63"/>
  <c r="R44" i="63"/>
  <c r="R48" i="63"/>
  <c r="S12" i="63"/>
  <c r="S13" i="63"/>
  <c r="S10" i="63"/>
  <c r="S7" i="63"/>
  <c r="S26" i="63"/>
  <c r="S43" i="63"/>
  <c r="S19" i="63"/>
  <c r="S42" i="63"/>
  <c r="S46" i="63"/>
  <c r="S29" i="63"/>
  <c r="S33" i="63"/>
  <c r="S31" i="63"/>
  <c r="S44" i="63"/>
  <c r="O12" i="64"/>
  <c r="O10" i="64"/>
  <c r="O29" i="64"/>
  <c r="P12" i="64"/>
  <c r="P43" i="64"/>
  <c r="P10" i="64"/>
  <c r="P26" i="64"/>
  <c r="P45" i="64"/>
  <c r="P4" i="64"/>
  <c r="P18" i="64" s="1"/>
  <c r="P42" i="64"/>
  <c r="P31" i="64"/>
  <c r="P33" i="64"/>
  <c r="P37" i="64"/>
  <c r="G37" i="64" s="1"/>
  <c r="M37" i="64" s="1"/>
  <c r="P48" i="64"/>
  <c r="G48" i="64" s="1"/>
  <c r="M48" i="64" s="1"/>
  <c r="P13" i="64"/>
  <c r="Q4" i="64"/>
  <c r="Q10" i="64"/>
  <c r="Q13" i="64"/>
  <c r="Q7" i="64"/>
  <c r="Q42" i="64"/>
  <c r="Q50" i="64"/>
  <c r="G50" i="64" s="1"/>
  <c r="M50" i="64" s="1"/>
  <c r="Q19" i="64"/>
  <c r="Q43" i="64"/>
  <c r="Q29" i="64"/>
  <c r="Q31" i="64"/>
  <c r="R13" i="64"/>
  <c r="R12" i="64"/>
  <c r="R43" i="64"/>
  <c r="R10" i="64"/>
  <c r="R26" i="64"/>
  <c r="R7" i="64"/>
  <c r="R31" i="64"/>
  <c r="R33" i="64"/>
  <c r="R45" i="64"/>
  <c r="S13" i="64"/>
  <c r="S12" i="64"/>
  <c r="S26" i="64"/>
  <c r="S43" i="64"/>
  <c r="S42" i="64"/>
  <c r="S46" i="64"/>
  <c r="S29" i="64"/>
  <c r="S33" i="64"/>
  <c r="S39" i="64"/>
  <c r="G39" i="64" s="1"/>
  <c r="M40" i="64" s="1"/>
  <c r="S10" i="64"/>
  <c r="U12" i="64"/>
  <c r="T12" i="64"/>
  <c r="R46" i="64"/>
  <c r="T46" i="64"/>
  <c r="U42" i="64"/>
  <c r="H42" i="64" s="1"/>
  <c r="U46" i="64"/>
  <c r="H46" i="64" s="1"/>
  <c r="T16" i="64"/>
  <c r="T45" i="64"/>
  <c r="U45" i="64"/>
  <c r="H45" i="64" s="1"/>
  <c r="U16" i="64"/>
  <c r="U17" i="64" s="1"/>
  <c r="R44" i="64"/>
  <c r="O44" i="65"/>
  <c r="O20" i="65"/>
  <c r="T31" i="64"/>
  <c r="T29" i="64"/>
  <c r="T7" i="64"/>
  <c r="T20" i="64"/>
  <c r="O13" i="62"/>
  <c r="O45" i="62"/>
  <c r="G45" i="62" s="1"/>
  <c r="M45" i="62" s="1"/>
  <c r="U16" i="60"/>
  <c r="U18" i="60" s="1"/>
  <c r="H18" i="60" s="1"/>
  <c r="M17" i="60" s="1"/>
  <c r="O46" i="62"/>
  <c r="G46" i="62" s="1"/>
  <c r="M46" i="62" s="1"/>
  <c r="U46" i="60"/>
  <c r="H46" i="60" s="1"/>
  <c r="M46" i="60" s="1"/>
  <c r="U26" i="60"/>
  <c r="Q18" i="64" l="1"/>
  <c r="P44" i="64"/>
  <c r="P16" i="64"/>
  <c r="O42" i="64"/>
  <c r="O44" i="64"/>
  <c r="R4" i="63"/>
  <c r="Q33" i="63"/>
  <c r="Q36" i="63"/>
  <c r="Q18" i="63"/>
  <c r="G46" i="63"/>
  <c r="M46" i="63" s="1"/>
  <c r="G12" i="63"/>
  <c r="M12" i="63" s="1"/>
  <c r="Q33" i="62"/>
  <c r="P44" i="62"/>
  <c r="P29" i="62"/>
  <c r="G48" i="62"/>
  <c r="M48" i="62" s="1"/>
  <c r="T13" i="64"/>
  <c r="R4" i="64"/>
  <c r="Q33" i="64"/>
  <c r="P46" i="64"/>
  <c r="G46" i="64" s="1"/>
  <c r="M46" i="64" s="1"/>
  <c r="G45" i="64"/>
  <c r="M45" i="64" s="1"/>
  <c r="O33" i="64"/>
  <c r="O13" i="64"/>
  <c r="G13" i="64" s="1"/>
  <c r="M13" i="64" s="1"/>
  <c r="S4" i="63"/>
  <c r="R20" i="63"/>
  <c r="R31" i="63"/>
  <c r="R26" i="63"/>
  <c r="R10" i="63"/>
  <c r="Q44" i="63"/>
  <c r="G44" i="63" s="1"/>
  <c r="M44" i="63" s="1"/>
  <c r="P16" i="63"/>
  <c r="P7" i="63"/>
  <c r="G7" i="63" s="1"/>
  <c r="M8" i="63" s="1"/>
  <c r="G13" i="63"/>
  <c r="M13" i="63" s="1"/>
  <c r="Q44" i="62"/>
  <c r="Q43" i="62"/>
  <c r="G43" i="62" s="1"/>
  <c r="M43" i="62" s="1"/>
  <c r="Q15" i="62"/>
  <c r="O16" i="62"/>
  <c r="O12" i="62"/>
  <c r="G12" i="62" s="1"/>
  <c r="M12" i="62" s="1"/>
  <c r="S44" i="64"/>
  <c r="H17" i="64"/>
  <c r="U18" i="64"/>
  <c r="H18" i="64" s="1"/>
  <c r="T26" i="64"/>
  <c r="R42" i="64"/>
  <c r="G42" i="64" s="1"/>
  <c r="M42" i="64" s="1"/>
  <c r="S7" i="64"/>
  <c r="R16" i="64"/>
  <c r="Q12" i="64"/>
  <c r="G12" i="64" s="1"/>
  <c r="M12" i="64" s="1"/>
  <c r="P29" i="64"/>
  <c r="G29" i="64" s="1"/>
  <c r="M29" i="64" s="1"/>
  <c r="P7" i="64"/>
  <c r="O20" i="64"/>
  <c r="G20" i="64" s="1"/>
  <c r="O26" i="64"/>
  <c r="G10" i="64"/>
  <c r="M10" i="64" s="1"/>
  <c r="S16" i="63"/>
  <c r="G19" i="63"/>
  <c r="M19" i="63" s="1"/>
  <c r="Q48" i="63"/>
  <c r="G48" i="63" s="1"/>
  <c r="M48" i="63" s="1"/>
  <c r="Q29" i="63"/>
  <c r="G29" i="63" s="1"/>
  <c r="M29" i="63" s="1"/>
  <c r="P33" i="63"/>
  <c r="P4" i="63"/>
  <c r="P26" i="63"/>
  <c r="O31" i="63"/>
  <c r="O16" i="63"/>
  <c r="O26" i="63"/>
  <c r="G26" i="63" s="1"/>
  <c r="M27" i="63" s="1"/>
  <c r="O10" i="63"/>
  <c r="O52" i="63" s="1"/>
  <c r="T13" i="62"/>
  <c r="G13" i="62" s="1"/>
  <c r="M13" i="62" s="1"/>
  <c r="S52" i="62"/>
  <c r="R16" i="62"/>
  <c r="R52" i="62" s="1"/>
  <c r="Q16" i="62"/>
  <c r="P15" i="62"/>
  <c r="P52" i="62" s="1"/>
  <c r="U21" i="60"/>
  <c r="H20" i="60"/>
  <c r="O7" i="62"/>
  <c r="G7" i="62" s="1"/>
  <c r="M8" i="62" s="1"/>
  <c r="U27" i="60"/>
  <c r="H26" i="60"/>
  <c r="O50" i="62"/>
  <c r="G50" i="62" s="1"/>
  <c r="M50" i="62" s="1"/>
  <c r="O15" i="62"/>
  <c r="O26" i="62"/>
  <c r="G26" i="62" s="1"/>
  <c r="M27" i="62" s="1"/>
  <c r="U13" i="60"/>
  <c r="H13" i="60" s="1"/>
  <c r="M13" i="60" s="1"/>
  <c r="O47" i="65"/>
  <c r="S16" i="64"/>
  <c r="S31" i="64"/>
  <c r="S19" i="64"/>
  <c r="G19" i="64" s="1"/>
  <c r="M19" i="64" s="1"/>
  <c r="Q26" i="64"/>
  <c r="Q44" i="64"/>
  <c r="O31" i="64"/>
  <c r="G31" i="64" s="1"/>
  <c r="M31" i="64" s="1"/>
  <c r="O16" i="64"/>
  <c r="G16" i="64" s="1"/>
  <c r="O4" i="64"/>
  <c r="O43" i="64"/>
  <c r="G43" i="64" s="1"/>
  <c r="M43" i="64" s="1"/>
  <c r="S48" i="63"/>
  <c r="R43" i="63"/>
  <c r="R16" i="63"/>
  <c r="Q16" i="63"/>
  <c r="Q52" i="63" s="1"/>
  <c r="P20" i="63"/>
  <c r="G20" i="63" s="1"/>
  <c r="M21" i="63" s="1"/>
  <c r="P31" i="63"/>
  <c r="P50" i="63"/>
  <c r="G50" i="63" s="1"/>
  <c r="M50" i="63" s="1"/>
  <c r="O33" i="63"/>
  <c r="G33" i="63" s="1"/>
  <c r="M33" i="63" s="1"/>
  <c r="Q18" i="62"/>
  <c r="Q52" i="62"/>
  <c r="O42" i="63"/>
  <c r="G42" i="63" s="1"/>
  <c r="M42" i="63" s="1"/>
  <c r="O43" i="63"/>
  <c r="T20" i="62"/>
  <c r="G20" i="62" s="1"/>
  <c r="M21" i="62" s="1"/>
  <c r="P16" i="62"/>
  <c r="G44" i="62"/>
  <c r="M44" i="62" s="1"/>
  <c r="G14" i="62"/>
  <c r="M14" i="62" s="1"/>
  <c r="O37" i="62"/>
  <c r="G37" i="62" s="1"/>
  <c r="M37" i="62" s="1"/>
  <c r="O33" i="62"/>
  <c r="G33" i="62" s="1"/>
  <c r="M33" i="62" s="1"/>
  <c r="O31" i="62"/>
  <c r="G31" i="62" s="1"/>
  <c r="M31" i="62" s="1"/>
  <c r="O29" i="62"/>
  <c r="G29" i="62" s="1"/>
  <c r="M29" i="62" s="1"/>
  <c r="U37" i="60"/>
  <c r="H37" i="60" s="1"/>
  <c r="M37" i="60" s="1"/>
  <c r="U4" i="60"/>
  <c r="O4" i="62"/>
  <c r="U29" i="60"/>
  <c r="U31" i="60"/>
  <c r="U33" i="60"/>
  <c r="U44" i="64"/>
  <c r="H44" i="64" s="1"/>
  <c r="U20" i="64"/>
  <c r="O14" i="65"/>
  <c r="O12" i="65"/>
  <c r="G12" i="65" s="1"/>
  <c r="M12" i="65" s="1"/>
  <c r="O7" i="65"/>
  <c r="O42" i="65"/>
  <c r="O45" i="65"/>
  <c r="U26" i="64"/>
  <c r="U27" i="64" s="1"/>
  <c r="O24" i="65"/>
  <c r="G24" i="65" s="1"/>
  <c r="M24" i="65" s="1"/>
  <c r="O26" i="65"/>
  <c r="O29" i="65"/>
  <c r="O37" i="65"/>
  <c r="P31" i="65"/>
  <c r="P12" i="65"/>
  <c r="Q12" i="65"/>
  <c r="P7" i="65"/>
  <c r="P13" i="65"/>
  <c r="P43" i="65"/>
  <c r="Q43" i="65"/>
  <c r="P14" i="65"/>
  <c r="Q14" i="65"/>
  <c r="P45" i="65"/>
  <c r="G45" i="65" s="1"/>
  <c r="M45" i="65" s="1"/>
  <c r="P47" i="65"/>
  <c r="P4" i="65"/>
  <c r="Q47" i="65"/>
  <c r="P42" i="65"/>
  <c r="Q50" i="65"/>
  <c r="P20" i="65"/>
  <c r="R14" i="65"/>
  <c r="R15" i="65"/>
  <c r="R16" i="65"/>
  <c r="R26" i="65"/>
  <c r="R47" i="65"/>
  <c r="R4" i="65"/>
  <c r="R42" i="65"/>
  <c r="R46" i="65"/>
  <c r="R50" i="65"/>
  <c r="R29" i="65"/>
  <c r="R33" i="65"/>
  <c r="R37" i="65"/>
  <c r="Q20" i="65"/>
  <c r="Q44" i="65"/>
  <c r="R44" i="65"/>
  <c r="R13" i="65"/>
  <c r="S14" i="65"/>
  <c r="S12" i="65"/>
  <c r="S43" i="65"/>
  <c r="S26" i="65"/>
  <c r="O31" i="65" l="1"/>
  <c r="U21" i="64"/>
  <c r="H20" i="64"/>
  <c r="H4" i="60"/>
  <c r="M5" i="60" s="1"/>
  <c r="U15" i="60"/>
  <c r="H15" i="60" s="1"/>
  <c r="M15" i="60" s="1"/>
  <c r="G47" i="65"/>
  <c r="M47" i="65" s="1"/>
  <c r="R7" i="65"/>
  <c r="R43" i="65"/>
  <c r="P48" i="65"/>
  <c r="G48" i="65" s="1"/>
  <c r="M48" i="65" s="1"/>
  <c r="P15" i="65"/>
  <c r="Q16" i="65"/>
  <c r="P16" i="65"/>
  <c r="Q13" i="65"/>
  <c r="P10" i="65"/>
  <c r="P52" i="65" s="1"/>
  <c r="P33" i="65"/>
  <c r="P29" i="65"/>
  <c r="G29" i="65" s="1"/>
  <c r="M29" i="65" s="1"/>
  <c r="G42" i="65"/>
  <c r="M42" i="65" s="1"/>
  <c r="O15" i="65"/>
  <c r="G14" i="65"/>
  <c r="M14" i="65" s="1"/>
  <c r="R20" i="65"/>
  <c r="G20" i="65" s="1"/>
  <c r="M21" i="65" s="1"/>
  <c r="R10" i="65"/>
  <c r="P44" i="65"/>
  <c r="G44" i="65" s="1"/>
  <c r="M44" i="65" s="1"/>
  <c r="Q26" i="65"/>
  <c r="P26" i="65"/>
  <c r="G26" i="65" s="1"/>
  <c r="M27" i="65" s="1"/>
  <c r="Q46" i="65"/>
  <c r="P46" i="65"/>
  <c r="P18" i="65"/>
  <c r="Q15" i="65"/>
  <c r="P37" i="65"/>
  <c r="G37" i="65" s="1"/>
  <c r="M37" i="65" s="1"/>
  <c r="O46" i="65"/>
  <c r="G46" i="65" s="1"/>
  <c r="M46" i="65" s="1"/>
  <c r="O10" i="65"/>
  <c r="G10" i="65" s="1"/>
  <c r="M10" i="65" s="1"/>
  <c r="O43" i="65"/>
  <c r="H33" i="60"/>
  <c r="U34" i="60"/>
  <c r="H34" i="60" s="1"/>
  <c r="O19" i="62"/>
  <c r="G19" i="62" s="1"/>
  <c r="M19" i="62" s="1"/>
  <c r="T52" i="62"/>
  <c r="G43" i="63"/>
  <c r="M43" i="63" s="1"/>
  <c r="O18" i="64"/>
  <c r="G4" i="64"/>
  <c r="G15" i="62"/>
  <c r="M15" i="62" s="1"/>
  <c r="G16" i="63"/>
  <c r="G7" i="64"/>
  <c r="M8" i="64" s="1"/>
  <c r="G33" i="64"/>
  <c r="M33" i="64" s="1"/>
  <c r="R18" i="64"/>
  <c r="R52" i="64"/>
  <c r="R36" i="63"/>
  <c r="R18" i="63"/>
  <c r="R52" i="63" s="1"/>
  <c r="R18" i="65"/>
  <c r="R52" i="65" s="1"/>
  <c r="H27" i="64"/>
  <c r="U28" i="64"/>
  <c r="H28" i="64" s="1"/>
  <c r="O13" i="65"/>
  <c r="G13" i="65" s="1"/>
  <c r="M13" i="65" s="1"/>
  <c r="G50" i="65"/>
  <c r="M50" i="65" s="1"/>
  <c r="O33" i="65"/>
  <c r="G33" i="65" s="1"/>
  <c r="M33" i="65" s="1"/>
  <c r="O16" i="65"/>
  <c r="G16" i="65" s="1"/>
  <c r="G7" i="65"/>
  <c r="M8" i="65" s="1"/>
  <c r="U32" i="60"/>
  <c r="H32" i="60" s="1"/>
  <c r="H31" i="60"/>
  <c r="M31" i="60" s="1"/>
  <c r="O18" i="62"/>
  <c r="G18" i="62" s="1"/>
  <c r="G4" i="62"/>
  <c r="U28" i="60"/>
  <c r="H28" i="60" s="1"/>
  <c r="H27" i="60"/>
  <c r="M27" i="60" s="1"/>
  <c r="G10" i="63"/>
  <c r="M10" i="63" s="1"/>
  <c r="T52" i="64"/>
  <c r="R31" i="65"/>
  <c r="H29" i="60"/>
  <c r="U30" i="60"/>
  <c r="H30" i="60" s="1"/>
  <c r="G4" i="63"/>
  <c r="P18" i="63"/>
  <c r="P36" i="63"/>
  <c r="G36" i="63" s="1"/>
  <c r="G26" i="64"/>
  <c r="M27" i="64" s="1"/>
  <c r="S52" i="64"/>
  <c r="G44" i="64"/>
  <c r="M44" i="64" s="1"/>
  <c r="Q52" i="64"/>
  <c r="S52" i="65"/>
  <c r="Q4" i="65"/>
  <c r="G4" i="65" s="1"/>
  <c r="H21" i="60"/>
  <c r="U22" i="60"/>
  <c r="G31" i="63"/>
  <c r="M31" i="63" s="1"/>
  <c r="G16" i="62"/>
  <c r="S36" i="63"/>
  <c r="S18" i="63"/>
  <c r="S52" i="63" s="1"/>
  <c r="P52" i="64"/>
  <c r="M5" i="65" l="1"/>
  <c r="M17" i="62"/>
  <c r="O52" i="64"/>
  <c r="G18" i="64"/>
  <c r="M17" i="64" s="1"/>
  <c r="G43" i="65"/>
  <c r="M43" i="65" s="1"/>
  <c r="U22" i="64"/>
  <c r="H21" i="64"/>
  <c r="U23" i="60"/>
  <c r="H22" i="60"/>
  <c r="M21" i="60" s="1"/>
  <c r="G18" i="63"/>
  <c r="M17" i="63" s="1"/>
  <c r="M5" i="63"/>
  <c r="G52" i="63"/>
  <c r="M33" i="60"/>
  <c r="Q18" i="65"/>
  <c r="G18" i="65" s="1"/>
  <c r="M17" i="65" s="1"/>
  <c r="P52" i="63"/>
  <c r="M29" i="60"/>
  <c r="M52" i="63"/>
  <c r="M5" i="62"/>
  <c r="O52" i="65"/>
  <c r="M5" i="64"/>
  <c r="G52" i="64"/>
  <c r="G15" i="65"/>
  <c r="M15" i="65" s="1"/>
  <c r="G31" i="65"/>
  <c r="M31" i="65" s="1"/>
  <c r="O10" i="62" l="1"/>
  <c r="U24" i="60"/>
  <c r="H23" i="60"/>
  <c r="Q52" i="65"/>
  <c r="G52" i="65"/>
  <c r="U23" i="64"/>
  <c r="H22" i="64"/>
  <c r="M21" i="64" s="1"/>
  <c r="M52" i="65"/>
  <c r="G10" i="62" l="1"/>
  <c r="O52" i="62"/>
  <c r="H23" i="64"/>
  <c r="U24" i="64"/>
  <c r="U25" i="60"/>
  <c r="H25" i="60" s="1"/>
  <c r="H52" i="60" s="1"/>
  <c r="H24" i="60"/>
  <c r="U52" i="60" l="1"/>
  <c r="M24" i="60"/>
  <c r="M52" i="60" s="1"/>
  <c r="M10" i="62"/>
  <c r="M52" i="62" s="1"/>
  <c r="G52" i="62"/>
  <c r="U25" i="64"/>
  <c r="H24" i="64"/>
  <c r="H25" i="64" l="1"/>
  <c r="U52" i="64"/>
  <c r="H52" i="64" l="1"/>
  <c r="M24" i="64"/>
  <c r="M52" i="6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<sst xmlns="http://schemas.openxmlformats.org/spreadsheetml/2006/main" count="2776" uniqueCount="238">
  <si>
    <t>ردیف</t>
  </si>
  <si>
    <t>کد
 دستگاه</t>
  </si>
  <si>
    <t>ظرفیت نسبی
(نفر ساعت)</t>
  </si>
  <si>
    <t>شاخص سلامت</t>
  </si>
  <si>
    <t>نام اپراتور</t>
  </si>
  <si>
    <t>تحقق (کارکرد
عادی)</t>
  </si>
  <si>
    <t>مرخصی</t>
  </si>
  <si>
    <t>خرابی دستگاه</t>
  </si>
  <si>
    <t>ساعات 
تعطیل</t>
  </si>
  <si>
    <t>نبود برق</t>
  </si>
  <si>
    <t>عدم تحقق</t>
  </si>
  <si>
    <t>علت عدم تحقق
(کد)</t>
  </si>
  <si>
    <t>فراهی</t>
  </si>
  <si>
    <t>⑥</t>
  </si>
  <si>
    <t>فرز</t>
  </si>
  <si>
    <t>سالم</t>
  </si>
  <si>
    <t>خیرخواه</t>
  </si>
  <si>
    <t>موسوی</t>
  </si>
  <si>
    <t>CNC</t>
  </si>
  <si>
    <t>خراب</t>
  </si>
  <si>
    <t>قیطاسوند</t>
  </si>
  <si>
    <t>تراش</t>
  </si>
  <si>
    <t>کریم پرست</t>
  </si>
  <si>
    <t>صحرایی</t>
  </si>
  <si>
    <t>دریل رادیال</t>
  </si>
  <si>
    <t>سنگ تخت</t>
  </si>
  <si>
    <t>وایر</t>
  </si>
  <si>
    <t>صلواتی</t>
  </si>
  <si>
    <t>③</t>
  </si>
  <si>
    <t>②</t>
  </si>
  <si>
    <t>سوپر دریل</t>
  </si>
  <si>
    <r>
      <rPr>
        <sz val="11"/>
        <color theme="1"/>
        <rFont val="Yu Gothic UI Semilight"/>
        <family val="2"/>
      </rPr>
      <t>①</t>
    </r>
    <r>
      <rPr>
        <sz val="10.55"/>
        <color theme="1"/>
        <rFont val="Calibri"/>
        <family val="2"/>
      </rPr>
      <t xml:space="preserve">
</t>
    </r>
    <r>
      <rPr>
        <sz val="10.55"/>
        <color theme="1"/>
        <rFont val="Yu Gothic UI Semilight"/>
        <family val="2"/>
      </rPr>
      <t>⑥</t>
    </r>
  </si>
  <si>
    <t>سری تراش</t>
  </si>
  <si>
    <t>مونتاژ</t>
  </si>
  <si>
    <t>دمونتاژ</t>
  </si>
  <si>
    <t>تحقق (جمعه کاری)</t>
  </si>
  <si>
    <t>یاراحمدی</t>
  </si>
  <si>
    <t>②
⑥</t>
  </si>
  <si>
    <t>Date</t>
  </si>
  <si>
    <t>weeks</t>
  </si>
  <si>
    <t>①</t>
  </si>
  <si>
    <t>⑤
③</t>
  </si>
  <si>
    <t>⑥
③</t>
  </si>
  <si>
    <t>⑥
②</t>
  </si>
  <si>
    <t xml:space="preserve">②
</t>
  </si>
  <si>
    <t>زیلویی</t>
  </si>
  <si>
    <t>کاظمی</t>
  </si>
  <si>
    <t>Time of Weeks</t>
  </si>
  <si>
    <t>سام</t>
  </si>
  <si>
    <t>Total</t>
  </si>
  <si>
    <t>تست</t>
  </si>
  <si>
    <t>Performance of molding machines</t>
  </si>
  <si>
    <t>②
①</t>
  </si>
  <si>
    <t xml:space="preserve">
⑥</t>
  </si>
  <si>
    <t>هاشم زاده</t>
  </si>
  <si>
    <t>حیدری</t>
  </si>
  <si>
    <t>1405/01/08</t>
  </si>
  <si>
    <t>1405/01/09</t>
  </si>
  <si>
    <t>1405/01/10</t>
  </si>
  <si>
    <t>1405/01/11</t>
  </si>
  <si>
    <t>1405/01/12</t>
  </si>
  <si>
    <t>1405/01/13</t>
  </si>
  <si>
    <t>1405/01/14</t>
  </si>
  <si>
    <t>اره لنگ</t>
  </si>
  <si>
    <t>ایستگاه</t>
  </si>
  <si>
    <t>1405/01/15</t>
  </si>
  <si>
    <t>1405/01/16</t>
  </si>
  <si>
    <t>1405/01/17</t>
  </si>
  <si>
    <t>1405/01/18</t>
  </si>
  <si>
    <t>1405/01/19</t>
  </si>
  <si>
    <t>1405/01/20</t>
  </si>
  <si>
    <t>1405/01/21</t>
  </si>
  <si>
    <t>1405/01/22</t>
  </si>
  <si>
    <t>1405/01/23</t>
  </si>
  <si>
    <t>1405/01/24</t>
  </si>
  <si>
    <t>1405/01/25</t>
  </si>
  <si>
    <t>1405/01/26</t>
  </si>
  <si>
    <t>1405/01/27</t>
  </si>
  <si>
    <t>1405/01/28</t>
  </si>
  <si>
    <t>1405/02/01</t>
  </si>
  <si>
    <t>1405/02/02</t>
  </si>
  <si>
    <t>1405/02/03</t>
  </si>
  <si>
    <t>1405/02/04</t>
  </si>
  <si>
    <t>`</t>
  </si>
  <si>
    <t>1405/01/29</t>
  </si>
  <si>
    <t>1405/01/30</t>
  </si>
  <si>
    <t>1405/01/31</t>
  </si>
  <si>
    <t>1405/02/05</t>
  </si>
  <si>
    <t>1405/02/06</t>
  </si>
  <si>
    <t>1405/02/07</t>
  </si>
  <si>
    <t>1405/02/08</t>
  </si>
  <si>
    <t>1405/02/09</t>
  </si>
  <si>
    <t>1405/02/10</t>
  </si>
  <si>
    <t>1405/02/11</t>
  </si>
  <si>
    <t>1405/02/12</t>
  </si>
  <si>
    <t>1405/02/13</t>
  </si>
  <si>
    <t>1405/02/14</t>
  </si>
  <si>
    <t>1405/02/15</t>
  </si>
  <si>
    <t>1405/02/16</t>
  </si>
  <si>
    <t>1405/02/17</t>
  </si>
  <si>
    <t>1405/02/18</t>
  </si>
  <si>
    <t xml:space="preserve">
②</t>
  </si>
  <si>
    <t>1405/02/19</t>
  </si>
  <si>
    <t>1405/02/20</t>
  </si>
  <si>
    <t>1405/02/21</t>
  </si>
  <si>
    <t>1405/02/22</t>
  </si>
  <si>
    <t>1405/02/23</t>
  </si>
  <si>
    <t>1405/02/24</t>
  </si>
  <si>
    <t>1405/02/25</t>
  </si>
  <si>
    <t>1405/02/26</t>
  </si>
  <si>
    <t>1405/02/27</t>
  </si>
  <si>
    <t>1405/02/28</t>
  </si>
  <si>
    <t>1405/02/29</t>
  </si>
  <si>
    <t>1405/02/30</t>
  </si>
  <si>
    <t>1405/02/31</t>
  </si>
  <si>
    <t>1405/03/01</t>
  </si>
  <si>
    <t>1405/03/02</t>
  </si>
  <si>
    <t>1405/03/03</t>
  </si>
  <si>
    <t>1405/03/04</t>
  </si>
  <si>
    <t>1405/03/05</t>
  </si>
  <si>
    <t>1405/03/06</t>
  </si>
  <si>
    <t>1405/03/07</t>
  </si>
  <si>
    <t>1405/03/08</t>
  </si>
  <si>
    <t>1405/03/09</t>
  </si>
  <si>
    <t>1405/03/10</t>
  </si>
  <si>
    <t>1405/03/11</t>
  </si>
  <si>
    <t>1405/03/12</t>
  </si>
  <si>
    <t>1405/03/13</t>
  </si>
  <si>
    <t>1405/03/14</t>
  </si>
  <si>
    <t>1405/03/15</t>
  </si>
  <si>
    <t>1405/03/16</t>
  </si>
  <si>
    <t>1405/03/17</t>
  </si>
  <si>
    <t>1405/03/18</t>
  </si>
  <si>
    <t>1405/03/19</t>
  </si>
  <si>
    <t>1405/03/20</t>
  </si>
  <si>
    <t>1405/03/21</t>
  </si>
  <si>
    <t>1405/03/22</t>
  </si>
  <si>
    <t>1405/03/23</t>
  </si>
  <si>
    <t>1405/03/24</t>
  </si>
  <si>
    <t>1405/03/25</t>
  </si>
  <si>
    <t>1405/03/26</t>
  </si>
  <si>
    <t>1405/03/27</t>
  </si>
  <si>
    <t>1405/03/28</t>
  </si>
  <si>
    <t>1405/03/29</t>
  </si>
  <si>
    <t>باقری اصل</t>
  </si>
  <si>
    <t>1405/03/30</t>
  </si>
  <si>
    <t>1405/03/31</t>
  </si>
  <si>
    <t>1405/04/01</t>
  </si>
  <si>
    <t>1405/04/02</t>
  </si>
  <si>
    <t>1405/04/03</t>
  </si>
  <si>
    <t>1405/04/04</t>
  </si>
  <si>
    <t>1405/04/05</t>
  </si>
  <si>
    <t>1405/04/06</t>
  </si>
  <si>
    <t>1405/04/07</t>
  </si>
  <si>
    <t>1405/04/08</t>
  </si>
  <si>
    <t>1405/04/09</t>
  </si>
  <si>
    <t>1405/04/10</t>
  </si>
  <si>
    <t>1405/04/11</t>
  </si>
  <si>
    <t>1405/04/12</t>
  </si>
  <si>
    <t>زاهدی</t>
  </si>
  <si>
    <t>1405/04/13</t>
  </si>
  <si>
    <t>1405/04/14</t>
  </si>
  <si>
    <t>1405/04/15</t>
  </si>
  <si>
    <t>1405/04/16</t>
  </si>
  <si>
    <t>1405/04/17</t>
  </si>
  <si>
    <t>1405/04/18</t>
  </si>
  <si>
    <t>1405/04/19</t>
  </si>
  <si>
    <t>1405/04/20</t>
  </si>
  <si>
    <t>1405/04/21</t>
  </si>
  <si>
    <t>1405/04/22</t>
  </si>
  <si>
    <t>1405/04/23</t>
  </si>
  <si>
    <t>1405/04/24</t>
  </si>
  <si>
    <t>1405/04/25</t>
  </si>
  <si>
    <t>1405/04/26</t>
  </si>
  <si>
    <t>1405/04/27</t>
  </si>
  <si>
    <t>1405/04/28</t>
  </si>
  <si>
    <t>1405/04/29</t>
  </si>
  <si>
    <t>1405/04/30</t>
  </si>
  <si>
    <t>1405/04/31</t>
  </si>
  <si>
    <t>1405/05/01</t>
  </si>
  <si>
    <t xml:space="preserve">
⑥</t>
  </si>
  <si>
    <t>1405/05/02</t>
  </si>
  <si>
    <t>②
③</t>
  </si>
  <si>
    <t xml:space="preserve">⑥
</t>
  </si>
  <si>
    <t>1405/05/03</t>
  </si>
  <si>
    <t>1405/05/04</t>
  </si>
  <si>
    <t>1405/05/05</t>
  </si>
  <si>
    <t>1405/05/06</t>
  </si>
  <si>
    <t>1405/05/07</t>
  </si>
  <si>
    <t>1405/05/08</t>
  </si>
  <si>
    <t>1405/05/09</t>
  </si>
  <si>
    <t>مطهری</t>
  </si>
  <si>
    <t>1405/05/10</t>
  </si>
  <si>
    <t>1405/05/11</t>
  </si>
  <si>
    <t>1405/05/12</t>
  </si>
  <si>
    <t>1405/05/13</t>
  </si>
  <si>
    <t>1405/05/14</t>
  </si>
  <si>
    <t>1405/05/15</t>
  </si>
  <si>
    <t>1405/05/16</t>
  </si>
  <si>
    <t>مسعودی</t>
  </si>
  <si>
    <t xml:space="preserve">
</t>
  </si>
  <si>
    <t>1405/05/17</t>
  </si>
  <si>
    <t>1405/05/18</t>
  </si>
  <si>
    <t>1405/05/19</t>
  </si>
  <si>
    <t>1405/05/20</t>
  </si>
  <si>
    <t>1405/05/21</t>
  </si>
  <si>
    <t>1405/05/22</t>
  </si>
  <si>
    <t>1405/05/23</t>
  </si>
  <si>
    <t>1405/05/24</t>
  </si>
  <si>
    <t>1405/05/25</t>
  </si>
  <si>
    <t>1405/05/26</t>
  </si>
  <si>
    <t>1405/05/27</t>
  </si>
  <si>
    <t>1405/05/28</t>
  </si>
  <si>
    <t>1405/05/29</t>
  </si>
  <si>
    <t>1405/05/30</t>
  </si>
  <si>
    <t>Time of Leave Duration</t>
  </si>
  <si>
    <t>1405/05/31</t>
  </si>
  <si>
    <t>1405/06/01</t>
  </si>
  <si>
    <t>1405/06/02</t>
  </si>
  <si>
    <t>1405/06/03</t>
  </si>
  <si>
    <t>1405/06/04</t>
  </si>
  <si>
    <t>1405/06/05</t>
  </si>
  <si>
    <t>1405/06/06</t>
  </si>
  <si>
    <t>1405/06/07</t>
  </si>
  <si>
    <t>1405/06/08</t>
  </si>
  <si>
    <t>1405/06/09</t>
  </si>
  <si>
    <t>1405/06/10</t>
  </si>
  <si>
    <t>1405/06/11</t>
  </si>
  <si>
    <t>1405/06/12</t>
  </si>
  <si>
    <t>1405/06/13</t>
  </si>
  <si>
    <t>آذرمنش</t>
  </si>
  <si>
    <t>1405/06/14</t>
  </si>
  <si>
    <t>1405/06/15</t>
  </si>
  <si>
    <t>1405/06/16</t>
  </si>
  <si>
    <t>1405/06/17</t>
  </si>
  <si>
    <t>1405/06/18</t>
  </si>
  <si>
    <t>1405/06/19</t>
  </si>
  <si>
    <t>1405/06/20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</si>
</sst>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Yu Gothic UI Semilight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.55"/>
      <color theme="1"/>
      <name val="Calibri"/>
      <family val="2"/>
    </font>
    <font>
      <sz val="10.55"/>
      <color theme="1"/>
      <name val="Yu Gothic UI Semilight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Arabic Typesetting"/>
      <family val="4"/>
    </font>
    <font>
      <b/>
      <sz val="8"/>
      <color rgb="FFFF0000"/>
      <name val="Arial"/>
      <family val="2"/>
    </font>
    <font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22"/>
      <color theme="1"/>
      <name val="Baskerville Old Face"/>
      <family val="1"/>
    </font>
    <font>
      <sz val="12"/>
      <color theme="1"/>
      <name val="B Nazanin"/>
      <charset val="178"/>
    </font>
    <font>
      <b/>
      <sz val="22"/>
      <name val="Angsana New"/>
      <family val="1"/>
    </font>
    <font>
      <b/>
      <sz val="8"/>
      <name val="Arial"/>
      <family val="2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6">
    <xf numFmtId="0" fontId="0" fillId="0" borderId="0" xfId="0"/>
    <xf numFmtId="3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vertical="center"/>
    </xf>
    <xf numFmtId="3" fontId="0" fillId="0" borderId="11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Continuous" vertical="center"/>
    </xf>
    <xf numFmtId="3" fontId="0" fillId="0" borderId="9" xfId="0" applyNumberFormat="1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 readingOrder="2"/>
    </xf>
    <xf numFmtId="0" fontId="6" fillId="0" borderId="2" xfId="0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 wrapText="1" readingOrder="2"/>
    </xf>
    <xf numFmtId="3" fontId="7" fillId="0" borderId="3" xfId="0" applyNumberFormat="1" applyFont="1" applyBorder="1" applyAlignment="1">
      <alignment horizontal="center" vertical="center" wrapText="1" readingOrder="2"/>
    </xf>
    <xf numFmtId="0" fontId="10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3" fontId="0" fillId="0" borderId="12" xfId="0" applyNumberForma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3" fontId="0" fillId="0" borderId="12" xfId="0" applyNumberFormat="1" applyBorder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3" fontId="5" fillId="0" borderId="17" xfId="0" applyNumberFormat="1" applyFont="1" applyBorder="1" applyAlignment="1">
      <alignment horizontal="center" vertical="center" readingOrder="2"/>
    </xf>
    <xf numFmtId="3" fontId="5" fillId="0" borderId="18" xfId="0" applyNumberFormat="1" applyFont="1" applyBorder="1" applyAlignment="1">
      <alignment horizontal="center" vertical="center" readingOrder="2"/>
    </xf>
    <xf numFmtId="0" fontId="4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3" fontId="4" fillId="2" borderId="12" xfId="0" applyNumberFormat="1" applyFont="1" applyFill="1" applyBorder="1" applyAlignment="1">
      <alignment horizontal="center" vertical="center" wrapText="1"/>
    </xf>
    <xf numFmtId="3" fontId="4" fillId="2" borderId="13" xfId="0" applyNumberFormat="1" applyFont="1" applyFill="1" applyBorder="1" applyAlignment="1">
      <alignment horizontal="center" vertical="center" wrapText="1" readingOrder="2"/>
    </xf>
    <xf numFmtId="0" fontId="0" fillId="0" borderId="11" xfId="0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2" borderId="28" xfId="0" applyFill="1" applyBorder="1" applyAlignment="1">
      <alignment horizontal="center" vertical="center" textRotation="90"/>
    </xf>
    <xf numFmtId="0" fontId="0" fillId="0" borderId="21" xfId="0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1" fillId="2" borderId="12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6" fillId="0" borderId="0" xfId="0" applyFont="1"/>
    <xf numFmtId="3" fontId="4" fillId="2" borderId="12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3" fontId="5" fillId="0" borderId="39" xfId="0" applyNumberFormat="1" applyFont="1" applyBorder="1" applyAlignment="1">
      <alignment horizontal="center" vertical="center" readingOrder="2"/>
    </xf>
    <xf numFmtId="0" fontId="6" fillId="0" borderId="14" xfId="0" applyFont="1" applyBorder="1" applyAlignment="1">
      <alignment horizontal="center" vertical="center" wrapText="1"/>
    </xf>
    <xf numFmtId="3" fontId="5" fillId="0" borderId="40" xfId="0" applyNumberFormat="1" applyFont="1" applyBorder="1" applyAlignment="1">
      <alignment horizontal="center" vertical="center" readingOrder="2"/>
    </xf>
    <xf numFmtId="3" fontId="0" fillId="0" borderId="42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/>
    </xf>
    <xf numFmtId="3" fontId="0" fillId="0" borderId="3" xfId="0" applyNumberFormat="1" applyBorder="1" applyAlignment="1">
      <alignment horizontal="center" vertical="center" wrapText="1" readingOrder="2"/>
    </xf>
    <xf numFmtId="3" fontId="5" fillId="0" borderId="46" xfId="0" applyNumberFormat="1" applyFont="1" applyBorder="1" applyAlignment="1">
      <alignment horizontal="center" vertical="center" readingOrder="2"/>
    </xf>
    <xf numFmtId="3" fontId="1" fillId="0" borderId="12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3" fontId="0" fillId="0" borderId="5" xfId="0" applyNumberForma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3" fontId="0" fillId="0" borderId="5" xfId="0" applyNumberFormat="1" applyBorder="1" applyAlignment="1">
      <alignment horizontal="centerContinuous" vertical="center"/>
    </xf>
    <xf numFmtId="3" fontId="0" fillId="0" borderId="45" xfId="0" applyNumberForma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center" vertical="center" wrapText="1" readingOrder="2"/>
    </xf>
    <xf numFmtId="0" fontId="6" fillId="2" borderId="11" xfId="0" applyFont="1" applyFill="1" applyBorder="1" applyAlignment="1">
      <alignment horizontal="center" vertical="center"/>
    </xf>
    <xf numFmtId="3" fontId="0" fillId="2" borderId="11" xfId="0" applyNumberForma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3" fontId="0" fillId="0" borderId="11" xfId="0" applyNumberFormat="1" applyFill="1" applyBorder="1" applyAlignment="1">
      <alignment horizontal="center" vertical="center"/>
    </xf>
    <xf numFmtId="3" fontId="1" fillId="0" borderId="11" xfId="0" applyNumberFormat="1" applyFont="1" applyFill="1" applyBorder="1" applyAlignment="1">
      <alignment horizontal="center" vertical="center"/>
    </xf>
    <xf numFmtId="3" fontId="0" fillId="0" borderId="12" xfId="0" applyNumberFormat="1" applyFill="1" applyBorder="1" applyAlignment="1">
      <alignment horizontal="center"/>
    </xf>
    <xf numFmtId="0" fontId="0" fillId="0" borderId="19" xfId="0" applyBorder="1" applyAlignment="1">
      <alignment vertical="center"/>
    </xf>
    <xf numFmtId="3" fontId="0" fillId="0" borderId="5" xfId="0" applyNumberForma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3" fontId="1" fillId="0" borderId="4" xfId="0" applyNumberFormat="1" applyFont="1" applyFill="1" applyBorder="1" applyAlignment="1">
      <alignment horizontal="center" vertical="center"/>
    </xf>
    <xf numFmtId="3" fontId="0" fillId="0" borderId="4" xfId="0" applyNumberFormat="1" applyFill="1" applyBorder="1" applyAlignment="1">
      <alignment horizontal="center" vertical="center"/>
    </xf>
    <xf numFmtId="3" fontId="0" fillId="0" borderId="5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4" xfId="0" applyNumberFormat="1" applyFont="1" applyFill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14" xfId="0" applyNumberFormat="1" applyFont="1" applyFill="1" applyBorder="1" applyAlignment="1">
      <alignment horizontal="center" vertical="center"/>
    </xf>
    <xf numFmtId="2" fontId="1" fillId="0" borderId="12" xfId="0" applyNumberFormat="1" applyFont="1" applyFill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2" fontId="1" fillId="0" borderId="46" xfId="0" applyNumberFormat="1" applyFont="1" applyBorder="1" applyAlignment="1">
      <alignment horizontal="center" vertical="center"/>
    </xf>
    <xf numFmtId="2" fontId="1" fillId="0" borderId="18" xfId="0" applyNumberFormat="1" applyFont="1" applyBorder="1" applyAlignment="1">
      <alignment horizontal="center" vertical="center"/>
    </xf>
    <xf numFmtId="2" fontId="1" fillId="0" borderId="39" xfId="0" applyNumberFormat="1" applyFont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0" xfId="0" applyNumberFormat="1" applyFont="1" applyBorder="1" applyAlignment="1">
      <alignment horizontal="center" vertical="center"/>
    </xf>
    <xf numFmtId="2" fontId="1" fillId="0" borderId="40" xfId="0" applyNumberFormat="1" applyFont="1" applyFill="1" applyBorder="1" applyAlignment="1">
      <alignment horizontal="center" vertical="center"/>
    </xf>
    <xf numFmtId="2" fontId="1" fillId="2" borderId="39" xfId="0" applyNumberFormat="1" applyFont="1" applyFill="1" applyBorder="1" applyAlignment="1">
      <alignment horizontal="center" vertical="center"/>
    </xf>
    <xf numFmtId="2" fontId="1" fillId="2" borderId="40" xfId="0" applyNumberFormat="1" applyFont="1" applyFill="1" applyBorder="1" applyAlignment="1">
      <alignment horizontal="center" vertical="center"/>
    </xf>
    <xf numFmtId="2" fontId="1" fillId="0" borderId="13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 textRotation="180" wrapText="1"/>
    </xf>
    <xf numFmtId="2" fontId="1" fillId="0" borderId="6" xfId="0" applyNumberFormat="1" applyFont="1" applyBorder="1" applyAlignment="1">
      <alignment horizontal="center" vertical="center"/>
    </xf>
    <xf numFmtId="2" fontId="1" fillId="0" borderId="18" xfId="0" applyNumberFormat="1" applyFont="1" applyFill="1" applyBorder="1" applyAlignment="1">
      <alignment horizontal="center" vertical="center"/>
    </xf>
    <xf numFmtId="2" fontId="16" fillId="0" borderId="13" xfId="0" applyNumberFormat="1" applyFont="1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3" fontId="0" fillId="0" borderId="8" xfId="0" applyNumberFormat="1" applyFill="1" applyBorder="1" applyAlignment="1">
      <alignment horizontal="center" vertical="center"/>
    </xf>
    <xf numFmtId="3" fontId="0" fillId="0" borderId="9" xfId="0" applyNumberFormat="1" applyFill="1" applyBorder="1" applyAlignment="1">
      <alignment horizontal="center" vertical="center"/>
    </xf>
    <xf numFmtId="3" fontId="0" fillId="0" borderId="9" xfId="0" applyNumberFormat="1" applyFill="1" applyBorder="1" applyAlignment="1">
      <alignment vertical="center"/>
    </xf>
    <xf numFmtId="2" fontId="1" fillId="0" borderId="17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3" fontId="1" fillId="0" borderId="9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 wrapText="1"/>
    </xf>
    <xf numFmtId="3" fontId="11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textRotation="90"/>
    </xf>
    <xf numFmtId="0" fontId="4" fillId="2" borderId="24" xfId="0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3" fontId="0" fillId="2" borderId="12" xfId="0" applyNumberFormat="1" applyFill="1" applyBorder="1" applyAlignment="1">
      <alignment horizontal="center" vertical="center"/>
    </xf>
    <xf numFmtId="3" fontId="5" fillId="2" borderId="13" xfId="0" applyNumberFormat="1" applyFont="1" applyFill="1" applyBorder="1" applyAlignment="1">
      <alignment horizontal="center" vertical="center" wrapText="1" readingOrder="2"/>
    </xf>
    <xf numFmtId="0" fontId="0" fillId="0" borderId="37" xfId="0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2" fontId="1" fillId="0" borderId="11" xfId="0" applyNumberFormat="1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3" fontId="10" fillId="3" borderId="2" xfId="0" applyNumberFormat="1" applyFont="1" applyFill="1" applyBorder="1" applyAlignment="1">
      <alignment horizontal="center" vertical="center"/>
    </xf>
    <xf numFmtId="2" fontId="15" fillId="3" borderId="10" xfId="0" applyNumberFormat="1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vertical="center"/>
    </xf>
    <xf numFmtId="0" fontId="3" fillId="3" borderId="41" xfId="0" applyFont="1" applyFill="1" applyBorder="1" applyAlignment="1">
      <alignment vertical="center"/>
    </xf>
    <xf numFmtId="3" fontId="0" fillId="0" borderId="42" xfId="0" applyNumberFormat="1" applyFill="1" applyBorder="1" applyAlignment="1">
      <alignment horizontal="center" vertical="center"/>
    </xf>
    <xf numFmtId="3" fontId="0" fillId="0" borderId="9" xfId="0" applyNumberFormat="1" applyFill="1" applyBorder="1" applyAlignment="1">
      <alignment horizontal="center"/>
    </xf>
    <xf numFmtId="2" fontId="1" fillId="2" borderId="17" xfId="0" applyNumberFormat="1" applyFont="1" applyFill="1" applyBorder="1" applyAlignment="1">
      <alignment horizontal="center" vertical="center"/>
    </xf>
    <xf numFmtId="2" fontId="1" fillId="0" borderId="3" xfId="0" applyNumberFormat="1" applyFont="1" applyFill="1" applyBorder="1" applyAlignment="1">
      <alignment horizontal="center" vertical="center"/>
    </xf>
    <xf numFmtId="2" fontId="1" fillId="2" borderId="18" xfId="0" applyNumberFormat="1" applyFont="1" applyFill="1" applyBorder="1" applyAlignment="1">
      <alignment horizontal="center" vertical="center"/>
    </xf>
    <xf numFmtId="3" fontId="20" fillId="2" borderId="20" xfId="0" applyNumberFormat="1" applyFont="1" applyFill="1" applyBorder="1" applyAlignment="1">
      <alignment horizontal="center" vertical="center" textRotation="180" wrapText="1"/>
    </xf>
    <xf numFmtId="2" fontId="1" fillId="0" borderId="47" xfId="0" applyNumberFormat="1" applyFont="1" applyBorder="1" applyAlignment="1">
      <alignment horizontal="center" vertical="center"/>
    </xf>
    <xf numFmtId="2" fontId="1" fillId="0" borderId="49" xfId="0" applyNumberFormat="1" applyFont="1" applyBorder="1" applyAlignment="1">
      <alignment horizontal="center" vertical="center"/>
    </xf>
    <xf numFmtId="2" fontId="1" fillId="0" borderId="44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47" xfId="0" applyNumberFormat="1" applyFont="1" applyFill="1" applyBorder="1" applyAlignment="1">
      <alignment horizontal="center" vertical="center"/>
    </xf>
    <xf numFmtId="2" fontId="1" fillId="0" borderId="50" xfId="0" applyNumberFormat="1" applyFont="1" applyBorder="1" applyAlignment="1">
      <alignment horizontal="center" vertical="center"/>
    </xf>
    <xf numFmtId="2" fontId="6" fillId="0" borderId="47" xfId="0" applyNumberFormat="1" applyFont="1" applyBorder="1" applyAlignment="1">
      <alignment horizontal="center" vertical="center"/>
    </xf>
    <xf numFmtId="2" fontId="6" fillId="0" borderId="49" xfId="0" applyNumberFormat="1" applyFont="1" applyBorder="1" applyAlignment="1">
      <alignment horizontal="center" vertical="center"/>
    </xf>
    <xf numFmtId="2" fontId="6" fillId="0" borderId="44" xfId="0" applyNumberFormat="1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2" fontId="6" fillId="0" borderId="17" xfId="0" applyNumberFormat="1" applyFont="1" applyBorder="1" applyAlignment="1">
      <alignment horizontal="center" vertical="center"/>
    </xf>
    <xf numFmtId="2" fontId="6" fillId="0" borderId="50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2" fontId="6" fillId="0" borderId="5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2" fontId="6" fillId="0" borderId="14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2" fontId="6" fillId="0" borderId="20" xfId="0" applyNumberFormat="1" applyFont="1" applyFill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2" fontId="6" fillId="0" borderId="2" xfId="0" applyNumberFormat="1" applyFont="1" applyFill="1" applyBorder="1" applyAlignment="1">
      <alignment horizontal="center" vertical="center"/>
    </xf>
    <xf numFmtId="2" fontId="6" fillId="0" borderId="3" xfId="0" applyNumberFormat="1" applyFont="1" applyFill="1" applyBorder="1" applyAlignment="1">
      <alignment horizontal="center" vertical="center"/>
    </xf>
    <xf numFmtId="2" fontId="6" fillId="0" borderId="37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2" fontId="6" fillId="0" borderId="12" xfId="0" applyNumberFormat="1" applyFont="1" applyFill="1" applyBorder="1" applyAlignment="1">
      <alignment horizontal="center" vertical="center"/>
    </xf>
    <xf numFmtId="2" fontId="6" fillId="0" borderId="47" xfId="0" applyNumberFormat="1" applyFont="1" applyFill="1" applyBorder="1" applyAlignment="1">
      <alignment horizontal="center" vertical="center"/>
    </xf>
    <xf numFmtId="2" fontId="6" fillId="0" borderId="11" xfId="0" applyNumberFormat="1" applyFont="1" applyFill="1" applyBorder="1" applyAlignment="1">
      <alignment horizontal="center" vertical="center"/>
    </xf>
    <xf numFmtId="2" fontId="6" fillId="0" borderId="17" xfId="0" applyNumberFormat="1" applyFont="1" applyFill="1" applyBorder="1" applyAlignment="1">
      <alignment horizontal="center" vertical="center"/>
    </xf>
    <xf numFmtId="2" fontId="6" fillId="0" borderId="44" xfId="0" applyNumberFormat="1" applyFont="1" applyFill="1" applyBorder="1" applyAlignment="1">
      <alignment horizontal="center" vertical="center"/>
    </xf>
    <xf numFmtId="2" fontId="6" fillId="0" borderId="14" xfId="0" applyNumberFormat="1" applyFont="1" applyFill="1" applyBorder="1" applyAlignment="1">
      <alignment horizontal="center" vertical="center"/>
    </xf>
    <xf numFmtId="2" fontId="6" fillId="2" borderId="47" xfId="0" applyNumberFormat="1" applyFont="1" applyFill="1" applyBorder="1" applyAlignment="1">
      <alignment horizontal="center" vertical="center"/>
    </xf>
    <xf numFmtId="2" fontId="6" fillId="2" borderId="11" xfId="0" applyNumberFormat="1" applyFont="1" applyFill="1" applyBorder="1" applyAlignment="1">
      <alignment horizontal="center" vertical="center"/>
    </xf>
    <xf numFmtId="2" fontId="6" fillId="2" borderId="14" xfId="0" applyNumberFormat="1" applyFont="1" applyFill="1" applyBorder="1" applyAlignment="1">
      <alignment horizontal="center" vertical="center"/>
    </xf>
    <xf numFmtId="2" fontId="12" fillId="0" borderId="20" xfId="0" applyNumberFormat="1" applyFont="1" applyFill="1" applyBorder="1" applyAlignment="1">
      <alignment horizontal="center" vertical="center"/>
    </xf>
    <xf numFmtId="2" fontId="12" fillId="0" borderId="12" xfId="0" applyNumberFormat="1" applyFont="1" applyFill="1" applyBorder="1" applyAlignment="1">
      <alignment horizontal="center" vertical="center"/>
    </xf>
    <xf numFmtId="2" fontId="21" fillId="3" borderId="19" xfId="0" applyNumberFormat="1" applyFont="1" applyFill="1" applyBorder="1" applyAlignment="1">
      <alignment horizontal="center" vertical="center"/>
    </xf>
    <xf numFmtId="2" fontId="21" fillId="3" borderId="9" xfId="0" applyNumberFormat="1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2" fontId="6" fillId="2" borderId="37" xfId="0" applyNumberFormat="1" applyFont="1" applyFill="1" applyBorder="1" applyAlignment="1">
      <alignment horizontal="center" vertical="center"/>
    </xf>
    <xf numFmtId="2" fontId="6" fillId="2" borderId="5" xfId="0" applyNumberFormat="1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2" fontId="6" fillId="2" borderId="56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3" fontId="0" fillId="0" borderId="63" xfId="0" applyNumberFormat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3" fontId="0" fillId="0" borderId="2" xfId="0" applyNumberForma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 wrapText="1" readingOrder="2"/>
    </xf>
    <xf numFmtId="3" fontId="0" fillId="0" borderId="6" xfId="0" applyNumberForma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wrapText="1" readingOrder="2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 wrapText="1" readingOrder="2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 wrapText="1" readingOrder="2"/>
    </xf>
    <xf numFmtId="0" fontId="0" fillId="2" borderId="1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 wrapText="1" readingOrder="2"/>
    </xf>
    <xf numFmtId="3" fontId="0" fillId="0" borderId="6" xfId="0" applyNumberForma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wrapText="1" readingOrder="2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 readingOrder="2"/>
    </xf>
    <xf numFmtId="0" fontId="0" fillId="0" borderId="23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 wrapText="1" readingOrder="2"/>
    </xf>
    <xf numFmtId="3" fontId="7" fillId="0" borderId="6" xfId="0" applyNumberFormat="1" applyFont="1" applyBorder="1" applyAlignment="1">
      <alignment horizontal="center" vertical="center" wrapText="1" readingOrder="2"/>
    </xf>
    <xf numFmtId="0" fontId="0" fillId="2" borderId="1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center" wrapText="1" readingOrder="2"/>
    </xf>
    <xf numFmtId="2" fontId="6" fillId="0" borderId="37" xfId="0" applyNumberFormat="1" applyFont="1" applyFill="1" applyBorder="1" applyAlignment="1">
      <alignment horizontal="center" vertical="center"/>
    </xf>
    <xf numFmtId="2" fontId="6" fillId="0" borderId="5" xfId="0" applyNumberFormat="1" applyFont="1" applyFill="1" applyBorder="1" applyAlignment="1">
      <alignment horizontal="center" vertical="center"/>
    </xf>
    <xf numFmtId="2" fontId="6" fillId="0" borderId="50" xfId="0" applyNumberFormat="1" applyFont="1" applyFill="1" applyBorder="1" applyAlignment="1">
      <alignment horizontal="center" vertical="center"/>
    </xf>
    <xf numFmtId="2" fontId="6" fillId="0" borderId="8" xfId="0" applyNumberFormat="1" applyFont="1" applyFill="1" applyBorder="1" applyAlignment="1">
      <alignment horizontal="center" vertical="center"/>
    </xf>
    <xf numFmtId="2" fontId="12" fillId="0" borderId="2" xfId="0" applyNumberFormat="1" applyFont="1" applyFill="1" applyBorder="1" applyAlignment="1">
      <alignment horizontal="center" vertical="center"/>
    </xf>
    <xf numFmtId="2" fontId="1" fillId="0" borderId="6" xfId="0" applyNumberFormat="1" applyFont="1" applyFill="1" applyBorder="1" applyAlignment="1">
      <alignment horizontal="center" vertical="center"/>
    </xf>
    <xf numFmtId="2" fontId="12" fillId="0" borderId="37" xfId="0" applyNumberFormat="1" applyFont="1" applyFill="1" applyBorder="1" applyAlignment="1">
      <alignment horizontal="center" vertical="center"/>
    </xf>
    <xf numFmtId="2" fontId="12" fillId="0" borderId="5" xfId="0" applyNumberFormat="1" applyFont="1" applyFill="1" applyBorder="1" applyAlignment="1">
      <alignment horizontal="center" vertical="center"/>
    </xf>
    <xf numFmtId="2" fontId="16" fillId="0" borderId="5" xfId="0" applyNumberFormat="1" applyFont="1" applyFill="1" applyBorder="1" applyAlignment="1">
      <alignment horizontal="center" vertical="center"/>
    </xf>
    <xf numFmtId="2" fontId="16" fillId="0" borderId="6" xfId="0" applyNumberFormat="1" applyFont="1" applyFill="1" applyBorder="1" applyAlignment="1">
      <alignment horizontal="center" vertical="center"/>
    </xf>
    <xf numFmtId="2" fontId="6" fillId="2" borderId="8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/>
    </xf>
    <xf numFmtId="2" fontId="6" fillId="2" borderId="19" xfId="0" applyNumberFormat="1" applyFont="1" applyFill="1" applyBorder="1" applyAlignment="1">
      <alignment horizontal="center" vertical="center"/>
    </xf>
    <xf numFmtId="2" fontId="16" fillId="0" borderId="3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50" xfId="0" applyNumberFormat="1" applyFont="1" applyFill="1" applyBorder="1" applyAlignment="1">
      <alignment horizontal="center" vertical="center"/>
    </xf>
    <xf numFmtId="3" fontId="20" fillId="2" borderId="22" xfId="0" applyNumberFormat="1" applyFont="1" applyFill="1" applyBorder="1" applyAlignment="1">
      <alignment horizontal="center" vertical="center" textRotation="180" wrapText="1"/>
    </xf>
    <xf numFmtId="2" fontId="6" fillId="0" borderId="15" xfId="0" applyNumberFormat="1" applyFont="1" applyBorder="1" applyAlignment="1">
      <alignment horizontal="center" vertical="center"/>
    </xf>
    <xf numFmtId="2" fontId="6" fillId="0" borderId="23" xfId="0" applyNumberFormat="1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/>
    </xf>
    <xf numFmtId="2" fontId="6" fillId="0" borderId="24" xfId="0" applyNumberFormat="1" applyFont="1" applyBorder="1" applyAlignment="1">
      <alignment horizontal="center" vertical="center"/>
    </xf>
    <xf numFmtId="2" fontId="6" fillId="2" borderId="36" xfId="0" applyNumberFormat="1" applyFont="1" applyFill="1" applyBorder="1" applyAlignment="1">
      <alignment horizontal="center" vertical="center"/>
    </xf>
    <xf numFmtId="2" fontId="6" fillId="0" borderId="24" xfId="0" applyNumberFormat="1" applyFont="1" applyFill="1" applyBorder="1" applyAlignment="1">
      <alignment horizontal="center" vertical="center"/>
    </xf>
    <xf numFmtId="2" fontId="6" fillId="0" borderId="15" xfId="0" applyNumberFormat="1" applyFont="1" applyFill="1" applyBorder="1" applyAlignment="1">
      <alignment horizontal="center" vertical="center"/>
    </xf>
    <xf numFmtId="2" fontId="6" fillId="0" borderId="16" xfId="0" applyNumberFormat="1" applyFont="1" applyFill="1" applyBorder="1" applyAlignment="1">
      <alignment horizontal="center" vertical="center"/>
    </xf>
    <xf numFmtId="2" fontId="6" fillId="2" borderId="15" xfId="0" applyNumberFormat="1" applyFont="1" applyFill="1" applyBorder="1" applyAlignment="1">
      <alignment horizontal="center" vertical="center"/>
    </xf>
    <xf numFmtId="2" fontId="6" fillId="2" borderId="16" xfId="0" applyNumberFormat="1" applyFont="1" applyFill="1" applyBorder="1" applyAlignment="1">
      <alignment horizontal="center" vertical="center"/>
    </xf>
    <xf numFmtId="2" fontId="21" fillId="3" borderId="26" xfId="0" applyNumberFormat="1" applyFont="1" applyFill="1" applyBorder="1" applyAlignment="1">
      <alignment horizontal="center" vertical="center"/>
    </xf>
    <xf numFmtId="0" fontId="18" fillId="3" borderId="43" xfId="0" applyFont="1" applyFill="1" applyBorder="1" applyAlignment="1">
      <alignment horizontal="right" vertical="center"/>
    </xf>
    <xf numFmtId="0" fontId="18" fillId="3" borderId="62" xfId="0" applyFont="1" applyFill="1" applyBorder="1" applyAlignment="1">
      <alignment horizontal="right" vertical="center"/>
    </xf>
    <xf numFmtId="3" fontId="8" fillId="0" borderId="6" xfId="0" applyNumberFormat="1" applyFont="1" applyFill="1" applyBorder="1" applyAlignment="1">
      <alignment horizontal="center" vertical="center" wrapText="1" readingOrder="2"/>
    </xf>
    <xf numFmtId="3" fontId="6" fillId="3" borderId="3" xfId="0" applyNumberFormat="1" applyFont="1" applyFill="1" applyBorder="1" applyAlignment="1">
      <alignment horizontal="center" vertical="center" readingOrder="2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 wrapText="1" readingOrder="2"/>
    </xf>
    <xf numFmtId="3" fontId="5" fillId="0" borderId="6" xfId="0" applyNumberFormat="1" applyFont="1" applyFill="1" applyBorder="1" applyAlignment="1">
      <alignment horizontal="center" vertical="center" wrapText="1" readingOrder="2"/>
    </xf>
    <xf numFmtId="3" fontId="8" fillId="0" borderId="3" xfId="0" applyNumberFormat="1" applyFont="1" applyFill="1" applyBorder="1" applyAlignment="1">
      <alignment horizontal="center" vertical="center" wrapText="1" readingOrder="2"/>
    </xf>
    <xf numFmtId="3" fontId="0" fillId="0" borderId="48" xfId="0" applyNumberFormat="1" applyFill="1" applyBorder="1" applyAlignment="1">
      <alignment horizontal="center" vertical="center"/>
    </xf>
    <xf numFmtId="2" fontId="6" fillId="0" borderId="56" xfId="0" applyNumberFormat="1" applyFont="1" applyFill="1" applyBorder="1" applyAlignment="1">
      <alignment horizontal="center" vertical="center"/>
    </xf>
    <xf numFmtId="2" fontId="6" fillId="0" borderId="4" xfId="0" applyNumberFormat="1" applyFont="1" applyFill="1" applyBorder="1" applyAlignment="1">
      <alignment horizontal="center" vertical="center"/>
    </xf>
    <xf numFmtId="2" fontId="1" fillId="0" borderId="39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3" fontId="0" fillId="0" borderId="38" xfId="0" applyNumberFormat="1" applyBorder="1" applyAlignment="1">
      <alignment horizontal="center" vertical="center"/>
    </xf>
    <xf numFmtId="0" fontId="6" fillId="2" borderId="9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 wrapText="1" readingOrder="2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 wrapText="1" readingOrder="2"/>
    </xf>
    <xf numFmtId="3" fontId="0" fillId="0" borderId="6" xfId="0" applyNumberForma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wrapText="1" readingOrder="2"/>
    </xf>
    <xf numFmtId="0" fontId="0" fillId="0" borderId="5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 wrapText="1" readingOrder="2"/>
    </xf>
    <xf numFmtId="0" fontId="0" fillId="0" borderId="37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6" fillId="0" borderId="25" xfId="0" applyNumberFormat="1" applyFont="1" applyBorder="1" applyAlignment="1">
      <alignment horizontal="center" vertical="center"/>
    </xf>
    <xf numFmtId="2" fontId="6" fillId="0" borderId="26" xfId="0" applyNumberFormat="1" applyFont="1" applyBorder="1" applyAlignment="1">
      <alignment horizontal="center" vertical="center"/>
    </xf>
    <xf numFmtId="2" fontId="6" fillId="0" borderId="22" xfId="0" applyNumberFormat="1" applyFont="1" applyBorder="1" applyAlignment="1">
      <alignment horizontal="center" vertical="center"/>
    </xf>
    <xf numFmtId="2" fontId="6" fillId="0" borderId="26" xfId="0" applyNumberFormat="1" applyFont="1" applyFill="1" applyBorder="1" applyAlignment="1">
      <alignment horizontal="center" vertical="center"/>
    </xf>
    <xf numFmtId="2" fontId="6" fillId="0" borderId="27" xfId="0" applyNumberFormat="1" applyFont="1" applyBorder="1" applyAlignment="1">
      <alignment horizontal="center" vertical="center"/>
    </xf>
    <xf numFmtId="2" fontId="6" fillId="0" borderId="64" xfId="0" applyNumberFormat="1" applyFont="1" applyBorder="1" applyAlignment="1">
      <alignment horizontal="center" vertical="center"/>
    </xf>
    <xf numFmtId="2" fontId="1" fillId="0" borderId="30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6" fillId="0" borderId="68" xfId="0" applyNumberFormat="1" applyFont="1" applyFill="1" applyBorder="1" applyAlignment="1">
      <alignment horizontal="center" vertical="center"/>
    </xf>
    <xf numFmtId="2" fontId="6" fillId="0" borderId="65" xfId="0" applyNumberFormat="1" applyFont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 wrapText="1" readingOrder="2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 wrapText="1" readingOrder="2"/>
    </xf>
    <xf numFmtId="3" fontId="0" fillId="0" borderId="6" xfId="0" applyNumberForma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wrapText="1" readingOrder="2"/>
    </xf>
    <xf numFmtId="0" fontId="0" fillId="0" borderId="5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 wrapText="1" readingOrder="2"/>
    </xf>
    <xf numFmtId="0" fontId="0" fillId="0" borderId="37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6" fillId="2" borderId="27" xfId="0" applyNumberFormat="1" applyFont="1" applyFill="1" applyBorder="1" applyAlignment="1">
      <alignment horizontal="center" vertical="center"/>
    </xf>
    <xf numFmtId="2" fontId="6" fillId="2" borderId="25" xfId="0" applyNumberFormat="1" applyFont="1" applyFill="1" applyBorder="1" applyAlignment="1">
      <alignment horizontal="center" vertical="center"/>
    </xf>
    <xf numFmtId="3" fontId="14" fillId="2" borderId="22" xfId="0" applyNumberFormat="1" applyFont="1" applyFill="1" applyBorder="1" applyAlignment="1">
      <alignment horizontal="center" vertical="center" textRotation="180" wrapText="1"/>
    </xf>
    <xf numFmtId="2" fontId="1" fillId="0" borderId="15" xfId="0" applyNumberFormat="1" applyFont="1" applyBorder="1" applyAlignment="1">
      <alignment horizontal="center" vertical="center"/>
    </xf>
    <xf numFmtId="2" fontId="1" fillId="0" borderId="22" xfId="0" applyNumberFormat="1" applyFont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 wrapText="1" readingOrder="2"/>
    </xf>
    <xf numFmtId="3" fontId="0" fillId="0" borderId="6" xfId="0" applyNumberForma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 wrapText="1" readingOrder="2"/>
    </xf>
    <xf numFmtId="2" fontId="6" fillId="0" borderId="13" xfId="0" applyNumberFormat="1" applyFont="1" applyFill="1" applyBorder="1" applyAlignment="1">
      <alignment horizontal="center" vertical="center"/>
    </xf>
    <xf numFmtId="2" fontId="6" fillId="0" borderId="46" xfId="0" applyNumberFormat="1" applyFont="1" applyBorder="1" applyAlignment="1">
      <alignment horizontal="center" vertical="center"/>
    </xf>
    <xf numFmtId="2" fontId="6" fillId="0" borderId="19" xfId="0" applyNumberFormat="1" applyFont="1" applyFill="1" applyBorder="1" applyAlignment="1">
      <alignment horizontal="center" vertical="center"/>
    </xf>
    <xf numFmtId="2" fontId="1" fillId="0" borderId="62" xfId="0" applyNumberFormat="1" applyFont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 wrapText="1" readingOrder="2"/>
    </xf>
    <xf numFmtId="3" fontId="0" fillId="0" borderId="6" xfId="0" applyNumberForma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wrapText="1" readingOrder="2"/>
    </xf>
    <xf numFmtId="0" fontId="0" fillId="0" borderId="5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 wrapText="1" readingOrder="2"/>
    </xf>
    <xf numFmtId="0" fontId="0" fillId="0" borderId="37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1" fillId="0" borderId="64" xfId="0" applyNumberFormat="1" applyFont="1" applyBorder="1" applyAlignment="1">
      <alignment horizontal="center" vertical="center"/>
    </xf>
    <xf numFmtId="2" fontId="1" fillId="0" borderId="26" xfId="0" applyNumberFormat="1" applyFont="1" applyBorder="1" applyAlignment="1">
      <alignment horizontal="center" vertical="center"/>
    </xf>
    <xf numFmtId="2" fontId="1" fillId="0" borderId="24" xfId="0" applyNumberFormat="1" applyFont="1" applyBorder="1" applyAlignment="1">
      <alignment horizontal="center" vertical="center"/>
    </xf>
    <xf numFmtId="2" fontId="1" fillId="0" borderId="56" xfId="0" applyNumberFormat="1" applyFont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3" fontId="0" fillId="0" borderId="14" xfId="0" applyNumberFormat="1" applyFill="1" applyBorder="1" applyAlignment="1">
      <alignment horizontal="center" vertical="center"/>
    </xf>
    <xf numFmtId="2" fontId="6" fillId="0" borderId="64" xfId="0" applyNumberFormat="1" applyFont="1" applyFill="1" applyBorder="1" applyAlignment="1">
      <alignment horizontal="center" vertical="center"/>
    </xf>
    <xf numFmtId="2" fontId="1" fillId="0" borderId="15" xfId="0" applyNumberFormat="1" applyFont="1" applyFill="1" applyBorder="1" applyAlignment="1">
      <alignment horizontal="center" vertical="center"/>
    </xf>
    <xf numFmtId="2" fontId="1" fillId="0" borderId="64" xfId="0" applyNumberFormat="1" applyFont="1" applyFill="1" applyBorder="1" applyAlignment="1">
      <alignment horizontal="center" vertical="center"/>
    </xf>
    <xf numFmtId="2" fontId="1" fillId="0" borderId="26" xfId="0" applyNumberFormat="1" applyFont="1" applyFill="1" applyBorder="1" applyAlignment="1">
      <alignment horizontal="center" vertical="center"/>
    </xf>
    <xf numFmtId="2" fontId="1" fillId="0" borderId="62" xfId="0" applyNumberFormat="1" applyFont="1" applyFill="1" applyBorder="1" applyAlignment="1">
      <alignment horizontal="center" vertical="center"/>
    </xf>
    <xf numFmtId="2" fontId="6" fillId="0" borderId="70" xfId="0" applyNumberFormat="1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 wrapText="1" readingOrder="2"/>
    </xf>
    <xf numFmtId="3" fontId="0" fillId="0" borderId="6" xfId="0" applyNumberForma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 wrapText="1" readingOrder="2"/>
    </xf>
    <xf numFmtId="2" fontId="6" fillId="0" borderId="39" xfId="0" applyNumberFormat="1" applyFont="1" applyBorder="1" applyAlignment="1">
      <alignment horizontal="center" vertical="center"/>
    </xf>
    <xf numFmtId="2" fontId="6" fillId="0" borderId="40" xfId="0" applyNumberFormat="1" applyFon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 readingOrder="2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3" fontId="5" fillId="0" borderId="13" xfId="0" applyNumberFormat="1" applyFont="1" applyFill="1" applyBorder="1" applyAlignment="1">
      <alignment horizontal="center" vertical="center" wrapText="1" readingOrder="2"/>
    </xf>
    <xf numFmtId="3" fontId="5" fillId="0" borderId="6" xfId="0" applyNumberFormat="1" applyFont="1" applyBorder="1" applyAlignment="1">
      <alignment horizontal="center" vertical="center" wrapText="1" readingOrder="2"/>
    </xf>
    <xf numFmtId="3" fontId="0" fillId="0" borderId="6" xfId="0" applyNumberForma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wrapText="1" readingOrder="2"/>
    </xf>
    <xf numFmtId="0" fontId="0" fillId="0" borderId="5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vertical="center" wrapText="1" readingOrder="2"/>
    </xf>
    <xf numFmtId="0" fontId="0" fillId="0" borderId="37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2" fontId="6" fillId="0" borderId="22" xfId="0" applyNumberFormat="1" applyFont="1" applyFill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3" fontId="5" fillId="0" borderId="13" xfId="0" applyNumberFormat="1" applyFont="1" applyFill="1" applyBorder="1" applyAlignment="1">
      <alignment horizontal="center" vertical="center" wrapText="1" readingOrder="2"/>
    </xf>
    <xf numFmtId="3" fontId="5" fillId="0" borderId="6" xfId="0" applyNumberFormat="1" applyFont="1" applyBorder="1" applyAlignment="1">
      <alignment horizontal="center" vertical="center" wrapText="1" readingOrder="2"/>
    </xf>
    <xf numFmtId="3" fontId="0" fillId="0" borderId="6" xfId="0" applyNumberForma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wrapText="1" readingOrder="2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 readingOrder="2"/>
    </xf>
    <xf numFmtId="0" fontId="0" fillId="2" borderId="4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2" fontId="6" fillId="0" borderId="7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2" fontId="6" fillId="0" borderId="36" xfId="0" applyNumberFormat="1" applyFont="1" applyBorder="1" applyAlignment="1">
      <alignment horizontal="center" vertical="center"/>
    </xf>
    <xf numFmtId="2" fontId="1" fillId="0" borderId="36" xfId="0" applyNumberFormat="1" applyFont="1" applyBorder="1" applyAlignment="1">
      <alignment horizontal="center" vertical="center"/>
    </xf>
    <xf numFmtId="3" fontId="5" fillId="0" borderId="46" xfId="0" applyNumberFormat="1" applyFont="1" applyFill="1" applyBorder="1" applyAlignment="1">
      <alignment horizontal="center" vertical="center" wrapText="1" readingOrder="2"/>
    </xf>
    <xf numFmtId="2" fontId="6" fillId="0" borderId="36" xfId="0" applyNumberFormat="1" applyFont="1" applyFill="1" applyBorder="1" applyAlignment="1">
      <alignment horizontal="center" vertical="center"/>
    </xf>
    <xf numFmtId="2" fontId="1" fillId="0" borderId="46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6" fillId="0" borderId="23" xfId="0" applyNumberFormat="1" applyFont="1" applyFill="1" applyBorder="1" applyAlignment="1">
      <alignment horizontal="center" vertical="center"/>
    </xf>
    <xf numFmtId="2" fontId="6" fillId="0" borderId="25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 readingOrder="2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3" fontId="5" fillId="0" borderId="13" xfId="0" applyNumberFormat="1" applyFont="1" applyFill="1" applyBorder="1" applyAlignment="1">
      <alignment horizontal="center" vertical="center" wrapText="1" readingOrder="2"/>
    </xf>
    <xf numFmtId="3" fontId="5" fillId="0" borderId="6" xfId="0" applyNumberFormat="1" applyFont="1" applyBorder="1" applyAlignment="1">
      <alignment horizontal="center" vertical="center" wrapText="1" readingOrder="2"/>
    </xf>
    <xf numFmtId="3" fontId="0" fillId="0" borderId="6" xfId="0" applyNumberForma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wrapText="1" readingOrder="2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3" fontId="5" fillId="0" borderId="13" xfId="0" applyNumberFormat="1" applyFont="1" applyFill="1" applyBorder="1" applyAlignment="1">
      <alignment horizontal="center" vertical="center" wrapText="1" readingOrder="2"/>
    </xf>
    <xf numFmtId="3" fontId="5" fillId="0" borderId="6" xfId="0" applyNumberFormat="1" applyFont="1" applyBorder="1" applyAlignment="1">
      <alignment horizontal="center" vertical="center" wrapText="1" readingOrder="2"/>
    </xf>
    <xf numFmtId="3" fontId="0" fillId="0" borderId="6" xfId="0" applyNumberForma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wrapText="1" readingOrder="2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 readingOrder="2"/>
    </xf>
    <xf numFmtId="0" fontId="0" fillId="2" borderId="4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3" fontId="0" fillId="0" borderId="0" xfId="0" applyNumberFormat="1"/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 wrapText="1" readingOrder="2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3" fontId="5" fillId="0" borderId="13" xfId="0" applyNumberFormat="1" applyFont="1" applyFill="1" applyBorder="1" applyAlignment="1">
      <alignment horizontal="center" vertical="center" wrapText="1" readingOrder="2"/>
    </xf>
    <xf numFmtId="3" fontId="0" fillId="0" borderId="6" xfId="0" applyNumberForma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wrapText="1" readingOrder="2"/>
    </xf>
    <xf numFmtId="0" fontId="0" fillId="0" borderId="12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vertical="center" wrapText="1" readingOrder="2"/>
    </xf>
    <xf numFmtId="0" fontId="0" fillId="0" borderId="37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3" fontId="0" fillId="0" borderId="62" xfId="0" applyNumberFormat="1" applyBorder="1" applyAlignment="1">
      <alignment horizontal="center" vertical="center" wrapText="1" readingOrder="2"/>
    </xf>
    <xf numFmtId="0" fontId="0" fillId="0" borderId="14" xfId="0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2" fontId="1" fillId="0" borderId="70" xfId="0" applyNumberFormat="1" applyFont="1" applyBorder="1" applyAlignment="1">
      <alignment horizontal="center" vertical="center"/>
    </xf>
    <xf numFmtId="2" fontId="1" fillId="0" borderId="68" xfId="0" applyNumberFormat="1" applyFont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3" fontId="5" fillId="0" borderId="13" xfId="0" applyNumberFormat="1" applyFont="1" applyFill="1" applyBorder="1" applyAlignment="1">
      <alignment horizontal="center" vertical="center" wrapText="1" readingOrder="2"/>
    </xf>
    <xf numFmtId="3" fontId="0" fillId="0" borderId="6" xfId="0" applyNumberForma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wrapText="1" readingOrder="2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 wrapText="1" readingOrder="2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 wrapText="1" readingOrder="2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3" fontId="0" fillId="0" borderId="62" xfId="0" applyNumberFormat="1" applyBorder="1" applyAlignment="1">
      <alignment horizontal="center" vertical="center" wrapText="1" readingOrder="2"/>
    </xf>
    <xf numFmtId="0" fontId="0" fillId="0" borderId="14" xfId="0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2" fontId="6" fillId="0" borderId="18" xfId="0" applyNumberFormat="1" applyFont="1" applyBorder="1" applyAlignment="1">
      <alignment horizontal="center" vertical="center"/>
    </xf>
    <xf numFmtId="2" fontId="6" fillId="0" borderId="49" xfId="0" applyNumberFormat="1" applyFont="1" applyFill="1" applyBorder="1" applyAlignment="1">
      <alignment horizontal="center" vertical="center"/>
    </xf>
    <xf numFmtId="2" fontId="6" fillId="0" borderId="65" xfId="0" applyNumberFormat="1" applyFont="1" applyFill="1" applyBorder="1" applyAlignment="1">
      <alignment horizontal="center" vertical="center"/>
    </xf>
    <xf numFmtId="2" fontId="6" fillId="0" borderId="68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2" fontId="6" fillId="0" borderId="62" xfId="0" applyNumberFormat="1" applyFont="1" applyBorder="1" applyAlignment="1">
      <alignment horizontal="center" vertical="center"/>
    </xf>
    <xf numFmtId="2" fontId="6" fillId="0" borderId="9" xfId="0" applyNumberFormat="1" applyFont="1" applyBorder="1" applyAlignment="1">
      <alignment horizontal="center" vertical="center"/>
    </xf>
    <xf numFmtId="3" fontId="8" fillId="0" borderId="13" xfId="0" applyNumberFormat="1" applyFont="1" applyFill="1" applyBorder="1" applyAlignment="1">
      <alignment horizontal="center" vertical="center" wrapText="1" readingOrder="2"/>
    </xf>
    <xf numFmtId="0" fontId="0" fillId="0" borderId="12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5" xfId="0" applyBorder="1" applyAlignment="1">
      <alignment vertical="center"/>
    </xf>
    <xf numFmtId="3" fontId="0" fillId="0" borderId="13" xfId="0" applyNumberFormat="1" applyBorder="1" applyAlignment="1">
      <alignment vertical="center" wrapText="1" readingOrder="2"/>
    </xf>
    <xf numFmtId="2" fontId="1" fillId="0" borderId="10" xfId="0" applyNumberFormat="1" applyFont="1" applyBorder="1" applyAlignment="1">
      <alignment horizontal="center" vertical="center"/>
    </xf>
    <xf numFmtId="3" fontId="0" fillId="0" borderId="12" xfId="0" applyNumberFormat="1" applyFill="1" applyBorder="1" applyAlignment="1">
      <alignment horizontal="center" vertical="center"/>
    </xf>
    <xf numFmtId="3" fontId="1" fillId="0" borderId="12" xfId="0" applyNumberFormat="1" applyFont="1" applyFill="1" applyBorder="1" applyAlignment="1">
      <alignment horizontal="center" vertical="center"/>
    </xf>
    <xf numFmtId="3" fontId="5" fillId="0" borderId="43" xfId="0" applyNumberFormat="1" applyFont="1" applyFill="1" applyBorder="1" applyAlignment="1">
      <alignment horizontal="center" vertical="center" wrapText="1" readingOrder="2"/>
    </xf>
    <xf numFmtId="2" fontId="6" fillId="0" borderId="71" xfId="0" applyNumberFormat="1" applyFont="1" applyBorder="1" applyAlignment="1">
      <alignment horizontal="center" vertical="center"/>
    </xf>
    <xf numFmtId="2" fontId="6" fillId="0" borderId="18" xfId="0" applyNumberFormat="1" applyFont="1" applyFill="1" applyBorder="1" applyAlignment="1">
      <alignment horizontal="center" vertical="center"/>
    </xf>
    <xf numFmtId="2" fontId="6" fillId="0" borderId="46" xfId="0" applyNumberFormat="1" applyFont="1" applyFill="1" applyBorder="1" applyAlignment="1">
      <alignment horizontal="center" vertical="center"/>
    </xf>
    <xf numFmtId="3" fontId="6" fillId="3" borderId="9" xfId="0" applyNumberFormat="1" applyFont="1" applyFill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2" fontId="6" fillId="2" borderId="24" xfId="0" applyNumberFormat="1" applyFont="1" applyFill="1" applyBorder="1" applyAlignment="1">
      <alignment horizontal="center" vertical="center"/>
    </xf>
    <xf numFmtId="2" fontId="6" fillId="0" borderId="19" xfId="0" applyNumberFormat="1" applyFont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/>
    </xf>
    <xf numFmtId="3" fontId="1" fillId="0" borderId="14" xfId="0" applyNumberFormat="1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3" fontId="0" fillId="0" borderId="3" xfId="0" applyNumberFormat="1" applyBorder="1" applyAlignment="1">
      <alignment vertical="center" wrapText="1" readingOrder="2"/>
    </xf>
    <xf numFmtId="0" fontId="0" fillId="0" borderId="56" xfId="0" applyFill="1" applyBorder="1" applyAlignment="1">
      <alignment horizontal="center" vertical="center"/>
    </xf>
    <xf numFmtId="2" fontId="6" fillId="0" borderId="27" xfId="0" applyNumberFormat="1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3" fontId="10" fillId="3" borderId="9" xfId="0" applyNumberFormat="1" applyFont="1" applyFill="1" applyBorder="1" applyAlignment="1">
      <alignment horizontal="center" vertical="center"/>
    </xf>
    <xf numFmtId="3" fontId="6" fillId="3" borderId="10" xfId="0" applyNumberFormat="1" applyFont="1" applyFill="1" applyBorder="1" applyAlignment="1">
      <alignment horizontal="center" vertical="center" readingOrder="2"/>
    </xf>
    <xf numFmtId="2" fontId="6" fillId="0" borderId="72" xfId="0" applyNumberFormat="1" applyFont="1" applyBorder="1" applyAlignment="1">
      <alignment horizontal="center" vertical="center"/>
    </xf>
    <xf numFmtId="2" fontId="6" fillId="0" borderId="70" xfId="0" applyNumberFormat="1" applyFont="1" applyBorder="1" applyAlignment="1">
      <alignment horizontal="center" vertical="center"/>
    </xf>
    <xf numFmtId="3" fontId="5" fillId="0" borderId="10" xfId="0" applyNumberFormat="1" applyFont="1" applyFill="1" applyBorder="1" applyAlignment="1">
      <alignment horizontal="center" vertical="center" wrapText="1" readingOrder="2"/>
    </xf>
    <xf numFmtId="2" fontId="6" fillId="0" borderId="42" xfId="0" applyNumberFormat="1" applyFont="1" applyBorder="1" applyAlignment="1">
      <alignment horizontal="center" vertical="center"/>
    </xf>
    <xf numFmtId="2" fontId="6" fillId="0" borderId="63" xfId="0" applyNumberFormat="1" applyFont="1" applyBorder="1" applyAlignment="1">
      <alignment horizontal="center" vertical="center"/>
    </xf>
    <xf numFmtId="2" fontId="6" fillId="0" borderId="73" xfId="0" applyNumberFormat="1" applyFont="1" applyBorder="1" applyAlignment="1">
      <alignment horizontal="center" vertical="center"/>
    </xf>
    <xf numFmtId="2" fontId="6" fillId="0" borderId="42" xfId="0" applyNumberFormat="1" applyFont="1" applyFill="1" applyBorder="1" applyAlignment="1">
      <alignment horizontal="center" vertical="center"/>
    </xf>
    <xf numFmtId="2" fontId="6" fillId="0" borderId="63" xfId="0" applyNumberFormat="1" applyFont="1" applyFill="1" applyBorder="1" applyAlignment="1">
      <alignment horizontal="center" vertical="center"/>
    </xf>
    <xf numFmtId="2" fontId="6" fillId="0" borderId="73" xfId="0" applyNumberFormat="1" applyFont="1" applyFill="1" applyBorder="1" applyAlignment="1">
      <alignment horizontal="center" vertical="center"/>
    </xf>
    <xf numFmtId="2" fontId="6" fillId="2" borderId="22" xfId="0" applyNumberFormat="1" applyFont="1" applyFill="1" applyBorder="1" applyAlignment="1">
      <alignment horizontal="center" vertical="center"/>
    </xf>
    <xf numFmtId="2" fontId="6" fillId="2" borderId="1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2" fontId="6" fillId="0" borderId="67" xfId="0" applyNumberFormat="1" applyFont="1" applyBorder="1" applyAlignment="1">
      <alignment horizontal="center" vertical="center"/>
    </xf>
    <xf numFmtId="2" fontId="6" fillId="0" borderId="59" xfId="0" applyNumberFormat="1" applyFont="1" applyBorder="1" applyAlignment="1">
      <alignment horizontal="center" vertical="center"/>
    </xf>
    <xf numFmtId="2" fontId="6" fillId="0" borderId="74" xfId="0" applyNumberFormat="1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2" fontId="1" fillId="0" borderId="48" xfId="0" applyNumberFormat="1" applyFont="1" applyBorder="1" applyAlignment="1">
      <alignment horizontal="center" vertical="center"/>
    </xf>
    <xf numFmtId="2" fontId="6" fillId="0" borderId="75" xfId="0" applyNumberFormat="1" applyFont="1" applyBorder="1" applyAlignment="1">
      <alignment horizontal="center" vertical="center"/>
    </xf>
    <xf numFmtId="2" fontId="1" fillId="0" borderId="45" xfId="0" applyNumberFormat="1" applyFont="1" applyBorder="1" applyAlignment="1">
      <alignment horizontal="center" vertical="center"/>
    </xf>
    <xf numFmtId="2" fontId="6" fillId="0" borderId="76" xfId="0" applyNumberFormat="1" applyFont="1" applyFill="1" applyBorder="1" applyAlignment="1">
      <alignment horizontal="center" vertical="center"/>
    </xf>
    <xf numFmtId="2" fontId="1" fillId="0" borderId="73" xfId="0" applyNumberFormat="1" applyFont="1" applyFill="1" applyBorder="1" applyAlignment="1">
      <alignment horizontal="center" vertical="center"/>
    </xf>
    <xf numFmtId="2" fontId="6" fillId="0" borderId="77" xfId="0" applyNumberFormat="1" applyFont="1" applyFill="1" applyBorder="1" applyAlignment="1">
      <alignment horizontal="center" vertical="center"/>
    </xf>
    <xf numFmtId="2" fontId="1" fillId="0" borderId="45" xfId="0" applyNumberFormat="1" applyFont="1" applyFill="1" applyBorder="1" applyAlignment="1">
      <alignment horizontal="center" vertical="center"/>
    </xf>
    <xf numFmtId="2" fontId="6" fillId="0" borderId="77" xfId="0" applyNumberFormat="1" applyFont="1" applyBorder="1" applyAlignment="1">
      <alignment horizontal="center" vertical="center"/>
    </xf>
    <xf numFmtId="2" fontId="6" fillId="0" borderId="76" xfId="0" applyNumberFormat="1" applyFont="1" applyBorder="1" applyAlignment="1">
      <alignment horizontal="center" vertical="center"/>
    </xf>
    <xf numFmtId="2" fontId="1" fillId="0" borderId="63" xfId="0" applyNumberFormat="1" applyFont="1" applyBorder="1" applyAlignment="1">
      <alignment horizontal="center" vertical="center"/>
    </xf>
    <xf numFmtId="2" fontId="6" fillId="0" borderId="72" xfId="0" applyNumberFormat="1" applyFont="1" applyFill="1" applyBorder="1" applyAlignment="1">
      <alignment horizontal="center" vertical="center"/>
    </xf>
    <xf numFmtId="2" fontId="1" fillId="0" borderId="73" xfId="0" applyNumberFormat="1" applyFont="1" applyBorder="1" applyAlignment="1">
      <alignment horizontal="center" vertical="center"/>
    </xf>
    <xf numFmtId="2" fontId="6" fillId="0" borderId="67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center" vertical="center"/>
    </xf>
    <xf numFmtId="2" fontId="6" fillId="0" borderId="78" xfId="0" applyNumberFormat="1" applyFont="1" applyBorder="1" applyAlignment="1">
      <alignment horizontal="center" vertical="center"/>
    </xf>
    <xf numFmtId="3" fontId="20" fillId="2" borderId="1" xfId="0" applyNumberFormat="1" applyFont="1" applyFill="1" applyBorder="1" applyAlignment="1">
      <alignment horizontal="center" vertical="center" textRotation="180" wrapText="1"/>
    </xf>
    <xf numFmtId="3" fontId="20" fillId="2" borderId="24" xfId="0" applyNumberFormat="1" applyFont="1" applyFill="1" applyBorder="1" applyAlignment="1">
      <alignment horizontal="center" vertical="center" textRotation="180" wrapText="1"/>
    </xf>
    <xf numFmtId="3" fontId="20" fillId="2" borderId="68" xfId="0" applyNumberFormat="1" applyFont="1" applyFill="1" applyBorder="1" applyAlignment="1">
      <alignment horizontal="center" vertical="center" textRotation="180" wrapText="1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3" fontId="5" fillId="0" borderId="13" xfId="0" applyNumberFormat="1" applyFont="1" applyFill="1" applyBorder="1" applyAlignment="1">
      <alignment horizontal="center" vertical="center" wrapText="1" readingOrder="2"/>
    </xf>
    <xf numFmtId="3" fontId="0" fillId="0" borderId="6" xfId="0" applyNumberForma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wrapText="1" readingOrder="2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 wrapText="1" readingOrder="2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 wrapText="1" readingOrder="2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3" fontId="0" fillId="0" borderId="62" xfId="0" applyNumberFormat="1" applyBorder="1" applyAlignment="1">
      <alignment horizontal="center" vertical="center" wrapText="1" readingOrder="2"/>
    </xf>
    <xf numFmtId="0" fontId="0" fillId="0" borderId="14" xfId="0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 wrapText="1" readingOrder="2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3" fontId="5" fillId="0" borderId="13" xfId="0" applyNumberFormat="1" applyFont="1" applyFill="1" applyBorder="1" applyAlignment="1">
      <alignment horizontal="center" vertical="center" wrapText="1" readingOrder="2"/>
    </xf>
    <xf numFmtId="3" fontId="0" fillId="0" borderId="6" xfId="0" applyNumberForma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wrapText="1" readingOrder="2"/>
    </xf>
    <xf numFmtId="0" fontId="0" fillId="0" borderId="20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vertical="center" wrapText="1" readingOrder="2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3" fontId="0" fillId="0" borderId="62" xfId="0" applyNumberFormat="1" applyBorder="1" applyAlignment="1">
      <alignment horizontal="center" vertical="center" wrapText="1" readingOrder="2"/>
    </xf>
    <xf numFmtId="0" fontId="0" fillId="0" borderId="14" xfId="0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3" fontId="14" fillId="2" borderId="24" xfId="0" applyNumberFormat="1" applyFont="1" applyFill="1" applyBorder="1" applyAlignment="1">
      <alignment horizontal="center" vertical="center" textRotation="180" wrapText="1"/>
    </xf>
    <xf numFmtId="2" fontId="1" fillId="2" borderId="2" xfId="0" applyNumberFormat="1" applyFont="1" applyFill="1" applyBorder="1" applyAlignment="1">
      <alignment horizontal="center" vertical="center"/>
    </xf>
    <xf numFmtId="2" fontId="1" fillId="0" borderId="7" xfId="0" applyNumberFormat="1" applyFont="1" applyFill="1" applyBorder="1" applyAlignment="1">
      <alignment horizontal="center" vertical="center"/>
    </xf>
    <xf numFmtId="2" fontId="1" fillId="0" borderId="8" xfId="0" applyNumberFormat="1" applyFont="1" applyFill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2" fontId="1" fillId="0" borderId="24" xfId="0" applyNumberFormat="1" applyFont="1" applyFill="1" applyBorder="1" applyAlignment="1">
      <alignment horizontal="center" vertical="center"/>
    </xf>
    <xf numFmtId="2" fontId="1" fillId="0" borderId="68" xfId="0" applyNumberFormat="1" applyFont="1" applyFill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16" xfId="0" applyNumberFormat="1" applyFont="1" applyFill="1" applyBorder="1" applyAlignment="1">
      <alignment horizontal="center" vertical="center"/>
    </xf>
    <xf numFmtId="2" fontId="1" fillId="0" borderId="70" xfId="0" applyNumberFormat="1" applyFont="1" applyFill="1" applyBorder="1" applyAlignment="1">
      <alignment horizontal="center" vertical="center"/>
    </xf>
    <xf numFmtId="2" fontId="1" fillId="0" borderId="27" xfId="0" applyNumberFormat="1" applyFont="1" applyFill="1" applyBorder="1" applyAlignment="1">
      <alignment horizontal="center" vertical="center"/>
    </xf>
    <xf numFmtId="2" fontId="1" fillId="0" borderId="76" xfId="0" applyNumberFormat="1" applyFont="1" applyBorder="1" applyAlignment="1">
      <alignment horizontal="center" vertical="center"/>
    </xf>
    <xf numFmtId="2" fontId="1" fillId="0" borderId="36" xfId="0" applyNumberFormat="1" applyFont="1" applyFill="1" applyBorder="1" applyAlignment="1">
      <alignment horizontal="center" vertical="center"/>
    </xf>
    <xf numFmtId="2" fontId="1" fillId="0" borderId="65" xfId="0" applyNumberFormat="1" applyFont="1" applyBorder="1" applyAlignment="1">
      <alignment horizontal="center" vertical="center"/>
    </xf>
    <xf numFmtId="2" fontId="1" fillId="0" borderId="25" xfId="0" applyNumberFormat="1" applyFont="1" applyBorder="1" applyAlignment="1">
      <alignment horizontal="center" vertical="center"/>
    </xf>
    <xf numFmtId="2" fontId="1" fillId="0" borderId="75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78" xfId="0" applyNumberFormat="1" applyFont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2" fontId="1" fillId="0" borderId="59" xfId="0" applyNumberFormat="1" applyFont="1" applyBorder="1" applyAlignment="1">
      <alignment horizontal="center" vertical="center"/>
    </xf>
    <xf numFmtId="2" fontId="1" fillId="0" borderId="25" xfId="0" applyNumberFormat="1" applyFont="1" applyFill="1" applyBorder="1" applyAlignment="1">
      <alignment horizontal="center" vertical="center"/>
    </xf>
    <xf numFmtId="2" fontId="1" fillId="0" borderId="72" xfId="0" applyNumberFormat="1" applyFont="1" applyFill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center" vertical="center" textRotation="180" wrapText="1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3" fontId="5" fillId="0" borderId="13" xfId="0" applyNumberFormat="1" applyFont="1" applyFill="1" applyBorder="1" applyAlignment="1">
      <alignment horizontal="center" vertical="center" wrapText="1" readingOrder="2"/>
    </xf>
    <xf numFmtId="3" fontId="0" fillId="0" borderId="10" xfId="0" applyNumberFormat="1" applyFill="1" applyBorder="1" applyAlignment="1">
      <alignment horizontal="center" vertical="center" readingOrder="2"/>
    </xf>
    <xf numFmtId="0" fontId="17" fillId="3" borderId="60" xfId="0" applyFont="1" applyFill="1" applyBorder="1" applyAlignment="1">
      <alignment horizontal="center" vertical="center"/>
    </xf>
    <xf numFmtId="0" fontId="2" fillId="3" borderId="61" xfId="0" applyFont="1" applyFill="1" applyBorder="1" applyAlignment="1">
      <alignment horizontal="center" vertical="center"/>
    </xf>
    <xf numFmtId="0" fontId="2" fillId="3" borderId="52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13" fillId="3" borderId="60" xfId="0" applyFont="1" applyFill="1" applyBorder="1" applyAlignment="1">
      <alignment horizontal="center" vertical="center"/>
    </xf>
    <xf numFmtId="0" fontId="13" fillId="3" borderId="61" xfId="0" applyFont="1" applyFill="1" applyBorder="1" applyAlignment="1">
      <alignment horizontal="center" vertical="center"/>
    </xf>
    <xf numFmtId="0" fontId="13" fillId="3" borderId="43" xfId="0" applyFont="1" applyFill="1" applyBorder="1" applyAlignment="1">
      <alignment horizontal="center" vertical="center"/>
    </xf>
    <xf numFmtId="0" fontId="13" fillId="3" borderId="51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59" xfId="0" applyFont="1" applyFill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 wrapText="1" readingOrder="2"/>
    </xf>
    <xf numFmtId="3" fontId="0" fillId="0" borderId="6" xfId="0" applyNumberForma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wrapText="1" readingOrder="2"/>
    </xf>
    <xf numFmtId="3" fontId="0" fillId="0" borderId="13" xfId="0" applyNumberFormat="1" applyBorder="1" applyAlignment="1">
      <alignment horizontal="center" vertical="center" wrapText="1" readingOrder="2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 wrapText="1" readingOrder="2"/>
    </xf>
    <xf numFmtId="0" fontId="0" fillId="0" borderId="33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3" fontId="0" fillId="0" borderId="13" xfId="0" applyNumberFormat="1" applyFill="1" applyBorder="1" applyAlignment="1">
      <alignment horizontal="center" vertical="center" wrapText="1" readingOrder="2"/>
    </xf>
    <xf numFmtId="0" fontId="0" fillId="0" borderId="3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 wrapText="1" readingOrder="2"/>
    </xf>
    <xf numFmtId="3" fontId="0" fillId="0" borderId="10" xfId="0" applyNumberFormat="1" applyBorder="1" applyAlignment="1">
      <alignment horizontal="center" vertical="center" readingOrder="2"/>
    </xf>
    <xf numFmtId="0" fontId="0" fillId="2" borderId="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 readingOrder="2"/>
    </xf>
    <xf numFmtId="3" fontId="0" fillId="0" borderId="6" xfId="0" applyNumberFormat="1" applyBorder="1" applyAlignment="1">
      <alignment horizontal="center" vertical="center" readingOrder="2"/>
    </xf>
    <xf numFmtId="0" fontId="19" fillId="3" borderId="66" xfId="0" applyFont="1" applyFill="1" applyBorder="1" applyAlignment="1">
      <alignment horizontal="center" vertical="center"/>
    </xf>
    <xf numFmtId="0" fontId="19" fillId="3" borderId="67" xfId="0" applyFont="1" applyFill="1" applyBorder="1" applyAlignment="1">
      <alignment horizontal="center" vertical="center"/>
    </xf>
    <xf numFmtId="0" fontId="19" fillId="3" borderId="24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3" fontId="5" fillId="0" borderId="13" xfId="0" applyNumberFormat="1" applyFont="1" applyFill="1" applyBorder="1" applyAlignment="1">
      <alignment horizontal="center" vertical="center" readingOrder="2"/>
    </xf>
    <xf numFmtId="3" fontId="0" fillId="0" borderId="59" xfId="0" applyNumberFormat="1" applyBorder="1" applyAlignment="1">
      <alignment horizontal="center" vertical="center" readingOrder="2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5" fillId="0" borderId="6" xfId="0" applyNumberFormat="1" applyFont="1" applyFill="1" applyBorder="1" applyAlignment="1">
      <alignment horizontal="center" vertical="center" readingOrder="2"/>
    </xf>
    <xf numFmtId="0" fontId="0" fillId="0" borderId="20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 readingOrder="2"/>
    </xf>
    <xf numFmtId="0" fontId="0" fillId="2" borderId="2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 wrapText="1" readingOrder="2"/>
    </xf>
    <xf numFmtId="0" fontId="0" fillId="0" borderId="29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3" fontId="0" fillId="0" borderId="43" xfId="0" applyNumberFormat="1" applyBorder="1" applyAlignment="1">
      <alignment horizontal="center" vertical="center" wrapText="1" readingOrder="2"/>
    </xf>
    <xf numFmtId="3" fontId="0" fillId="0" borderId="59" xfId="0" applyNumberFormat="1" applyBorder="1" applyAlignment="1">
      <alignment horizontal="center" vertical="center" wrapText="1" readingOrder="2"/>
    </xf>
    <xf numFmtId="3" fontId="0" fillId="0" borderId="62" xfId="0" applyNumberFormat="1" applyBorder="1" applyAlignment="1">
      <alignment horizontal="center" vertical="center" wrapText="1" readingOrder="2"/>
    </xf>
    <xf numFmtId="0" fontId="0" fillId="0" borderId="14" xfId="0" applyFill="1" applyBorder="1" applyAlignment="1">
      <alignment horizontal="center" vertical="center"/>
    </xf>
    <xf numFmtId="3" fontId="0" fillId="0" borderId="6" xfId="0" applyNumberFormat="1" applyFill="1" applyBorder="1" applyAlignment="1">
      <alignment horizontal="center" vertical="center" readingOrder="2"/>
    </xf>
    <xf numFmtId="3" fontId="5" fillId="0" borderId="69" xfId="0" applyNumberFormat="1" applyFont="1" applyBorder="1" applyAlignment="1">
      <alignment horizontal="center" vertical="center" wrapText="1" readingOrder="2"/>
    </xf>
    <xf numFmtId="3" fontId="0" fillId="0" borderId="69" xfId="0" applyNumberFormat="1" applyBorder="1" applyAlignment="1">
      <alignment horizontal="center" vertical="center" wrapText="1" readingOrder="2"/>
    </xf>
    <xf numFmtId="3" fontId="0" fillId="0" borderId="38" xfId="0" applyNumberFormat="1" applyBorder="1" applyAlignment="1">
      <alignment horizontal="center" vertical="center" wrapText="1" readingOrder="2"/>
    </xf>
    <xf numFmtId="3" fontId="0" fillId="0" borderId="11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 wrapText="1" readingOrder="2"/>
    </xf>
    <xf numFmtId="3" fontId="0" fillId="0" borderId="46" xfId="0" applyNumberFormat="1" applyBorder="1" applyAlignment="1">
      <alignment horizontal="center" vertical="center" wrapText="1" readingOrder="2"/>
    </xf>
    <xf numFmtId="3" fontId="0" fillId="0" borderId="18" xfId="0" applyNumberFormat="1" applyBorder="1" applyAlignment="1">
      <alignment horizontal="center" vertical="center" wrapText="1" readingOrder="2"/>
    </xf>
    <xf numFmtId="3" fontId="7" fillId="0" borderId="10" xfId="0" applyNumberFormat="1" applyFont="1" applyBorder="1" applyAlignment="1">
      <alignment horizontal="center" vertical="center" wrapText="1" readingOrder="2"/>
    </xf>
    <xf numFmtId="0" fontId="19" fillId="3" borderId="41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3" fontId="0" fillId="0" borderId="39" xfId="0" applyNumberFormat="1" applyBorder="1" applyAlignment="1">
      <alignment horizontal="center" vertical="center" wrapText="1" readingOrder="2"/>
    </xf>
    <xf numFmtId="3" fontId="0" fillId="0" borderId="40" xfId="0" applyNumberFormat="1" applyBorder="1" applyAlignment="1">
      <alignment horizontal="center" vertical="center" wrapText="1" readingOrder="2"/>
    </xf>
    <xf numFmtId="0" fontId="0" fillId="0" borderId="22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JTK-Files/&#1602;&#1575;&#1604;&#1576;%20&#1587;&#1575;&#1586;&#1740;/1405/14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</sheetNames>
    <sheetDataSet>
      <sheetData sheetId="0">
        <row r="2">
          <cell r="D2" t="str">
            <v>صلواتی</v>
          </cell>
          <cell r="N2" t="str">
            <v>وایر</v>
          </cell>
          <cell r="AD2" t="str">
            <v>6:00الی14:00</v>
          </cell>
        </row>
        <row r="3">
          <cell r="D3" t="str">
            <v>صلواتی</v>
          </cell>
          <cell r="N3" t="str">
            <v>وایر</v>
          </cell>
          <cell r="AD3" t="str">
            <v>6:00الی14:00</v>
          </cell>
        </row>
        <row r="4">
          <cell r="D4" t="str">
            <v>صلواتی</v>
          </cell>
          <cell r="N4" t="str">
            <v>وایر</v>
          </cell>
          <cell r="AD4" t="str">
            <v>6:00الی14:00</v>
          </cell>
        </row>
        <row r="5">
          <cell r="D5" t="str">
            <v>صلواتی</v>
          </cell>
          <cell r="N5" t="str">
            <v>وایر</v>
          </cell>
          <cell r="AD5" t="str">
            <v>6:00الی14:00</v>
          </cell>
        </row>
        <row r="6">
          <cell r="D6" t="str">
            <v>صلواتی</v>
          </cell>
          <cell r="N6" t="str">
            <v>وایر</v>
          </cell>
          <cell r="AD6" t="str">
            <v>6:00الی14:00</v>
          </cell>
        </row>
        <row r="7">
          <cell r="D7" t="str">
            <v>صلواتی</v>
          </cell>
          <cell r="N7" t="str">
            <v>وایر</v>
          </cell>
          <cell r="AD7" t="str">
            <v>6:00الی14:00</v>
          </cell>
        </row>
        <row r="8">
          <cell r="D8" t="str">
            <v>صلواتی</v>
          </cell>
          <cell r="N8" t="str">
            <v>وایر</v>
          </cell>
          <cell r="AD8" t="str">
            <v>6:00الی14:00</v>
          </cell>
        </row>
        <row r="9">
          <cell r="D9" t="str">
            <v>صلواتی</v>
          </cell>
          <cell r="N9" t="str">
            <v>وایر</v>
          </cell>
          <cell r="AD9" t="str">
            <v>6:00الی14:00</v>
          </cell>
        </row>
        <row r="10">
          <cell r="D10" t="str">
            <v>یاراحمدی</v>
          </cell>
          <cell r="N10" t="str">
            <v>سنگ زنی</v>
          </cell>
          <cell r="AD10" t="str">
            <v>6:00الی8:00</v>
          </cell>
        </row>
        <row r="11">
          <cell r="D11" t="str">
            <v>یاراحمدی</v>
          </cell>
          <cell r="N11" t="str">
            <v>سنگ زنی</v>
          </cell>
          <cell r="AD11" t="str">
            <v>8:00الی14:00</v>
          </cell>
        </row>
        <row r="12">
          <cell r="D12" t="str">
            <v>یاراحمدی</v>
          </cell>
          <cell r="N12" t="str">
            <v>سنگ زنی</v>
          </cell>
          <cell r="AD12" t="str">
            <v>6:00الی8:00</v>
          </cell>
        </row>
        <row r="13">
          <cell r="D13" t="str">
            <v>یاراحمدی</v>
          </cell>
          <cell r="N13" t="str">
            <v>سنگ زنی</v>
          </cell>
          <cell r="AD13" t="str">
            <v>8:00الی14:00</v>
          </cell>
        </row>
        <row r="14">
          <cell r="D14" t="str">
            <v>یاراحمدی</v>
          </cell>
          <cell r="N14" t="str">
            <v>سنگ زنی</v>
          </cell>
          <cell r="AD14" t="str">
            <v>6:00الی14:00</v>
          </cell>
        </row>
        <row r="15">
          <cell r="D15" t="str">
            <v>یاراحمدی</v>
          </cell>
          <cell r="N15" t="str">
            <v>سنگ زنی</v>
          </cell>
          <cell r="AD15" t="str">
            <v>6:00الی14:00</v>
          </cell>
        </row>
        <row r="16">
          <cell r="D16" t="str">
            <v>هاشم زاده</v>
          </cell>
          <cell r="N16" t="str">
            <v>مونتاژ</v>
          </cell>
          <cell r="AD16" t="str">
            <v>6:00الی14:00</v>
          </cell>
        </row>
        <row r="17">
          <cell r="D17" t="str">
            <v>هاشم زاده</v>
          </cell>
          <cell r="N17" t="str">
            <v>مونتاژ</v>
          </cell>
          <cell r="AD17" t="str">
            <v>6:00الی14:00</v>
          </cell>
        </row>
        <row r="18">
          <cell r="D18" t="str">
            <v>هاشم زاده</v>
          </cell>
          <cell r="N18" t="str">
            <v>مونتاژ</v>
          </cell>
          <cell r="AD18" t="str">
            <v>6:00الی14:00</v>
          </cell>
        </row>
        <row r="19">
          <cell r="D19" t="str">
            <v>هاشم زاده</v>
          </cell>
          <cell r="N19" t="str">
            <v>مونتاژ</v>
          </cell>
          <cell r="AD19" t="str">
            <v>6:00الی14:00</v>
          </cell>
        </row>
        <row r="20">
          <cell r="D20" t="str">
            <v>هاشم زاده</v>
          </cell>
          <cell r="N20" t="str">
            <v>مونتاژ</v>
          </cell>
          <cell r="AD20" t="str">
            <v>6:00الی14:00</v>
          </cell>
        </row>
        <row r="21">
          <cell r="D21" t="str">
            <v>هاشم زاده</v>
          </cell>
          <cell r="N21" t="str">
            <v>مونتاژ</v>
          </cell>
          <cell r="AD21" t="str">
            <v>6:00الی14:00</v>
          </cell>
        </row>
        <row r="22">
          <cell r="D22" t="str">
            <v>هاشم زاده</v>
          </cell>
          <cell r="N22" t="str">
            <v>مونتاژ</v>
          </cell>
          <cell r="AD22" t="str">
            <v>6:00الی14:00</v>
          </cell>
        </row>
        <row r="23">
          <cell r="D23" t="str">
            <v>هاشم زاده</v>
          </cell>
          <cell r="N23" t="str">
            <v>مونتاژ</v>
          </cell>
          <cell r="AD23" t="str">
            <v>6:00الی14:00</v>
          </cell>
        </row>
        <row r="24">
          <cell r="D24" t="str">
            <v>هاشم زاده</v>
          </cell>
          <cell r="N24" t="str">
            <v>مونتاژ</v>
          </cell>
          <cell r="AD24" t="str">
            <v>6:00الی14:00</v>
          </cell>
        </row>
        <row r="25">
          <cell r="D25" t="str">
            <v>هاشم زاده</v>
          </cell>
          <cell r="N25" t="str">
            <v>مونتاژ</v>
          </cell>
          <cell r="AD25" t="str">
            <v>6:00الی14:00</v>
          </cell>
        </row>
        <row r="26">
          <cell r="D26" t="str">
            <v>هاشم زاده</v>
          </cell>
          <cell r="N26" t="str">
            <v>مونتاژ</v>
          </cell>
          <cell r="AD26" t="str">
            <v>6:00الی14:00</v>
          </cell>
        </row>
        <row r="27">
          <cell r="D27" t="str">
            <v>هاشم زاده</v>
          </cell>
          <cell r="N27" t="str">
            <v>مونتاژ</v>
          </cell>
          <cell r="AD27" t="str">
            <v>6:00الی18:00</v>
          </cell>
          <cell r="AF27">
            <v>3</v>
          </cell>
        </row>
        <row r="28">
          <cell r="D28" t="str">
            <v>هاشم زاده</v>
          </cell>
          <cell r="N28" t="str">
            <v>مونتاژ</v>
          </cell>
          <cell r="AD28" t="str">
            <v>6:00الی18:00</v>
          </cell>
          <cell r="AF28">
            <v>1</v>
          </cell>
        </row>
        <row r="29">
          <cell r="D29" t="str">
            <v>هاشم زاده</v>
          </cell>
          <cell r="N29" t="str">
            <v>مونتاژ</v>
          </cell>
          <cell r="AD29" t="str">
            <v>6:00الی18:00</v>
          </cell>
          <cell r="AF29">
            <v>4</v>
          </cell>
        </row>
        <row r="30">
          <cell r="D30" t="str">
            <v>صلواتی</v>
          </cell>
          <cell r="N30" t="str">
            <v>وایر</v>
          </cell>
          <cell r="AD30" t="str">
            <v>6:00الی14:00</v>
          </cell>
          <cell r="AF30">
            <v>8</v>
          </cell>
        </row>
        <row r="31">
          <cell r="D31" t="str">
            <v>صلواتی</v>
          </cell>
          <cell r="N31" t="str">
            <v>وایر</v>
          </cell>
          <cell r="AD31" t="str">
            <v>6:00الی14:00</v>
          </cell>
          <cell r="AF31">
            <v>8</v>
          </cell>
        </row>
        <row r="32">
          <cell r="D32" t="str">
            <v>صلواتی</v>
          </cell>
          <cell r="N32" t="str">
            <v>وایر</v>
          </cell>
          <cell r="AD32" t="str">
            <v>6:00الی14:00</v>
          </cell>
          <cell r="AF32">
            <v>8</v>
          </cell>
        </row>
        <row r="33">
          <cell r="D33" t="str">
            <v>قیطاسوند</v>
          </cell>
          <cell r="N33" t="str">
            <v>CNC</v>
          </cell>
          <cell r="AD33" t="str">
            <v>6:00الی14:00</v>
          </cell>
          <cell r="AF33">
            <v>7.5</v>
          </cell>
        </row>
        <row r="34">
          <cell r="D34" t="str">
            <v>قیطاسوند</v>
          </cell>
          <cell r="N34" t="str">
            <v>CNC</v>
          </cell>
          <cell r="AD34" t="str">
            <v>14:00الی18:00</v>
          </cell>
          <cell r="AF34">
            <v>3.5</v>
          </cell>
        </row>
        <row r="35">
          <cell r="D35" t="str">
            <v>صحرایی</v>
          </cell>
          <cell r="N35" t="str">
            <v>تراش</v>
          </cell>
          <cell r="AD35" t="str">
            <v>6:00الی14:00</v>
          </cell>
          <cell r="AF35">
            <v>7.5</v>
          </cell>
        </row>
        <row r="36">
          <cell r="D36" t="str">
            <v>موسوی</v>
          </cell>
          <cell r="N36" t="str">
            <v>تراش</v>
          </cell>
          <cell r="AD36" t="str">
            <v>6:00الی18:00</v>
          </cell>
          <cell r="AF36">
            <v>2.5</v>
          </cell>
        </row>
        <row r="37">
          <cell r="D37" t="str">
            <v>موسوی</v>
          </cell>
          <cell r="N37" t="str">
            <v>تراش</v>
          </cell>
          <cell r="AD37" t="str">
            <v>6:00الی18:00</v>
          </cell>
          <cell r="AF37">
            <v>2.6666666666666665</v>
          </cell>
        </row>
        <row r="38">
          <cell r="D38" t="str">
            <v>موسوی</v>
          </cell>
          <cell r="N38" t="str">
            <v>تراش</v>
          </cell>
          <cell r="AD38" t="str">
            <v>6:00الی18:00</v>
          </cell>
          <cell r="AF38">
            <v>2.6666666666666665</v>
          </cell>
        </row>
        <row r="39">
          <cell r="D39" t="str">
            <v>حیدری</v>
          </cell>
          <cell r="N39" t="str">
            <v>فرز</v>
          </cell>
          <cell r="AD39" t="str">
            <v>7:00الی14:00</v>
          </cell>
          <cell r="AF39">
            <v>6.5</v>
          </cell>
        </row>
        <row r="40">
          <cell r="D40" t="str">
            <v>حیدری</v>
          </cell>
          <cell r="N40" t="str">
            <v>فرز</v>
          </cell>
          <cell r="AD40" t="str">
            <v>7:00الی14:00</v>
          </cell>
          <cell r="AF40">
            <v>6.5</v>
          </cell>
        </row>
        <row r="41">
          <cell r="D41" t="str">
            <v>حیدری</v>
          </cell>
          <cell r="N41" t="str">
            <v>فرز</v>
          </cell>
          <cell r="AD41" t="str">
            <v>7:00الی14:00</v>
          </cell>
          <cell r="AF41">
            <v>6.5</v>
          </cell>
        </row>
        <row r="42">
          <cell r="D42" t="str">
            <v>حیدری</v>
          </cell>
          <cell r="N42" t="str">
            <v>فرز</v>
          </cell>
          <cell r="AD42" t="str">
            <v>6:00الی12:00</v>
          </cell>
          <cell r="AF42">
            <v>5.5</v>
          </cell>
        </row>
        <row r="43">
          <cell r="D43" t="str">
            <v>حیدری</v>
          </cell>
          <cell r="N43" t="str">
            <v>فرز</v>
          </cell>
          <cell r="AD43" t="str">
            <v>12:00الی17:00</v>
          </cell>
          <cell r="AF43">
            <v>4.5</v>
          </cell>
        </row>
        <row r="44">
          <cell r="D44" t="str">
            <v>حیدری</v>
          </cell>
          <cell r="N44" t="str">
            <v>فرز</v>
          </cell>
          <cell r="AD44" t="str">
            <v>17:00الی18:00</v>
          </cell>
          <cell r="AF44">
            <v>1</v>
          </cell>
        </row>
        <row r="45">
          <cell r="D45" t="str">
            <v>یاراحمدی</v>
          </cell>
          <cell r="N45" t="str">
            <v>سنگ زنی</v>
          </cell>
          <cell r="AD45" t="str">
            <v>6:00الی18:00</v>
          </cell>
          <cell r="AF45">
            <v>8</v>
          </cell>
        </row>
        <row r="46">
          <cell r="D46" t="str">
            <v>یاراحمدی</v>
          </cell>
          <cell r="N46" t="str">
            <v>سنگ زنی</v>
          </cell>
          <cell r="AD46" t="str">
            <v>6:00الی18:00</v>
          </cell>
          <cell r="AF46">
            <v>3</v>
          </cell>
        </row>
        <row r="47">
          <cell r="D47" t="str">
            <v>خیرخواه</v>
          </cell>
          <cell r="N47" t="str">
            <v>مونتاژ</v>
          </cell>
          <cell r="AD47" t="str">
            <v>6:00الی14:00</v>
          </cell>
          <cell r="AF47">
            <v>0.5</v>
          </cell>
        </row>
        <row r="48">
          <cell r="D48" t="str">
            <v>خیرخواه</v>
          </cell>
          <cell r="N48" t="str">
            <v>مونتاژ</v>
          </cell>
          <cell r="AD48" t="str">
            <v>6:00الی14:00</v>
          </cell>
          <cell r="AF48">
            <v>2</v>
          </cell>
        </row>
        <row r="49">
          <cell r="D49" t="str">
            <v>خیرخواه</v>
          </cell>
          <cell r="N49" t="str">
            <v>مونتاژ</v>
          </cell>
          <cell r="AD49" t="str">
            <v>6:00الی14:00</v>
          </cell>
          <cell r="AF49">
            <v>2</v>
          </cell>
        </row>
        <row r="50">
          <cell r="D50" t="str">
            <v>خیرخواه</v>
          </cell>
          <cell r="N50" t="str">
            <v>مونتاژ</v>
          </cell>
          <cell r="AD50" t="str">
            <v>6:00الی14:00</v>
          </cell>
          <cell r="AF50">
            <v>2</v>
          </cell>
        </row>
        <row r="51">
          <cell r="D51" t="str">
            <v>خیرخواه</v>
          </cell>
          <cell r="N51" t="str">
            <v>مونتاژ</v>
          </cell>
          <cell r="AD51" t="str">
            <v>6:00الی14:00</v>
          </cell>
          <cell r="AF51">
            <v>2.5</v>
          </cell>
        </row>
        <row r="52">
          <cell r="D52" t="str">
            <v>خیرخواه</v>
          </cell>
          <cell r="N52" t="str">
            <v>مونتاژ</v>
          </cell>
          <cell r="AD52" t="str">
            <v>6:00الی14:00</v>
          </cell>
          <cell r="AF52">
            <v>2</v>
          </cell>
        </row>
        <row r="53">
          <cell r="D53" t="str">
            <v>خیرخواه</v>
          </cell>
          <cell r="N53" t="str">
            <v>مونتاژ</v>
          </cell>
          <cell r="AD53" t="str">
            <v>6:00الی14:00</v>
          </cell>
          <cell r="AF53">
            <v>2</v>
          </cell>
        </row>
        <row r="54">
          <cell r="D54" t="str">
            <v>خیرخواه</v>
          </cell>
          <cell r="N54" t="str">
            <v>مونتاژ</v>
          </cell>
          <cell r="AD54" t="str">
            <v>6:00الی14:00</v>
          </cell>
          <cell r="AF54">
            <v>2.5</v>
          </cell>
        </row>
        <row r="55">
          <cell r="D55" t="str">
            <v>خیرخواه</v>
          </cell>
          <cell r="N55" t="str">
            <v>مونتاژ</v>
          </cell>
          <cell r="AD55" t="str">
            <v>6:00الی14:00</v>
          </cell>
          <cell r="AF55">
            <v>4</v>
          </cell>
        </row>
        <row r="56">
          <cell r="D56" t="str">
            <v>خیرخواه</v>
          </cell>
          <cell r="N56" t="str">
            <v>مونتاژ</v>
          </cell>
          <cell r="AD56" t="str">
            <v>6:00الی14:00</v>
          </cell>
          <cell r="AF56">
            <v>2.5</v>
          </cell>
        </row>
        <row r="57">
          <cell r="D57" t="str">
            <v>خیرخواه</v>
          </cell>
          <cell r="N57" t="str">
            <v>مونتاژ</v>
          </cell>
          <cell r="AD57" t="str">
            <v>6:00الی14:00</v>
          </cell>
          <cell r="AF57">
            <v>4</v>
          </cell>
        </row>
        <row r="58">
          <cell r="D58" t="str">
            <v>خیرخواه</v>
          </cell>
          <cell r="N58" t="str">
            <v>مونتاژ</v>
          </cell>
          <cell r="AD58" t="str">
            <v>6:00الی18:00</v>
          </cell>
          <cell r="AF58">
            <v>3</v>
          </cell>
        </row>
        <row r="59">
          <cell r="D59" t="str">
            <v>خیرخواه</v>
          </cell>
          <cell r="N59" t="str">
            <v>مونتاژ</v>
          </cell>
          <cell r="AD59" t="str">
            <v>6:00الی18:00</v>
          </cell>
          <cell r="AF59">
            <v>1</v>
          </cell>
        </row>
        <row r="60">
          <cell r="D60" t="str">
            <v>خیرخواه</v>
          </cell>
          <cell r="N60" t="str">
            <v>مونتاژ</v>
          </cell>
          <cell r="AD60" t="str">
            <v>6:00الی18:00</v>
          </cell>
          <cell r="AF60">
            <v>4</v>
          </cell>
        </row>
        <row r="61">
          <cell r="D61" t="str">
            <v>کریم پرست</v>
          </cell>
          <cell r="N61" t="str">
            <v>تراش</v>
          </cell>
          <cell r="AD61" t="str">
            <v>6:00الی18:00</v>
          </cell>
          <cell r="AF61">
            <v>10</v>
          </cell>
        </row>
        <row r="62">
          <cell r="D62" t="str">
            <v>کریم پرست</v>
          </cell>
          <cell r="N62" t="str">
            <v>تراش</v>
          </cell>
          <cell r="AD62" t="str">
            <v>6:00الی18:00</v>
          </cell>
          <cell r="AF62">
            <v>10</v>
          </cell>
        </row>
        <row r="63">
          <cell r="D63" t="str">
            <v>یاراحمدی</v>
          </cell>
          <cell r="N63" t="str">
            <v>سنگ زنی</v>
          </cell>
          <cell r="AD63" t="str">
            <v>6:00الی18:00</v>
          </cell>
          <cell r="AF63">
            <v>6</v>
          </cell>
        </row>
        <row r="64">
          <cell r="D64" t="str">
            <v>یاراحمدی</v>
          </cell>
          <cell r="N64" t="str">
            <v>سنگ زنی</v>
          </cell>
          <cell r="AD64" t="str">
            <v>6:00الی18:00</v>
          </cell>
          <cell r="AF64">
            <v>5</v>
          </cell>
        </row>
        <row r="65">
          <cell r="D65" t="str">
            <v>حیدری</v>
          </cell>
          <cell r="N65" t="str">
            <v>فرز</v>
          </cell>
          <cell r="AD65" t="str">
            <v>6:00الی11:00</v>
          </cell>
          <cell r="AF65">
            <v>4.5</v>
          </cell>
        </row>
        <row r="66">
          <cell r="D66" t="str">
            <v>حیدری</v>
          </cell>
          <cell r="N66" t="str">
            <v>فرز</v>
          </cell>
          <cell r="AD66" t="str">
            <v>11:00الی18:00</v>
          </cell>
          <cell r="AF66">
            <v>6.5</v>
          </cell>
        </row>
        <row r="67">
          <cell r="D67" t="str">
            <v>موسوی</v>
          </cell>
          <cell r="N67" t="str">
            <v>تراش</v>
          </cell>
          <cell r="AD67" t="str">
            <v>6:00الی18:00</v>
          </cell>
          <cell r="AF67">
            <v>2</v>
          </cell>
        </row>
        <row r="68">
          <cell r="D68" t="str">
            <v>موسوی</v>
          </cell>
          <cell r="N68" t="str">
            <v>تراش</v>
          </cell>
          <cell r="AD68" t="str">
            <v>6:00الی18:00</v>
          </cell>
          <cell r="AF68">
            <v>3</v>
          </cell>
        </row>
        <row r="69">
          <cell r="D69" t="str">
            <v>موسوی</v>
          </cell>
          <cell r="N69" t="str">
            <v>تراش</v>
          </cell>
          <cell r="AD69" t="str">
            <v>6:00الی18:00</v>
          </cell>
          <cell r="AF69">
            <v>6</v>
          </cell>
        </row>
        <row r="70">
          <cell r="D70" t="str">
            <v>هاشم زاده</v>
          </cell>
          <cell r="N70" t="str">
            <v>مونتاژ</v>
          </cell>
          <cell r="AD70" t="str">
            <v>6:00الی18:00</v>
          </cell>
          <cell r="AF70">
            <v>2</v>
          </cell>
        </row>
        <row r="71">
          <cell r="D71" t="str">
            <v>هاشم زاده</v>
          </cell>
          <cell r="N71" t="str">
            <v>مونتاژ</v>
          </cell>
          <cell r="AD71" t="str">
            <v>6:00الی18:00</v>
          </cell>
          <cell r="AF71">
            <v>2</v>
          </cell>
        </row>
        <row r="72">
          <cell r="D72" t="str">
            <v>هاشم زاده</v>
          </cell>
          <cell r="N72" t="str">
            <v>مونتاژ</v>
          </cell>
          <cell r="AD72" t="str">
            <v>6:00الی18:00</v>
          </cell>
          <cell r="AF72">
            <v>1</v>
          </cell>
        </row>
        <row r="73">
          <cell r="D73" t="str">
            <v>خیرخواه</v>
          </cell>
          <cell r="N73" t="str">
            <v>مونتاژ</v>
          </cell>
          <cell r="AD73" t="str">
            <v>6:00الی18:00</v>
          </cell>
          <cell r="AF73">
            <v>2</v>
          </cell>
        </row>
        <row r="74">
          <cell r="D74" t="str">
            <v>خیرخواه</v>
          </cell>
          <cell r="N74" t="str">
            <v>مونتاژ</v>
          </cell>
          <cell r="AD74" t="str">
            <v>6:00الی18:00</v>
          </cell>
          <cell r="AF74">
            <v>2</v>
          </cell>
        </row>
        <row r="75">
          <cell r="D75" t="str">
            <v>خیرخواه</v>
          </cell>
          <cell r="N75" t="str">
            <v>مونتاژ</v>
          </cell>
          <cell r="AD75" t="str">
            <v>6:00الی18:00</v>
          </cell>
          <cell r="AF75">
            <v>1</v>
          </cell>
        </row>
        <row r="76">
          <cell r="D76" t="str">
            <v>صلواتی</v>
          </cell>
          <cell r="N76" t="str">
            <v>وایر</v>
          </cell>
          <cell r="AD76" t="str">
            <v>10:00الی18:00</v>
          </cell>
          <cell r="AF76">
            <v>8</v>
          </cell>
        </row>
        <row r="77">
          <cell r="D77" t="str">
            <v>صلواتی</v>
          </cell>
          <cell r="N77" t="str">
            <v>وایر</v>
          </cell>
          <cell r="AD77" t="str">
            <v>10:00الی18:00</v>
          </cell>
          <cell r="AF77">
            <v>8</v>
          </cell>
        </row>
        <row r="78">
          <cell r="D78" t="str">
            <v>صلواتی</v>
          </cell>
          <cell r="N78" t="str">
            <v>وایر</v>
          </cell>
          <cell r="AD78" t="str">
            <v>10:00الی18:00</v>
          </cell>
          <cell r="AF78">
            <v>8</v>
          </cell>
        </row>
        <row r="79">
          <cell r="D79" t="str">
            <v>قیطاسوند</v>
          </cell>
          <cell r="N79" t="str">
            <v>CNC</v>
          </cell>
          <cell r="AD79" t="str">
            <v>6:00الی10:00</v>
          </cell>
          <cell r="AF79">
            <v>3.5</v>
          </cell>
        </row>
        <row r="80">
          <cell r="D80" t="str">
            <v>قیطاسوند</v>
          </cell>
          <cell r="N80" t="str">
            <v>CNC</v>
          </cell>
          <cell r="AD80" t="str">
            <v>10:00الی14:00</v>
          </cell>
          <cell r="AF80">
            <v>4</v>
          </cell>
        </row>
        <row r="81">
          <cell r="D81" t="str">
            <v>قیطاسوند</v>
          </cell>
          <cell r="N81" t="str">
            <v>CNC</v>
          </cell>
          <cell r="AD81" t="str">
            <v>14:30الی18:00</v>
          </cell>
          <cell r="AF81">
            <v>3.5</v>
          </cell>
        </row>
        <row r="82">
          <cell r="D82" t="str">
            <v>حیدری</v>
          </cell>
          <cell r="N82" t="str">
            <v>فرز</v>
          </cell>
          <cell r="AD82" t="str">
            <v>6:00الی13:00</v>
          </cell>
          <cell r="AF82">
            <v>6.5</v>
          </cell>
        </row>
        <row r="83">
          <cell r="D83" t="str">
            <v>حیدری</v>
          </cell>
          <cell r="N83" t="str">
            <v>فرز</v>
          </cell>
          <cell r="AD83" t="str">
            <v>13:00الی17:00</v>
          </cell>
          <cell r="AF83">
            <v>3.5</v>
          </cell>
        </row>
        <row r="84">
          <cell r="D84" t="str">
            <v>یاراحمدی</v>
          </cell>
          <cell r="N84" t="str">
            <v>سنگ زنی</v>
          </cell>
          <cell r="AD84" t="str">
            <v>6:00الی18:00</v>
          </cell>
          <cell r="AF84">
            <v>2</v>
          </cell>
        </row>
        <row r="85">
          <cell r="D85" t="str">
            <v>یاراحمدی</v>
          </cell>
          <cell r="N85" t="str">
            <v>سنگ زنی</v>
          </cell>
          <cell r="AD85" t="str">
            <v>6:00الی18:00</v>
          </cell>
          <cell r="AF85">
            <v>7</v>
          </cell>
        </row>
        <row r="86">
          <cell r="D86" t="str">
            <v>یاراحمدی</v>
          </cell>
          <cell r="N86" t="str">
            <v>سنگ زنی</v>
          </cell>
          <cell r="AD86" t="str">
            <v>6:00الی18:00</v>
          </cell>
          <cell r="AF86">
            <v>2</v>
          </cell>
        </row>
        <row r="87">
          <cell r="D87" t="str">
            <v>خیرخواه</v>
          </cell>
          <cell r="N87" t="str">
            <v>مونتاژ</v>
          </cell>
          <cell r="AD87" t="str">
            <v>6:00الی18:00</v>
          </cell>
          <cell r="AF87">
            <v>2.5</v>
          </cell>
        </row>
        <row r="88">
          <cell r="D88" t="str">
            <v>خیرخواه</v>
          </cell>
          <cell r="N88" t="str">
            <v>مونتاژ</v>
          </cell>
          <cell r="AD88" t="str">
            <v>6:00الی18:00</v>
          </cell>
          <cell r="AF88">
            <v>2.5</v>
          </cell>
        </row>
        <row r="89">
          <cell r="D89" t="str">
            <v>خیرخواه</v>
          </cell>
          <cell r="N89" t="str">
            <v>مونتاژ</v>
          </cell>
          <cell r="AD89" t="str">
            <v>6:00الی18:00</v>
          </cell>
          <cell r="AF89">
            <v>2</v>
          </cell>
        </row>
        <row r="90">
          <cell r="D90" t="str">
            <v>خیرخواه</v>
          </cell>
          <cell r="N90" t="str">
            <v>دریل رادیال</v>
          </cell>
          <cell r="AD90" t="str">
            <v>6:00الی18:00</v>
          </cell>
          <cell r="AF90">
            <v>3</v>
          </cell>
        </row>
        <row r="91">
          <cell r="D91" t="str">
            <v>هاشم زاده</v>
          </cell>
          <cell r="N91" t="str">
            <v>مونتاژ</v>
          </cell>
          <cell r="AD91" t="str">
            <v>6:00الی18:00</v>
          </cell>
          <cell r="AF91">
            <v>2.5</v>
          </cell>
        </row>
        <row r="92">
          <cell r="D92" t="str">
            <v>هاشم زاده</v>
          </cell>
          <cell r="N92" t="str">
            <v>مونتاژ</v>
          </cell>
          <cell r="AD92" t="str">
            <v>6:00الی18:00</v>
          </cell>
          <cell r="AF92">
            <v>2.5</v>
          </cell>
        </row>
        <row r="93">
          <cell r="D93" t="str">
            <v>هاشم زاده</v>
          </cell>
          <cell r="N93" t="str">
            <v>مونتاژ</v>
          </cell>
          <cell r="AD93" t="str">
            <v>6:00الی18:00</v>
          </cell>
          <cell r="AF93">
            <v>2</v>
          </cell>
        </row>
        <row r="94">
          <cell r="D94" t="str">
            <v>هاشم زاده</v>
          </cell>
          <cell r="N94" t="str">
            <v>دریل رادیال</v>
          </cell>
          <cell r="AD94" t="str">
            <v>6:00الی18:00</v>
          </cell>
          <cell r="AF94">
            <v>3</v>
          </cell>
        </row>
        <row r="95">
          <cell r="D95" t="str">
            <v>صحرایی</v>
          </cell>
          <cell r="N95" t="str">
            <v>تراش</v>
          </cell>
          <cell r="AD95" t="str">
            <v>6:00الی14:00</v>
          </cell>
          <cell r="AF95">
            <v>7.5</v>
          </cell>
        </row>
        <row r="96">
          <cell r="D96" t="str">
            <v>صلواتی</v>
          </cell>
          <cell r="N96" t="str">
            <v>وایر</v>
          </cell>
          <cell r="AD96" t="str">
            <v>6:00الی18:00</v>
          </cell>
          <cell r="AF96">
            <v>12</v>
          </cell>
        </row>
        <row r="97">
          <cell r="D97" t="str">
            <v>صلواتی</v>
          </cell>
          <cell r="N97" t="str">
            <v>وایر</v>
          </cell>
          <cell r="AD97" t="str">
            <v>6:00الی10:00</v>
          </cell>
          <cell r="AF97">
            <v>4</v>
          </cell>
        </row>
        <row r="98">
          <cell r="D98" t="str">
            <v>صلواتی</v>
          </cell>
          <cell r="N98" t="str">
            <v>وایر</v>
          </cell>
          <cell r="AD98" t="str">
            <v>10:00الی18:00</v>
          </cell>
          <cell r="AF98">
            <v>8</v>
          </cell>
        </row>
        <row r="99">
          <cell r="D99" t="str">
            <v>کریم پرست</v>
          </cell>
          <cell r="N99" t="str">
            <v>تراش</v>
          </cell>
          <cell r="AD99" t="str">
            <v>6:00الی18:00</v>
          </cell>
          <cell r="AF99">
            <v>5</v>
          </cell>
        </row>
        <row r="100">
          <cell r="D100" t="str">
            <v>کریم پرست</v>
          </cell>
          <cell r="N100" t="str">
            <v>تراش</v>
          </cell>
          <cell r="AD100" t="str">
            <v>6:00الی18:00</v>
          </cell>
          <cell r="AF100">
            <v>5</v>
          </cell>
        </row>
        <row r="101">
          <cell r="D101" t="str">
            <v>موسوی</v>
          </cell>
          <cell r="N101" t="str">
            <v>تراش</v>
          </cell>
          <cell r="AD101" t="str">
            <v>6:00الی18:00</v>
          </cell>
          <cell r="AF101">
            <v>11</v>
          </cell>
        </row>
        <row r="102">
          <cell r="D102" t="str">
            <v>قیطاسوند</v>
          </cell>
          <cell r="N102" t="str">
            <v>CNC</v>
          </cell>
          <cell r="AD102" t="str">
            <v>6:00الی12:00</v>
          </cell>
          <cell r="AF102">
            <v>5.5</v>
          </cell>
        </row>
        <row r="103">
          <cell r="D103" t="str">
            <v>قیطاسوند</v>
          </cell>
          <cell r="N103" t="str">
            <v>CNC</v>
          </cell>
          <cell r="AD103" t="str">
            <v>12:00الی18:00</v>
          </cell>
          <cell r="AF103">
            <v>5.5</v>
          </cell>
        </row>
        <row r="104">
          <cell r="D104" t="str">
            <v>صحرایی</v>
          </cell>
          <cell r="N104" t="str">
            <v>تراش</v>
          </cell>
          <cell r="AD104" t="str">
            <v>6:00الی14:00</v>
          </cell>
          <cell r="AF104">
            <v>7.5</v>
          </cell>
        </row>
        <row r="105">
          <cell r="D105" t="str">
            <v>موسوی</v>
          </cell>
          <cell r="N105" t="str">
            <v>تراش</v>
          </cell>
          <cell r="AD105" t="str">
            <v>6:00الی18:00</v>
          </cell>
          <cell r="AF105">
            <v>11</v>
          </cell>
        </row>
        <row r="106">
          <cell r="D106" t="str">
            <v>قیطاسوند</v>
          </cell>
          <cell r="N106" t="str">
            <v>CNC</v>
          </cell>
          <cell r="AD106" t="str">
            <v>7:30الی12:00</v>
          </cell>
          <cell r="AF106">
            <v>4</v>
          </cell>
        </row>
        <row r="107">
          <cell r="D107" t="str">
            <v>قیطاسوند</v>
          </cell>
          <cell r="N107" t="str">
            <v>CNC</v>
          </cell>
          <cell r="AD107" t="str">
            <v>12:00الی18:00</v>
          </cell>
          <cell r="AF107">
            <v>5.5</v>
          </cell>
        </row>
        <row r="108">
          <cell r="D108" t="str">
            <v>صلواتی</v>
          </cell>
          <cell r="N108" t="str">
            <v>وایر</v>
          </cell>
          <cell r="AD108" t="str">
            <v>6:00الی18:00</v>
          </cell>
          <cell r="AF108">
            <v>12</v>
          </cell>
        </row>
        <row r="109">
          <cell r="D109" t="str">
            <v>صلواتی</v>
          </cell>
          <cell r="N109" t="str">
            <v>وایر</v>
          </cell>
          <cell r="AD109" t="str">
            <v>6:00الی10:00</v>
          </cell>
          <cell r="AF109">
            <v>4</v>
          </cell>
        </row>
        <row r="110">
          <cell r="D110" t="str">
            <v>صلواتی</v>
          </cell>
          <cell r="N110" t="str">
            <v>وایر</v>
          </cell>
          <cell r="AD110" t="str">
            <v>10:00الی18:00</v>
          </cell>
          <cell r="AF110">
            <v>8</v>
          </cell>
        </row>
        <row r="111">
          <cell r="D111" t="str">
            <v>صلواتی</v>
          </cell>
          <cell r="N111" t="str">
            <v>وایر</v>
          </cell>
          <cell r="AD111" t="str">
            <v>6:00الی18:00</v>
          </cell>
          <cell r="AF111">
            <v>12</v>
          </cell>
        </row>
        <row r="112">
          <cell r="D112" t="str">
            <v>یاراحمدی</v>
          </cell>
          <cell r="N112" t="str">
            <v>سنگ زنی</v>
          </cell>
          <cell r="AD112" t="str">
            <v>6:00الی18:00</v>
          </cell>
          <cell r="AF112">
            <v>4</v>
          </cell>
        </row>
        <row r="113">
          <cell r="D113" t="str">
            <v>یاراحمدی</v>
          </cell>
          <cell r="N113" t="str">
            <v>سنگ زنی</v>
          </cell>
          <cell r="AD113" t="str">
            <v>6:00الی18:00</v>
          </cell>
          <cell r="AF113">
            <v>2</v>
          </cell>
        </row>
        <row r="114">
          <cell r="D114" t="str">
            <v>یاراحمدی</v>
          </cell>
          <cell r="N114" t="str">
            <v>سنگ زنی</v>
          </cell>
          <cell r="AD114" t="str">
            <v>6:00الی18:00</v>
          </cell>
          <cell r="AF114">
            <v>5</v>
          </cell>
        </row>
        <row r="115">
          <cell r="D115" t="str">
            <v>صحرایی</v>
          </cell>
          <cell r="N115" t="str">
            <v>تراش</v>
          </cell>
          <cell r="AD115" t="str">
            <v>12:00الی14:00</v>
          </cell>
          <cell r="AF115">
            <v>2</v>
          </cell>
        </row>
        <row r="116">
          <cell r="D116" t="str">
            <v>صحرایی</v>
          </cell>
          <cell r="N116" t="str">
            <v>مونتاژ</v>
          </cell>
          <cell r="AD116" t="str">
            <v>6:00الی12:00</v>
          </cell>
          <cell r="AF116">
            <v>3</v>
          </cell>
        </row>
        <row r="117">
          <cell r="D117" t="str">
            <v>صحرایی</v>
          </cell>
          <cell r="N117" t="str">
            <v>تراش</v>
          </cell>
          <cell r="AD117" t="str">
            <v>6:00الی12:00</v>
          </cell>
          <cell r="AF117">
            <v>1</v>
          </cell>
        </row>
        <row r="118">
          <cell r="D118" t="str">
            <v>کریم پرست</v>
          </cell>
          <cell r="N118" t="str">
            <v>تراش</v>
          </cell>
          <cell r="AD118" t="str">
            <v>6:00الی18:00</v>
          </cell>
          <cell r="AF118">
            <v>10</v>
          </cell>
        </row>
        <row r="119">
          <cell r="D119" t="str">
            <v>کریم پرست</v>
          </cell>
          <cell r="N119" t="str">
            <v>تراش</v>
          </cell>
          <cell r="AD119" t="str">
            <v>6:00الی18:00</v>
          </cell>
          <cell r="AF119">
            <v>1</v>
          </cell>
        </row>
        <row r="120">
          <cell r="D120" t="str">
            <v>خیرخواه</v>
          </cell>
          <cell r="N120" t="str">
            <v>مونتاژ</v>
          </cell>
          <cell r="AD120" t="str">
            <v>6:00الی18:00</v>
          </cell>
          <cell r="AF120">
            <v>2</v>
          </cell>
        </row>
        <row r="121">
          <cell r="D121" t="str">
            <v>خیرخواه</v>
          </cell>
          <cell r="N121" t="str">
            <v>مونتاژ</v>
          </cell>
          <cell r="AD121" t="str">
            <v>6:00الی18:00</v>
          </cell>
          <cell r="AF121">
            <v>2</v>
          </cell>
        </row>
        <row r="122">
          <cell r="D122" t="str">
            <v>خیرخواه</v>
          </cell>
          <cell r="N122" t="str">
            <v>مونتاژ</v>
          </cell>
          <cell r="AD122" t="str">
            <v>6:00الی18:00</v>
          </cell>
          <cell r="AF122">
            <v>3</v>
          </cell>
        </row>
        <row r="123">
          <cell r="D123" t="str">
            <v>خیرخواه</v>
          </cell>
          <cell r="N123" t="str">
            <v>مونتاژ</v>
          </cell>
          <cell r="AD123" t="str">
            <v>6:00الی18:00</v>
          </cell>
          <cell r="AF123">
            <v>3</v>
          </cell>
        </row>
        <row r="124">
          <cell r="D124" t="str">
            <v>هاشم زاده</v>
          </cell>
          <cell r="N124" t="str">
            <v>مونتاژ</v>
          </cell>
          <cell r="AD124" t="str">
            <v>6:00الی18:00</v>
          </cell>
          <cell r="AF124">
            <v>2</v>
          </cell>
        </row>
        <row r="125">
          <cell r="D125" t="str">
            <v>هاشم زاده</v>
          </cell>
          <cell r="N125" t="str">
            <v>مونتاژ</v>
          </cell>
          <cell r="AD125" t="str">
            <v>6:00الی18:00</v>
          </cell>
          <cell r="AF125">
            <v>2</v>
          </cell>
        </row>
        <row r="126">
          <cell r="D126" t="str">
            <v>هاشم زاده</v>
          </cell>
          <cell r="N126" t="str">
            <v>مونتاژ</v>
          </cell>
          <cell r="AD126" t="str">
            <v>6:00الی18:00</v>
          </cell>
          <cell r="AF126">
            <v>3</v>
          </cell>
        </row>
        <row r="127">
          <cell r="D127" t="str">
            <v>هاشم زاده</v>
          </cell>
          <cell r="N127" t="str">
            <v>مونتاژ</v>
          </cell>
          <cell r="AD127" t="str">
            <v>6:00الی18:00</v>
          </cell>
          <cell r="AF127">
            <v>3</v>
          </cell>
        </row>
        <row r="128">
          <cell r="D128" t="str">
            <v>هاشم زاده</v>
          </cell>
          <cell r="N128" t="str">
            <v>اره لنگ</v>
          </cell>
          <cell r="AD128" t="str">
            <v>6:00الی18:00</v>
          </cell>
          <cell r="AF128">
            <v>2</v>
          </cell>
        </row>
        <row r="129">
          <cell r="D129" t="str">
            <v>صحرایی</v>
          </cell>
          <cell r="N129" t="str">
            <v>تراش</v>
          </cell>
          <cell r="AD129" t="str">
            <v>6:00الی14:00</v>
          </cell>
          <cell r="AF129">
            <v>4</v>
          </cell>
        </row>
        <row r="130">
          <cell r="D130" t="str">
            <v>صحرایی</v>
          </cell>
          <cell r="N130" t="str">
            <v>مونتاژ</v>
          </cell>
          <cell r="AD130" t="str">
            <v>6:00الی14:00</v>
          </cell>
          <cell r="AF130">
            <v>2</v>
          </cell>
        </row>
        <row r="131">
          <cell r="D131" t="str">
            <v>موسوی</v>
          </cell>
          <cell r="N131" t="str">
            <v>تراش</v>
          </cell>
          <cell r="AD131" t="str">
            <v>6:00الی18:00</v>
          </cell>
          <cell r="AF131">
            <v>11</v>
          </cell>
        </row>
        <row r="132">
          <cell r="D132" t="str">
            <v>قیطاسوند</v>
          </cell>
          <cell r="N132" t="str">
            <v>CNC</v>
          </cell>
          <cell r="AD132" t="str">
            <v>6:00الی18:00</v>
          </cell>
          <cell r="AF132">
            <v>11</v>
          </cell>
        </row>
        <row r="133">
          <cell r="D133" t="str">
            <v>یاراحمدی</v>
          </cell>
          <cell r="N133" t="str">
            <v>سنگ زنی</v>
          </cell>
          <cell r="AD133" t="str">
            <v>6:00الی18:00</v>
          </cell>
          <cell r="AF133">
            <v>10</v>
          </cell>
        </row>
        <row r="134">
          <cell r="D134" t="str">
            <v>یاراحمدی</v>
          </cell>
          <cell r="N134" t="str">
            <v>سنگ زنی</v>
          </cell>
          <cell r="AD134" t="str">
            <v>6:00الی18:00</v>
          </cell>
          <cell r="AF134">
            <v>0.5</v>
          </cell>
        </row>
        <row r="135">
          <cell r="D135" t="str">
            <v>یاراحمدی</v>
          </cell>
          <cell r="N135" t="str">
            <v>سنگ زنی</v>
          </cell>
          <cell r="AD135" t="str">
            <v>6:00الی18:00</v>
          </cell>
          <cell r="AF135">
            <v>0.5</v>
          </cell>
        </row>
        <row r="136">
          <cell r="D136" t="str">
            <v>خیرخواه</v>
          </cell>
          <cell r="N136" t="str">
            <v>مونتاژ</v>
          </cell>
          <cell r="AD136" t="str">
            <v>6:00الی18:00</v>
          </cell>
          <cell r="AF136">
            <v>3</v>
          </cell>
        </row>
        <row r="137">
          <cell r="D137" t="str">
            <v>خیرخواه</v>
          </cell>
          <cell r="N137" t="str">
            <v>دریل رادیال</v>
          </cell>
          <cell r="AD137" t="str">
            <v>6:00الی18:00</v>
          </cell>
          <cell r="AF137">
            <v>3</v>
          </cell>
        </row>
        <row r="138">
          <cell r="D138" t="str">
            <v>خیرخواه</v>
          </cell>
          <cell r="N138" t="str">
            <v>فرز بادی</v>
          </cell>
          <cell r="AD138" t="str">
            <v>6:00الی18:00</v>
          </cell>
          <cell r="AF138">
            <v>3</v>
          </cell>
        </row>
        <row r="139">
          <cell r="D139" t="str">
            <v>حیدری</v>
          </cell>
          <cell r="N139" t="str">
            <v>فرز</v>
          </cell>
          <cell r="AD139" t="str">
            <v>6:00الی10:00</v>
          </cell>
          <cell r="AF139">
            <v>3.5</v>
          </cell>
        </row>
        <row r="140">
          <cell r="D140" t="str">
            <v>حیدری</v>
          </cell>
          <cell r="N140" t="str">
            <v>فرز</v>
          </cell>
          <cell r="AD140" t="str">
            <v>10:00الی14:00</v>
          </cell>
          <cell r="AF140">
            <v>2</v>
          </cell>
        </row>
        <row r="141">
          <cell r="D141" t="str">
            <v>حیدری</v>
          </cell>
          <cell r="N141" t="str">
            <v>فرز</v>
          </cell>
          <cell r="AD141" t="str">
            <v>10:00الی14:00</v>
          </cell>
          <cell r="AF141">
            <v>2</v>
          </cell>
        </row>
        <row r="142">
          <cell r="D142" t="str">
            <v>حیدری</v>
          </cell>
          <cell r="N142" t="str">
            <v>فرز</v>
          </cell>
          <cell r="AD142" t="str">
            <v>14:00الی18:00</v>
          </cell>
          <cell r="AF142">
            <v>3.5</v>
          </cell>
        </row>
        <row r="143">
          <cell r="D143" t="str">
            <v>کریم پرست</v>
          </cell>
          <cell r="N143" t="str">
            <v>تراش</v>
          </cell>
          <cell r="AD143" t="str">
            <v>6:00الی18:00</v>
          </cell>
          <cell r="AF143">
            <v>10</v>
          </cell>
        </row>
        <row r="144">
          <cell r="D144" t="str">
            <v>کریم پرست</v>
          </cell>
          <cell r="N144" t="str">
            <v>تراش</v>
          </cell>
          <cell r="AD144" t="str">
            <v>6:00الی18:00</v>
          </cell>
          <cell r="AF144">
            <v>1</v>
          </cell>
        </row>
        <row r="145">
          <cell r="D145" t="str">
            <v>هاشم زاده</v>
          </cell>
          <cell r="N145" t="str">
            <v>مونتاژ</v>
          </cell>
          <cell r="AD145" t="str">
            <v>6:00الی18:00</v>
          </cell>
          <cell r="AF145">
            <v>2</v>
          </cell>
        </row>
        <row r="146">
          <cell r="D146" t="str">
            <v>هاشم زاده</v>
          </cell>
          <cell r="N146" t="str">
            <v>مونتاژ</v>
          </cell>
          <cell r="AD146" t="str">
            <v>6:00الی18:00</v>
          </cell>
          <cell r="AF146">
            <v>3</v>
          </cell>
        </row>
        <row r="147">
          <cell r="D147" t="str">
            <v>هاشم زاده</v>
          </cell>
          <cell r="N147" t="str">
            <v>مونتاژ</v>
          </cell>
          <cell r="AD147" t="str">
            <v>6:00الی18:00</v>
          </cell>
          <cell r="AF147">
            <v>2</v>
          </cell>
        </row>
        <row r="148">
          <cell r="D148" t="str">
            <v>هاشم زاده</v>
          </cell>
          <cell r="N148" t="str">
            <v>مونتاژ</v>
          </cell>
          <cell r="AD148" t="str">
            <v>6:00الی18:00</v>
          </cell>
          <cell r="AF148">
            <v>2</v>
          </cell>
        </row>
        <row r="149">
          <cell r="D149" t="str">
            <v>قیطاسوند</v>
          </cell>
          <cell r="N149" t="str">
            <v>CNC</v>
          </cell>
          <cell r="AD149" t="str">
            <v>6:00الی12:00</v>
          </cell>
          <cell r="AF149">
            <v>5.5</v>
          </cell>
        </row>
        <row r="150">
          <cell r="D150" t="str">
            <v>قیطاسوند</v>
          </cell>
          <cell r="N150" t="str">
            <v>نظافت</v>
          </cell>
          <cell r="AD150" t="str">
            <v>12:00الی14:00</v>
          </cell>
          <cell r="AF150">
            <v>2</v>
          </cell>
        </row>
        <row r="151">
          <cell r="D151" t="str">
            <v>کریم پرست</v>
          </cell>
          <cell r="N151" t="str">
            <v>تراش</v>
          </cell>
          <cell r="AD151" t="str">
            <v>6:00الی13:00</v>
          </cell>
          <cell r="AF151">
            <v>2</v>
          </cell>
        </row>
        <row r="152">
          <cell r="D152" t="str">
            <v>کریم پرست</v>
          </cell>
          <cell r="N152" t="str">
            <v>تراش</v>
          </cell>
          <cell r="AD152" t="str">
            <v>6:00الی13:00</v>
          </cell>
          <cell r="AF152">
            <v>3.5</v>
          </cell>
        </row>
        <row r="153">
          <cell r="D153" t="str">
            <v>کریم پرست</v>
          </cell>
          <cell r="N153" t="str">
            <v>نظافت</v>
          </cell>
          <cell r="AD153" t="str">
            <v>6:00الی13:00</v>
          </cell>
          <cell r="AF153">
            <v>2</v>
          </cell>
        </row>
        <row r="154">
          <cell r="D154" t="str">
            <v>حیدری</v>
          </cell>
          <cell r="N154" t="str">
            <v>فرز</v>
          </cell>
          <cell r="AD154" t="str">
            <v>6:00الی14:00</v>
          </cell>
          <cell r="AF154">
            <v>2</v>
          </cell>
        </row>
        <row r="155">
          <cell r="D155" t="str">
            <v>حیدری</v>
          </cell>
          <cell r="N155" t="str">
            <v>فرز</v>
          </cell>
          <cell r="AD155" t="str">
            <v>6:00الی14:00</v>
          </cell>
          <cell r="AF155">
            <v>3.5</v>
          </cell>
        </row>
        <row r="156">
          <cell r="D156" t="str">
            <v>حیدری</v>
          </cell>
          <cell r="N156" t="str">
            <v>نظافت</v>
          </cell>
          <cell r="AD156" t="str">
            <v>6:00الی14:00</v>
          </cell>
          <cell r="AF156">
            <v>2</v>
          </cell>
        </row>
        <row r="157">
          <cell r="D157" t="str">
            <v>موسوی</v>
          </cell>
          <cell r="N157" t="str">
            <v>تراش</v>
          </cell>
          <cell r="AD157" t="str">
            <v>7:00الی14:00</v>
          </cell>
          <cell r="AF157">
            <v>5</v>
          </cell>
        </row>
        <row r="158">
          <cell r="D158" t="str">
            <v>موسوی</v>
          </cell>
          <cell r="N158" t="str">
            <v>نظافت</v>
          </cell>
          <cell r="AD158" t="str">
            <v>7:00الی14:00</v>
          </cell>
        </row>
        <row r="159">
          <cell r="D159" t="str">
            <v>هاشم زاده</v>
          </cell>
          <cell r="N159" t="str">
            <v>مونتاژ</v>
          </cell>
          <cell r="AD159" t="str">
            <v>6:00الی14:00</v>
          </cell>
        </row>
        <row r="160">
          <cell r="D160" t="str">
            <v>هاشم زاده</v>
          </cell>
          <cell r="N160" t="str">
            <v>اره لنگ</v>
          </cell>
          <cell r="AD160" t="str">
            <v>6:00الی14:00</v>
          </cell>
        </row>
        <row r="161">
          <cell r="D161" t="str">
            <v>هاشم زاده</v>
          </cell>
          <cell r="N161" t="str">
            <v>نظافت</v>
          </cell>
          <cell r="AD161" t="str">
            <v>6:00الی14:00</v>
          </cell>
        </row>
        <row r="162">
          <cell r="D162" t="str">
            <v>یاراحمدی</v>
          </cell>
          <cell r="N162" t="str">
            <v>سنگ زنی</v>
          </cell>
          <cell r="AD162" t="str">
            <v>6:00الی14:00</v>
          </cell>
        </row>
        <row r="163">
          <cell r="D163" t="str">
            <v>یاراحمدی</v>
          </cell>
          <cell r="N163" t="str">
            <v>سنگ زنی</v>
          </cell>
          <cell r="AD163" t="str">
            <v>6:00الی14:00</v>
          </cell>
        </row>
        <row r="164">
          <cell r="D164" t="str">
            <v>یاراحمدی</v>
          </cell>
          <cell r="N164" t="str">
            <v>سنگ زنی</v>
          </cell>
          <cell r="AD164" t="str">
            <v>6:00الی14:00</v>
          </cell>
        </row>
        <row r="165">
          <cell r="D165" t="str">
            <v>یاراحمدی</v>
          </cell>
          <cell r="N165" t="str">
            <v>نظافت</v>
          </cell>
          <cell r="AD165" t="str">
            <v>6:00الی14:00</v>
          </cell>
        </row>
        <row r="166">
          <cell r="D166" t="str">
            <v>صحرایی</v>
          </cell>
          <cell r="N166" t="str">
            <v>مونتاژ</v>
          </cell>
          <cell r="AD166" t="str">
            <v>6:00الی10:00</v>
          </cell>
        </row>
        <row r="167">
          <cell r="D167" t="str">
            <v>صحرایی</v>
          </cell>
          <cell r="N167" t="str">
            <v>مونتاژ</v>
          </cell>
          <cell r="AD167" t="str">
            <v>6:00الی10:00</v>
          </cell>
        </row>
        <row r="168">
          <cell r="D168" t="str">
            <v>صحرایی</v>
          </cell>
          <cell r="N168" t="str">
            <v>نظافت</v>
          </cell>
          <cell r="AD168" t="str">
            <v>6:00الی10:00</v>
          </cell>
        </row>
        <row r="169">
          <cell r="D169" t="str">
            <v>خیرخواه</v>
          </cell>
          <cell r="N169" t="str">
            <v>دریل رادیال</v>
          </cell>
          <cell r="AD169" t="str">
            <v>6:00الی14:00</v>
          </cell>
        </row>
        <row r="170">
          <cell r="D170" t="str">
            <v>خیرخواه</v>
          </cell>
          <cell r="N170" t="str">
            <v>اره لنگ</v>
          </cell>
          <cell r="AD170" t="str">
            <v>6:00الی14:00</v>
          </cell>
        </row>
        <row r="171">
          <cell r="D171" t="str">
            <v>خیرخواه</v>
          </cell>
          <cell r="N171" t="str">
            <v>دریل رادیال</v>
          </cell>
          <cell r="AD171" t="str">
            <v>6:00الی14:00</v>
          </cell>
        </row>
        <row r="172">
          <cell r="D172" t="str">
            <v>خیرخواه</v>
          </cell>
          <cell r="N172" t="str">
            <v>دریل رادیال</v>
          </cell>
          <cell r="AD172" t="str">
            <v>6:00الی14:00</v>
          </cell>
        </row>
        <row r="173">
          <cell r="D173" t="str">
            <v>خیرخواه</v>
          </cell>
          <cell r="N173" t="str">
            <v>نظافت</v>
          </cell>
          <cell r="AD173" t="str">
            <v>6:00الی14:00</v>
          </cell>
        </row>
        <row r="174">
          <cell r="D174" t="str">
            <v>صلواتی</v>
          </cell>
          <cell r="N174" t="str">
            <v>وایر</v>
          </cell>
          <cell r="AD174" t="str">
            <v>6:00الی18:00</v>
          </cell>
        </row>
        <row r="175">
          <cell r="D175" t="str">
            <v>صلواتی</v>
          </cell>
          <cell r="N175" t="str">
            <v>مونتاژ</v>
          </cell>
          <cell r="AD175" t="str">
            <v>6:00الی18:00</v>
          </cell>
        </row>
        <row r="176">
          <cell r="D176" t="str">
            <v>هاشم زاده</v>
          </cell>
          <cell r="N176" t="str">
            <v>مونتاژ</v>
          </cell>
          <cell r="AD176" t="str">
            <v>6:00الی18:00</v>
          </cell>
        </row>
        <row r="177">
          <cell r="D177" t="str">
            <v>صحرایی</v>
          </cell>
          <cell r="N177" t="str">
            <v>مونتاژ</v>
          </cell>
          <cell r="AD177" t="str">
            <v>6:00الی11:30</v>
          </cell>
        </row>
        <row r="178">
          <cell r="D178" t="str">
            <v>کریم پرست</v>
          </cell>
          <cell r="N178" t="str">
            <v>تراش</v>
          </cell>
          <cell r="AD178" t="str">
            <v>6:00الی16:00</v>
          </cell>
        </row>
        <row r="179">
          <cell r="D179" t="str">
            <v>کریم پرست</v>
          </cell>
          <cell r="N179" t="str">
            <v>تراش</v>
          </cell>
          <cell r="AD179" t="str">
            <v>6:00الی16:00</v>
          </cell>
        </row>
        <row r="180">
          <cell r="D180" t="str">
            <v>حیدری</v>
          </cell>
          <cell r="N180" t="str">
            <v>فرز</v>
          </cell>
          <cell r="AD180" t="str">
            <v>6:00الی10:00</v>
          </cell>
        </row>
        <row r="181">
          <cell r="D181" t="str">
            <v>حیدری</v>
          </cell>
          <cell r="N181" t="str">
            <v>فرز</v>
          </cell>
          <cell r="AD181" t="str">
            <v>10:00الی13:00</v>
          </cell>
        </row>
        <row r="182">
          <cell r="D182" t="str">
            <v>حیدری</v>
          </cell>
          <cell r="N182" t="str">
            <v>فرز</v>
          </cell>
          <cell r="AD182" t="str">
            <v>13:00الی13:45</v>
          </cell>
        </row>
        <row r="183">
          <cell r="D183" t="str">
            <v>حیدری</v>
          </cell>
          <cell r="N183" t="str">
            <v>فرز</v>
          </cell>
          <cell r="AD183" t="str">
            <v>13:45الی18:00</v>
          </cell>
        </row>
        <row r="184">
          <cell r="D184" t="str">
            <v>یاراحمدی</v>
          </cell>
          <cell r="N184" t="str">
            <v>سنگ زنی</v>
          </cell>
          <cell r="AD184" t="str">
            <v>6:00الی18:00</v>
          </cell>
        </row>
        <row r="185">
          <cell r="D185" t="str">
            <v>یاراحمدی</v>
          </cell>
          <cell r="N185" t="str">
            <v>سنگ زنی</v>
          </cell>
          <cell r="AD185" t="str">
            <v>6:00الی18:00</v>
          </cell>
        </row>
        <row r="186">
          <cell r="D186" t="str">
            <v>یاراحمدی</v>
          </cell>
          <cell r="N186" t="str">
            <v>سنگ زنی</v>
          </cell>
          <cell r="AD186" t="str">
            <v>6:00الی18:00</v>
          </cell>
        </row>
        <row r="187">
          <cell r="D187" t="str">
            <v>یاراحمدی</v>
          </cell>
          <cell r="N187" t="str">
            <v>سنگ زنی</v>
          </cell>
          <cell r="AD187" t="str">
            <v>6:00الی18:00</v>
          </cell>
        </row>
        <row r="188">
          <cell r="D188" t="str">
            <v>موسوی</v>
          </cell>
          <cell r="N188" t="str">
            <v>تراش</v>
          </cell>
          <cell r="AD188" t="str">
            <v>6:00الی18:00</v>
          </cell>
        </row>
        <row r="189">
          <cell r="D189" t="str">
            <v>موسوی</v>
          </cell>
          <cell r="N189" t="str">
            <v>تراش</v>
          </cell>
          <cell r="AD189" t="str">
            <v>6:00الی18:00</v>
          </cell>
        </row>
        <row r="190">
          <cell r="D190" t="str">
            <v>موسوی</v>
          </cell>
          <cell r="N190" t="str">
            <v>تراش</v>
          </cell>
          <cell r="AD190" t="str">
            <v>6:00الی18:00</v>
          </cell>
        </row>
        <row r="191">
          <cell r="D191" t="str">
            <v>قیطاسوند</v>
          </cell>
          <cell r="N191" t="str">
            <v>CNC</v>
          </cell>
          <cell r="AD191" t="str">
            <v>6:00الی11:30</v>
          </cell>
        </row>
        <row r="192">
          <cell r="D192" t="str">
            <v>قیطاسوند</v>
          </cell>
          <cell r="N192" t="str">
            <v>CNC</v>
          </cell>
          <cell r="AD192" t="str">
            <v>11:30الی14:00</v>
          </cell>
        </row>
        <row r="193">
          <cell r="D193" t="str">
            <v>قیطاسوند</v>
          </cell>
          <cell r="N193" t="str">
            <v>CNC</v>
          </cell>
          <cell r="AD193" t="str">
            <v>14:30الی18:00</v>
          </cell>
        </row>
        <row r="194">
          <cell r="D194" t="str">
            <v>صلواتی</v>
          </cell>
          <cell r="N194" t="str">
            <v>وایر</v>
          </cell>
          <cell r="AD194" t="str">
            <v>6:00الی18:00</v>
          </cell>
        </row>
        <row r="195">
          <cell r="D195" t="str">
            <v>صلواتی</v>
          </cell>
          <cell r="N195" t="str">
            <v>مونتاژ</v>
          </cell>
          <cell r="AD195" t="str">
            <v>6:00الی18:00</v>
          </cell>
        </row>
        <row r="196">
          <cell r="D196" t="str">
            <v>صلواتی</v>
          </cell>
          <cell r="N196" t="str">
            <v>وایر</v>
          </cell>
          <cell r="AD196" t="str">
            <v>6:00الی18:00</v>
          </cell>
        </row>
        <row r="197">
          <cell r="D197" t="str">
            <v>صلواتی</v>
          </cell>
          <cell r="N197" t="str">
            <v>وایر</v>
          </cell>
          <cell r="AD197" t="str">
            <v>6:00الی18:00</v>
          </cell>
        </row>
        <row r="198">
          <cell r="D198" t="str">
            <v>صلواتی</v>
          </cell>
          <cell r="N198" t="str">
            <v>وایر</v>
          </cell>
          <cell r="AD198" t="str">
            <v>6:00الی18:00</v>
          </cell>
        </row>
        <row r="199">
          <cell r="D199" t="str">
            <v>صلواتی</v>
          </cell>
          <cell r="N199" t="str">
            <v>وایر</v>
          </cell>
          <cell r="AD199" t="str">
            <v>6:00الی18:00</v>
          </cell>
        </row>
        <row r="200">
          <cell r="D200" t="str">
            <v>صلواتی</v>
          </cell>
          <cell r="N200" t="str">
            <v>وایر</v>
          </cell>
          <cell r="AD200" t="str">
            <v>6:00الی18:00</v>
          </cell>
        </row>
        <row r="201">
          <cell r="D201" t="str">
            <v>صلواتی</v>
          </cell>
          <cell r="N201" t="str">
            <v>وایر</v>
          </cell>
          <cell r="AD201" t="str">
            <v>6:00الی18:00</v>
          </cell>
        </row>
        <row r="202">
          <cell r="D202" t="str">
            <v>موسوی</v>
          </cell>
          <cell r="N202" t="str">
            <v>تراش</v>
          </cell>
          <cell r="AD202" t="str">
            <v>6:00الی18:00</v>
          </cell>
        </row>
        <row r="203">
          <cell r="D203" t="str">
            <v>قیطاسوند</v>
          </cell>
          <cell r="N203" t="str">
            <v>CNC</v>
          </cell>
          <cell r="AD203" t="str">
            <v>6:00الی12:00</v>
          </cell>
        </row>
        <row r="204">
          <cell r="D204" t="str">
            <v>قیطاسوند</v>
          </cell>
          <cell r="N204" t="str">
            <v>CNC</v>
          </cell>
          <cell r="AD204" t="str">
            <v>12:00الی14:00</v>
          </cell>
        </row>
        <row r="205">
          <cell r="D205" t="str">
            <v>قیطاسوند</v>
          </cell>
          <cell r="N205" t="str">
            <v>CNC</v>
          </cell>
          <cell r="AD205" t="str">
            <v>14:30الی18:00</v>
          </cell>
        </row>
        <row r="206">
          <cell r="D206" t="str">
            <v>قیطاسوند</v>
          </cell>
          <cell r="N206" t="str">
            <v>مونتاژ</v>
          </cell>
          <cell r="AD206" t="str">
            <v>6:00الی18:00</v>
          </cell>
        </row>
        <row r="207">
          <cell r="D207" t="str">
            <v>کریم پرست</v>
          </cell>
          <cell r="N207" t="str">
            <v>تراش</v>
          </cell>
          <cell r="AD207" t="str">
            <v>6:00الی18:00</v>
          </cell>
        </row>
        <row r="208">
          <cell r="D208" t="str">
            <v>کریم پرست</v>
          </cell>
          <cell r="N208" t="str">
            <v>تراش</v>
          </cell>
          <cell r="AD208" t="str">
            <v>6:00الی18:00</v>
          </cell>
        </row>
        <row r="209">
          <cell r="D209" t="str">
            <v>کریم پرست</v>
          </cell>
          <cell r="N209" t="str">
            <v>تراش</v>
          </cell>
          <cell r="AD209" t="str">
            <v>6:00الی18:00</v>
          </cell>
        </row>
        <row r="210">
          <cell r="D210" t="str">
            <v>صحرایی</v>
          </cell>
          <cell r="N210" t="str">
            <v>مونتاژ</v>
          </cell>
          <cell r="AD210" t="str">
            <v>6:00الی14:00</v>
          </cell>
        </row>
        <row r="211">
          <cell r="D211" t="str">
            <v>هاشم زاده</v>
          </cell>
          <cell r="N211" t="str">
            <v>مونتاژ</v>
          </cell>
          <cell r="AD211" t="str">
            <v>6:00الی18:00</v>
          </cell>
        </row>
        <row r="212">
          <cell r="D212" t="str">
            <v>هاشم زاده</v>
          </cell>
          <cell r="N212" t="str">
            <v>اره لنگ</v>
          </cell>
          <cell r="AD212" t="str">
            <v>6:00الی18:00</v>
          </cell>
        </row>
        <row r="213">
          <cell r="D213" t="str">
            <v>هاشم زاده</v>
          </cell>
          <cell r="N213" t="str">
            <v>مونتاژ</v>
          </cell>
          <cell r="AD213" t="str">
            <v>6:00الی18:00</v>
          </cell>
        </row>
        <row r="214">
          <cell r="D214" t="str">
            <v>حیدری</v>
          </cell>
          <cell r="N214" t="str">
            <v>فرز</v>
          </cell>
          <cell r="AD214" t="str">
            <v>6:00الی10:00</v>
          </cell>
        </row>
        <row r="215">
          <cell r="D215" t="str">
            <v>حیدری</v>
          </cell>
          <cell r="N215" t="str">
            <v>فرز</v>
          </cell>
          <cell r="AD215" t="str">
            <v>10:00الی14:00</v>
          </cell>
        </row>
        <row r="216">
          <cell r="D216" t="str">
            <v>حیدری</v>
          </cell>
          <cell r="N216" t="str">
            <v>فرز</v>
          </cell>
          <cell r="AD216" t="str">
            <v>14:00الی18:00</v>
          </cell>
        </row>
        <row r="217">
          <cell r="D217" t="str">
            <v>خیرخواه</v>
          </cell>
          <cell r="N217" t="str">
            <v>مونتاژ</v>
          </cell>
          <cell r="AD217" t="str">
            <v>6:00الی14:00</v>
          </cell>
        </row>
        <row r="218">
          <cell r="D218" t="str">
            <v>خیرخواه</v>
          </cell>
          <cell r="N218" t="str">
            <v>دریل رادیال</v>
          </cell>
          <cell r="AD218" t="str">
            <v>6:00الی14:00</v>
          </cell>
        </row>
        <row r="219">
          <cell r="D219" t="str">
            <v>خیرخواه</v>
          </cell>
          <cell r="N219" t="str">
            <v>دریل رادیال</v>
          </cell>
          <cell r="AD219" t="str">
            <v>6:00الی14:00</v>
          </cell>
        </row>
        <row r="220">
          <cell r="D220" t="str">
            <v>خیرخواه</v>
          </cell>
          <cell r="N220" t="str">
            <v>دریل رادیال</v>
          </cell>
          <cell r="AD220" t="str">
            <v>6:00الی18:00</v>
          </cell>
        </row>
        <row r="221">
          <cell r="D221" t="str">
            <v>خیرخواه</v>
          </cell>
          <cell r="N221" t="str">
            <v>دریل رادیال</v>
          </cell>
          <cell r="AD221" t="str">
            <v>6:00الی18:00</v>
          </cell>
        </row>
        <row r="222">
          <cell r="D222" t="str">
            <v>خیرخواه</v>
          </cell>
          <cell r="N222" t="str">
            <v>دریل رادیال</v>
          </cell>
          <cell r="AD222" t="str">
            <v>6:00الی18:00</v>
          </cell>
        </row>
        <row r="223">
          <cell r="D223" t="str">
            <v>قیطاسوند</v>
          </cell>
          <cell r="N223" t="str">
            <v>مونتاژ</v>
          </cell>
          <cell r="AD223" t="str">
            <v>6:00الی18:00</v>
          </cell>
        </row>
        <row r="224">
          <cell r="D224" t="str">
            <v>یاراحمدی</v>
          </cell>
          <cell r="N224" t="str">
            <v>سنگ زنی</v>
          </cell>
          <cell r="AD224" t="str">
            <v>6:00الی18:00</v>
          </cell>
        </row>
        <row r="225">
          <cell r="D225" t="str">
            <v>یاراحمدی</v>
          </cell>
          <cell r="N225" t="str">
            <v>فرز</v>
          </cell>
          <cell r="AD225" t="str">
            <v>6:00الی18:00</v>
          </cell>
        </row>
        <row r="226">
          <cell r="D226" t="str">
            <v>کریم پرست</v>
          </cell>
          <cell r="N226" t="str">
            <v>تراش</v>
          </cell>
          <cell r="AD226" t="str">
            <v>6:00الی18:00</v>
          </cell>
        </row>
        <row r="227">
          <cell r="D227" t="str">
            <v>کریم پرست</v>
          </cell>
          <cell r="N227" t="str">
            <v>تراش</v>
          </cell>
          <cell r="AD227" t="str">
            <v>6:00الی18:00</v>
          </cell>
        </row>
        <row r="228">
          <cell r="D228" t="str">
            <v>هاشم زاده</v>
          </cell>
          <cell r="N228" t="str">
            <v>مونتاژ</v>
          </cell>
          <cell r="AD228" t="str">
            <v>6:00الی18:00</v>
          </cell>
        </row>
        <row r="229">
          <cell r="D229" t="str">
            <v>هاشم زاده</v>
          </cell>
          <cell r="N229" t="str">
            <v>مونتاژ</v>
          </cell>
          <cell r="AD229" t="str">
            <v>6:00الی18:00</v>
          </cell>
        </row>
        <row r="230">
          <cell r="D230" t="str">
            <v>هاشم زاده</v>
          </cell>
          <cell r="N230" t="str">
            <v>مونتاژ</v>
          </cell>
          <cell r="AD230" t="str">
            <v>6:00الی18:00</v>
          </cell>
        </row>
        <row r="231">
          <cell r="D231" t="str">
            <v>هاشم زاده</v>
          </cell>
          <cell r="N231" t="str">
            <v>مونتاژ</v>
          </cell>
          <cell r="AD231" t="str">
            <v>6:00الی18:00</v>
          </cell>
        </row>
        <row r="232">
          <cell r="D232" t="str">
            <v>هاشم زاده</v>
          </cell>
          <cell r="N232" t="str">
            <v>مونتاژ</v>
          </cell>
          <cell r="AD232" t="str">
            <v>8:00الی13:00</v>
          </cell>
        </row>
        <row r="233">
          <cell r="D233" t="str">
            <v>هاشم زاده</v>
          </cell>
          <cell r="N233" t="str">
            <v>مونتاژ</v>
          </cell>
          <cell r="AD233" t="str">
            <v>8:00الی13:00</v>
          </cell>
        </row>
        <row r="234">
          <cell r="D234" t="str">
            <v>حیدری</v>
          </cell>
          <cell r="N234" t="str">
            <v>فرز</v>
          </cell>
          <cell r="AD234" t="str">
            <v>6:00الی18:00</v>
          </cell>
        </row>
        <row r="235">
          <cell r="D235" t="str">
            <v>حیدری</v>
          </cell>
          <cell r="N235" t="str">
            <v>فرز</v>
          </cell>
          <cell r="AD235" t="str">
            <v>7:00الی13:10</v>
          </cell>
        </row>
        <row r="236">
          <cell r="D236" t="str">
            <v>صحرایی</v>
          </cell>
          <cell r="N236" t="str">
            <v>سری تراش</v>
          </cell>
          <cell r="AD236" t="str">
            <v>6:00الی14:00</v>
          </cell>
        </row>
        <row r="237">
          <cell r="D237" t="str">
            <v>قیطاسوند</v>
          </cell>
          <cell r="N237" t="str">
            <v>CNC</v>
          </cell>
          <cell r="AD237" t="str">
            <v>6:00الی18:00</v>
          </cell>
        </row>
        <row r="238">
          <cell r="D238" t="str">
            <v>قیطاسوند</v>
          </cell>
          <cell r="N238" t="str">
            <v>CNC</v>
          </cell>
          <cell r="AD238" t="str">
            <v>8:00الی12:30</v>
          </cell>
        </row>
        <row r="239">
          <cell r="D239" t="str">
            <v>خیرخواه</v>
          </cell>
          <cell r="N239" t="str">
            <v>دریل رادیال</v>
          </cell>
          <cell r="AD239" t="str">
            <v>9:00الی13:30</v>
          </cell>
        </row>
        <row r="240">
          <cell r="D240" t="str">
            <v>خیرخواه</v>
          </cell>
          <cell r="N240" t="str">
            <v>سنگ زنی</v>
          </cell>
          <cell r="AD240" t="str">
            <v>6:00الی18:00</v>
          </cell>
        </row>
        <row r="241">
          <cell r="D241" t="str">
            <v>خیرخواه</v>
          </cell>
          <cell r="N241" t="str">
            <v>سنگ زنی</v>
          </cell>
          <cell r="AD241" t="str">
            <v>6:00الی18:00</v>
          </cell>
        </row>
        <row r="242">
          <cell r="D242" t="str">
            <v>خیرخواه</v>
          </cell>
          <cell r="N242" t="str">
            <v>مونتاژ</v>
          </cell>
          <cell r="AD242" t="str">
            <v>6:00الی18:00</v>
          </cell>
        </row>
        <row r="243">
          <cell r="D243" t="str">
            <v>خیرخواه</v>
          </cell>
          <cell r="N243" t="str">
            <v>مونتاژ</v>
          </cell>
          <cell r="AD243" t="str">
            <v>6:00الی18:00</v>
          </cell>
        </row>
        <row r="244">
          <cell r="D244" t="str">
            <v>موسوی</v>
          </cell>
          <cell r="N244" t="str">
            <v>تراش</v>
          </cell>
          <cell r="AD244" t="str">
            <v>6:00الی18:00</v>
          </cell>
        </row>
        <row r="245">
          <cell r="D245" t="str">
            <v>صحرایی</v>
          </cell>
          <cell r="N245" t="str">
            <v>سری تراش</v>
          </cell>
          <cell r="AD245" t="str">
            <v>6:00الی14:00</v>
          </cell>
        </row>
        <row r="246">
          <cell r="D246" t="str">
            <v>کریم پرست</v>
          </cell>
          <cell r="N246" t="str">
            <v>تراش</v>
          </cell>
          <cell r="AD246" t="str">
            <v>6:00الی14:00</v>
          </cell>
        </row>
        <row r="247">
          <cell r="D247" t="str">
            <v>کریم پرست</v>
          </cell>
          <cell r="N247" t="str">
            <v>تراش</v>
          </cell>
          <cell r="AD247" t="str">
            <v>6:00الی14:00</v>
          </cell>
        </row>
        <row r="248">
          <cell r="D248" t="str">
            <v>حیدری</v>
          </cell>
          <cell r="N248" t="str">
            <v>فرز</v>
          </cell>
          <cell r="AD248" t="str">
            <v>6:00الی18:00</v>
          </cell>
        </row>
        <row r="249">
          <cell r="D249" t="str">
            <v>قیطاسوند</v>
          </cell>
          <cell r="N249" t="str">
            <v>CNC</v>
          </cell>
          <cell r="AD249" t="str">
            <v>6:00الی14:00</v>
          </cell>
        </row>
        <row r="250">
          <cell r="D250" t="str">
            <v>قیطاسوند</v>
          </cell>
          <cell r="N250" t="str">
            <v>CNC</v>
          </cell>
          <cell r="AD250" t="str">
            <v>14:30الی18:00</v>
          </cell>
        </row>
        <row r="251">
          <cell r="D251" t="str">
            <v>یاراحمدی</v>
          </cell>
          <cell r="N251" t="str">
            <v>فرز</v>
          </cell>
          <cell r="AD251" t="str">
            <v>6:00الی18:00</v>
          </cell>
        </row>
        <row r="252">
          <cell r="D252" t="str">
            <v>یاراحمدی</v>
          </cell>
          <cell r="N252" t="str">
            <v>سنگ زنی</v>
          </cell>
          <cell r="AD252" t="str">
            <v>6:00الی18:00</v>
          </cell>
        </row>
        <row r="253">
          <cell r="D253" t="str">
            <v>یاراحمدی</v>
          </cell>
          <cell r="N253" t="str">
            <v>سنگ زنی</v>
          </cell>
          <cell r="AD253" t="str">
            <v>6:00الی18:00</v>
          </cell>
        </row>
        <row r="254">
          <cell r="D254" t="str">
            <v>یاراحمدی</v>
          </cell>
          <cell r="N254" t="str">
            <v>سنگ زنی</v>
          </cell>
          <cell r="AD254" t="str">
            <v>6:00الی18:00</v>
          </cell>
        </row>
        <row r="255">
          <cell r="D255" t="str">
            <v>موسوی</v>
          </cell>
          <cell r="N255" t="str">
            <v>تراش</v>
          </cell>
          <cell r="AD255" t="str">
            <v>6:00الی15:00</v>
          </cell>
        </row>
        <row r="256">
          <cell r="D256" t="str">
            <v>موسوی</v>
          </cell>
          <cell r="N256" t="str">
            <v>تراش</v>
          </cell>
          <cell r="AD256" t="str">
            <v>6:00الی15:00</v>
          </cell>
        </row>
        <row r="257">
          <cell r="D257" t="str">
            <v>موسوی</v>
          </cell>
          <cell r="N257" t="str">
            <v>تراش</v>
          </cell>
          <cell r="AD257" t="str">
            <v>6:00الی15:00</v>
          </cell>
        </row>
        <row r="258">
          <cell r="D258" t="str">
            <v>هاشم زاده</v>
          </cell>
          <cell r="N258" t="str">
            <v>مونتاژ</v>
          </cell>
          <cell r="AD258" t="str">
            <v>6:00الی18:00</v>
          </cell>
        </row>
        <row r="259">
          <cell r="D259" t="str">
            <v>هاشم زاده</v>
          </cell>
          <cell r="N259" t="str">
            <v>مونتاژ</v>
          </cell>
          <cell r="AD259" t="str">
            <v>6:00الی18:00</v>
          </cell>
        </row>
        <row r="260">
          <cell r="D260" t="str">
            <v>هاشم زاده</v>
          </cell>
          <cell r="N260" t="str">
            <v>سنگ زنی</v>
          </cell>
          <cell r="AD260" t="str">
            <v>6:00الی18:00</v>
          </cell>
        </row>
        <row r="261">
          <cell r="D261" t="str">
            <v>هاشم زاده</v>
          </cell>
          <cell r="N261" t="str">
            <v>مونتاژ</v>
          </cell>
          <cell r="AD261" t="str">
            <v>6:00الی18:00</v>
          </cell>
        </row>
        <row r="262">
          <cell r="D262" t="str">
            <v>هاشم زاده</v>
          </cell>
          <cell r="N262" t="str">
            <v>دریل رادیال</v>
          </cell>
          <cell r="AD262" t="str">
            <v>6:00الی18:00</v>
          </cell>
        </row>
        <row r="263">
          <cell r="D263" t="str">
            <v>خیرخواه</v>
          </cell>
          <cell r="N263" t="str">
            <v>دریل رادیال</v>
          </cell>
          <cell r="AD263" t="str">
            <v>6:00الی18:00</v>
          </cell>
        </row>
        <row r="264">
          <cell r="D264" t="str">
            <v>خیرخواه</v>
          </cell>
          <cell r="N264" t="str">
            <v>دریل رادیال</v>
          </cell>
          <cell r="AD264" t="str">
            <v>6:00الی18:00</v>
          </cell>
        </row>
        <row r="265">
          <cell r="D265" t="str">
            <v>خیرخواه</v>
          </cell>
          <cell r="N265" t="str">
            <v>مونتاژ</v>
          </cell>
          <cell r="AD265" t="str">
            <v>6:00الی18:00</v>
          </cell>
        </row>
        <row r="266">
          <cell r="D266" t="str">
            <v>خیرخواه</v>
          </cell>
          <cell r="N266" t="str">
            <v>مونتاژ</v>
          </cell>
          <cell r="AD266" t="str">
            <v>6:00الی18:00</v>
          </cell>
        </row>
        <row r="267">
          <cell r="D267" t="str">
            <v>خیرخواه</v>
          </cell>
          <cell r="N267" t="str">
            <v>مونتاژ</v>
          </cell>
          <cell r="AD267" t="str">
            <v>6:00الی18:00</v>
          </cell>
        </row>
        <row r="268">
          <cell r="D268" t="str">
            <v>حیدری</v>
          </cell>
          <cell r="N268" t="str">
            <v>فرز</v>
          </cell>
          <cell r="AD268" t="str">
            <v>6:00الی10:00</v>
          </cell>
        </row>
        <row r="269">
          <cell r="D269" t="str">
            <v>حیدری</v>
          </cell>
          <cell r="N269" t="str">
            <v>فرز</v>
          </cell>
          <cell r="AD269" t="str">
            <v>10:00الی13:00</v>
          </cell>
        </row>
        <row r="270">
          <cell r="D270" t="str">
            <v>یاراحمدی</v>
          </cell>
          <cell r="N270" t="str">
            <v>فرز</v>
          </cell>
          <cell r="AD270" t="str">
            <v>6:00الی14:00</v>
          </cell>
        </row>
        <row r="271">
          <cell r="D271" t="str">
            <v>یاراحمدی</v>
          </cell>
          <cell r="N271" t="str">
            <v>سنگ زنی</v>
          </cell>
          <cell r="AD271" t="str">
            <v>6:00الی14:00</v>
          </cell>
        </row>
        <row r="272">
          <cell r="D272" t="str">
            <v>یاراحمدی</v>
          </cell>
          <cell r="N272" t="str">
            <v>نظافت</v>
          </cell>
          <cell r="AD272" t="str">
            <v>6:00الی14:00</v>
          </cell>
        </row>
        <row r="273">
          <cell r="D273" t="str">
            <v>موسوی</v>
          </cell>
          <cell r="N273" t="str">
            <v>تراش</v>
          </cell>
          <cell r="AD273" t="str">
            <v>6:00الی14:00</v>
          </cell>
        </row>
        <row r="274">
          <cell r="D274" t="str">
            <v>موسوی</v>
          </cell>
          <cell r="N274" t="str">
            <v>مونتاژ</v>
          </cell>
          <cell r="AD274" t="str">
            <v>6:00الی14:00</v>
          </cell>
        </row>
        <row r="275">
          <cell r="D275" t="str">
            <v>موسوی</v>
          </cell>
          <cell r="N275" t="str">
            <v>نظافت</v>
          </cell>
          <cell r="AD275" t="str">
            <v>6:00الی14:00</v>
          </cell>
        </row>
        <row r="276">
          <cell r="D276" t="str">
            <v>کریم پرست</v>
          </cell>
          <cell r="N276" t="str">
            <v>تراش</v>
          </cell>
          <cell r="AD276" t="str">
            <v>6:00الی14:00</v>
          </cell>
        </row>
        <row r="277">
          <cell r="D277" t="str">
            <v>کریم پرست</v>
          </cell>
          <cell r="N277" t="str">
            <v>تراش</v>
          </cell>
          <cell r="AD277" t="str">
            <v>6:00الی14:00</v>
          </cell>
        </row>
        <row r="278">
          <cell r="D278" t="str">
            <v>صحرایی</v>
          </cell>
          <cell r="N278" t="str">
            <v>سری تراش</v>
          </cell>
          <cell r="AD278" t="str">
            <v>6:00الی14:00</v>
          </cell>
        </row>
        <row r="279">
          <cell r="D279" t="str">
            <v>خیرخواه</v>
          </cell>
          <cell r="N279" t="str">
            <v>مونتاژ</v>
          </cell>
          <cell r="AD279" t="str">
            <v>6:00الی14:00</v>
          </cell>
        </row>
        <row r="280">
          <cell r="D280" t="str">
            <v>خیرخواه</v>
          </cell>
          <cell r="N280" t="str">
            <v>دریل رادیال</v>
          </cell>
          <cell r="AD280" t="str">
            <v>6:00الی14:00</v>
          </cell>
        </row>
        <row r="281">
          <cell r="D281" t="str">
            <v>خیرخواه</v>
          </cell>
          <cell r="N281" t="str">
            <v>نظافت</v>
          </cell>
          <cell r="AD281" t="str">
            <v>6:00الی14:00</v>
          </cell>
        </row>
        <row r="282">
          <cell r="D282" t="str">
            <v>صحرایی</v>
          </cell>
          <cell r="N282" t="str">
            <v>سری تراش</v>
          </cell>
          <cell r="AD282" t="str">
            <v>6:00الی14:00</v>
          </cell>
        </row>
        <row r="283">
          <cell r="D283" t="str">
            <v>واقفی</v>
          </cell>
          <cell r="N283" t="str">
            <v>سوپر دریل</v>
          </cell>
          <cell r="AD283" t="str">
            <v>9:00الی18:00</v>
          </cell>
        </row>
        <row r="284">
          <cell r="D284" t="str">
            <v>کریم پرست</v>
          </cell>
          <cell r="N284" t="str">
            <v>تراش</v>
          </cell>
          <cell r="AD284" t="str">
            <v>6:00الی18:00</v>
          </cell>
        </row>
        <row r="285">
          <cell r="D285" t="str">
            <v>کریم پرست</v>
          </cell>
          <cell r="N285" t="str">
            <v>تراش</v>
          </cell>
          <cell r="AD285" t="str">
            <v>6:00الی18:00</v>
          </cell>
        </row>
        <row r="286">
          <cell r="D286" t="str">
            <v>کریم پرست</v>
          </cell>
          <cell r="N286" t="str">
            <v>تراش</v>
          </cell>
          <cell r="AD286" t="str">
            <v>6:00الی18:00</v>
          </cell>
        </row>
        <row r="287">
          <cell r="D287" t="str">
            <v>قیطاسوند</v>
          </cell>
          <cell r="N287" t="str">
            <v>CNC</v>
          </cell>
          <cell r="AD287" t="str">
            <v>6:00الی18:00</v>
          </cell>
        </row>
        <row r="288">
          <cell r="D288" t="str">
            <v>حیدری</v>
          </cell>
          <cell r="N288" t="str">
            <v>فرز</v>
          </cell>
          <cell r="AD288" t="str">
            <v>6:00الی11:00</v>
          </cell>
        </row>
        <row r="289">
          <cell r="D289" t="str">
            <v>حیدری</v>
          </cell>
          <cell r="N289" t="str">
            <v>فرز</v>
          </cell>
          <cell r="AD289" t="str">
            <v>11:00الی14:00</v>
          </cell>
        </row>
        <row r="290">
          <cell r="D290" t="str">
            <v>حیدری</v>
          </cell>
          <cell r="N290" t="str">
            <v>فرز</v>
          </cell>
          <cell r="AD290" t="str">
            <v>14:00الی18:00</v>
          </cell>
        </row>
        <row r="291">
          <cell r="D291" t="str">
            <v>یاراحمدی</v>
          </cell>
          <cell r="N291" t="str">
            <v>فرز</v>
          </cell>
          <cell r="AD291" t="str">
            <v>6:00الی18:00</v>
          </cell>
        </row>
        <row r="292">
          <cell r="D292" t="str">
            <v>یاراحمدی</v>
          </cell>
          <cell r="N292" t="str">
            <v>سنگ زنی</v>
          </cell>
          <cell r="AD292" t="str">
            <v>6:00الی18:00</v>
          </cell>
        </row>
        <row r="293">
          <cell r="D293" t="str">
            <v>موسوی</v>
          </cell>
          <cell r="N293" t="str">
            <v>تراش</v>
          </cell>
          <cell r="AD293" t="str">
            <v>6:00الی18:00</v>
          </cell>
        </row>
        <row r="294">
          <cell r="D294" t="str">
            <v>موسوی</v>
          </cell>
          <cell r="N294" t="str">
            <v>تراش</v>
          </cell>
          <cell r="AD294" t="str">
            <v>6:00الی18:00</v>
          </cell>
        </row>
        <row r="295">
          <cell r="D295" t="str">
            <v>صلواتی</v>
          </cell>
          <cell r="N295" t="str">
            <v>وایر</v>
          </cell>
          <cell r="AD295" t="str">
            <v>6:00الی18:00</v>
          </cell>
        </row>
        <row r="296">
          <cell r="D296" t="str">
            <v>صلواتی</v>
          </cell>
          <cell r="N296" t="str">
            <v>وایر</v>
          </cell>
          <cell r="AD296" t="str">
            <v>6:00الی18:00</v>
          </cell>
        </row>
        <row r="297">
          <cell r="D297" t="str">
            <v>صلواتی</v>
          </cell>
          <cell r="N297" t="str">
            <v>وایر</v>
          </cell>
          <cell r="AD297" t="str">
            <v>6:00الی18:00</v>
          </cell>
        </row>
        <row r="298">
          <cell r="D298" t="str">
            <v>صلواتی</v>
          </cell>
          <cell r="N298" t="str">
            <v>وایر</v>
          </cell>
          <cell r="AD298" t="str">
            <v>6:00الی18:00</v>
          </cell>
        </row>
        <row r="299">
          <cell r="D299" t="str">
            <v>صلواتی</v>
          </cell>
          <cell r="N299" t="str">
            <v>وایر</v>
          </cell>
          <cell r="AD299" t="str">
            <v>6:00الی18:00</v>
          </cell>
        </row>
        <row r="300">
          <cell r="D300" t="str">
            <v>صلواتی</v>
          </cell>
          <cell r="N300" t="str">
            <v>وایر</v>
          </cell>
          <cell r="AD300" t="str">
            <v>6:00الی18:00</v>
          </cell>
        </row>
        <row r="301">
          <cell r="D301" t="str">
            <v>صلواتی</v>
          </cell>
          <cell r="N301" t="str">
            <v>وایر</v>
          </cell>
          <cell r="AD301" t="str">
            <v>6:00الی18:00</v>
          </cell>
        </row>
        <row r="302">
          <cell r="D302" t="str">
            <v>صلواتی</v>
          </cell>
          <cell r="N302" t="str">
            <v>وایر</v>
          </cell>
          <cell r="AD302" t="str">
            <v>6:00الی18:00</v>
          </cell>
        </row>
        <row r="303">
          <cell r="D303" t="str">
            <v>قیطاسوند</v>
          </cell>
          <cell r="N303" t="str">
            <v>CNC</v>
          </cell>
          <cell r="AD303" t="str">
            <v>6:00الی18:00</v>
          </cell>
        </row>
        <row r="304">
          <cell r="D304" t="str">
            <v>صحرایی</v>
          </cell>
          <cell r="N304" t="str">
            <v>سری تراش</v>
          </cell>
          <cell r="AD304" t="str">
            <v>6:00الی14:00</v>
          </cell>
        </row>
        <row r="305">
          <cell r="D305" t="str">
            <v>کریم پرست</v>
          </cell>
          <cell r="N305" t="str">
            <v>تراش</v>
          </cell>
          <cell r="AD305" t="str">
            <v>6:00الی18:00</v>
          </cell>
        </row>
        <row r="306">
          <cell r="D306" t="str">
            <v>کریم پرست</v>
          </cell>
          <cell r="N306" t="str">
            <v>تراش</v>
          </cell>
          <cell r="AD306" t="str">
            <v>6:00الی18:00</v>
          </cell>
        </row>
        <row r="307">
          <cell r="D307" t="str">
            <v>یاراحمدی</v>
          </cell>
          <cell r="N307" t="str">
            <v>فرز</v>
          </cell>
          <cell r="AD307" t="str">
            <v>6:00الی18:00</v>
          </cell>
        </row>
        <row r="308">
          <cell r="D308" t="str">
            <v>یاراحمدی</v>
          </cell>
          <cell r="N308" t="str">
            <v>سنگ زنی</v>
          </cell>
          <cell r="AD308" t="str">
            <v>10:00الی15:00</v>
          </cell>
        </row>
        <row r="309">
          <cell r="D309" t="str">
            <v>یاراحمدی</v>
          </cell>
          <cell r="N309" t="str">
            <v>سنگ زنی</v>
          </cell>
          <cell r="AD309" t="str">
            <v>6:00الی10:00</v>
          </cell>
        </row>
        <row r="310">
          <cell r="D310" t="str">
            <v>خیرخواه</v>
          </cell>
          <cell r="N310" t="str">
            <v>دریل رادیال</v>
          </cell>
          <cell r="AD310" t="str">
            <v>6:00الی17:00</v>
          </cell>
        </row>
        <row r="311">
          <cell r="D311" t="str">
            <v>خیرخواه</v>
          </cell>
          <cell r="N311" t="str">
            <v>مونتاژ</v>
          </cell>
          <cell r="AD311" t="str">
            <v>6:00الی17:00</v>
          </cell>
        </row>
        <row r="312">
          <cell r="D312" t="str">
            <v>خیرخواه</v>
          </cell>
          <cell r="N312" t="str">
            <v>مونتاژ</v>
          </cell>
          <cell r="AD312" t="str">
            <v>6:00الی17:00</v>
          </cell>
        </row>
        <row r="313">
          <cell r="D313" t="str">
            <v>خیرخواه</v>
          </cell>
          <cell r="N313" t="str">
            <v>سنگ زنی</v>
          </cell>
          <cell r="AD313" t="str">
            <v>6:00الی17:00</v>
          </cell>
        </row>
        <row r="314">
          <cell r="D314" t="str">
            <v>خیرخواه</v>
          </cell>
          <cell r="N314" t="str">
            <v>دریل رادیال</v>
          </cell>
          <cell r="AD314" t="str">
            <v>6:00الی18:00</v>
          </cell>
        </row>
        <row r="315">
          <cell r="D315" t="str">
            <v>خیرخواه</v>
          </cell>
          <cell r="N315" t="str">
            <v>مونتاژ</v>
          </cell>
          <cell r="AD315" t="str">
            <v>6:00الی18:00</v>
          </cell>
        </row>
        <row r="316">
          <cell r="D316" t="str">
            <v>خیرخواه</v>
          </cell>
          <cell r="N316" t="str">
            <v>مونتاژ</v>
          </cell>
          <cell r="AD316" t="str">
            <v>6:00الی18:00</v>
          </cell>
        </row>
        <row r="317">
          <cell r="D317" t="str">
            <v>خیرخواه</v>
          </cell>
          <cell r="N317" t="str">
            <v>سنگ زنی</v>
          </cell>
          <cell r="AD317" t="str">
            <v>6:00الی18:00</v>
          </cell>
        </row>
        <row r="318">
          <cell r="D318" t="str">
            <v>خیرخواه</v>
          </cell>
          <cell r="N318" t="str">
            <v>مونتاژ</v>
          </cell>
          <cell r="AD318" t="str">
            <v>6:00الی18:00</v>
          </cell>
        </row>
        <row r="319">
          <cell r="D319" t="str">
            <v>صلواتی</v>
          </cell>
          <cell r="N319" t="str">
            <v>وایر</v>
          </cell>
          <cell r="AD319" t="str">
            <v>6:00الی18:00</v>
          </cell>
        </row>
        <row r="320">
          <cell r="D320" t="str">
            <v>صلواتی</v>
          </cell>
          <cell r="N320" t="str">
            <v>وایر</v>
          </cell>
          <cell r="AD320" t="str">
            <v>6:00الی9:00</v>
          </cell>
        </row>
        <row r="321">
          <cell r="D321" t="str">
            <v>صلواتی</v>
          </cell>
          <cell r="N321" t="str">
            <v>وایر</v>
          </cell>
          <cell r="AD321" t="str">
            <v>6:00الی9:00</v>
          </cell>
        </row>
        <row r="322">
          <cell r="D322" t="str">
            <v>صلواتی</v>
          </cell>
          <cell r="N322" t="str">
            <v>وایر</v>
          </cell>
          <cell r="AD322" t="str">
            <v>6:00الی18:00</v>
          </cell>
        </row>
        <row r="323">
          <cell r="D323" t="str">
            <v>صلواتی</v>
          </cell>
          <cell r="N323" t="str">
            <v>وایر</v>
          </cell>
          <cell r="AD323" t="str">
            <v>6:00الی18:00</v>
          </cell>
        </row>
        <row r="324">
          <cell r="D324" t="str">
            <v>صلواتی</v>
          </cell>
          <cell r="N324" t="str">
            <v>وایر</v>
          </cell>
          <cell r="AD324" t="str">
            <v>6:00الی18:00</v>
          </cell>
        </row>
        <row r="325">
          <cell r="D325" t="str">
            <v>موسوی</v>
          </cell>
          <cell r="N325" t="str">
            <v>تراش</v>
          </cell>
          <cell r="AD325" t="str">
            <v>6:00الی18:00</v>
          </cell>
        </row>
        <row r="326">
          <cell r="D326" t="str">
            <v>موسوی</v>
          </cell>
          <cell r="N326" t="str">
            <v>تراش</v>
          </cell>
          <cell r="AD326" t="str">
            <v>6:00الی18:00</v>
          </cell>
        </row>
        <row r="327">
          <cell r="D327" t="str">
            <v>موسوی</v>
          </cell>
          <cell r="N327" t="str">
            <v>تراش</v>
          </cell>
          <cell r="AD327" t="str">
            <v>6:00الی18:00</v>
          </cell>
        </row>
        <row r="328">
          <cell r="D328" t="str">
            <v>موسوی</v>
          </cell>
          <cell r="N328" t="str">
            <v>تراش</v>
          </cell>
          <cell r="AD328" t="str">
            <v>6:00الی18:00</v>
          </cell>
        </row>
        <row r="329">
          <cell r="D329" t="str">
            <v>هاشم زاده</v>
          </cell>
          <cell r="N329" t="str">
            <v>اره لنگ</v>
          </cell>
          <cell r="AD329" t="str">
            <v>6:00الی18:00</v>
          </cell>
        </row>
        <row r="330">
          <cell r="D330" t="str">
            <v>هاشم زاده</v>
          </cell>
          <cell r="N330" t="str">
            <v>مونتاژ</v>
          </cell>
          <cell r="AD330" t="str">
            <v>6:00الی18:00</v>
          </cell>
        </row>
        <row r="331">
          <cell r="D331" t="str">
            <v>واقفی</v>
          </cell>
          <cell r="N331" t="str">
            <v>سوپر دریل</v>
          </cell>
          <cell r="AD331" t="str">
            <v>6:00الی18:00</v>
          </cell>
        </row>
        <row r="332">
          <cell r="D332" t="str">
            <v>حیدری</v>
          </cell>
          <cell r="N332" t="str">
            <v>فرز</v>
          </cell>
          <cell r="AD332" t="str">
            <v>6:00الی18:00</v>
          </cell>
        </row>
        <row r="333">
          <cell r="D333" t="str">
            <v>حیدری</v>
          </cell>
          <cell r="N333" t="str">
            <v>فرز</v>
          </cell>
          <cell r="AD333" t="str">
            <v>11:00الی18:00</v>
          </cell>
        </row>
        <row r="334">
          <cell r="D334" t="str">
            <v>صحرایی</v>
          </cell>
          <cell r="N334" t="str">
            <v>تراش</v>
          </cell>
          <cell r="AD334" t="str">
            <v>6:00الی14:00</v>
          </cell>
        </row>
        <row r="335">
          <cell r="D335" t="str">
            <v>صحرایی</v>
          </cell>
          <cell r="N335" t="str">
            <v>تراش</v>
          </cell>
          <cell r="AD335" t="str">
            <v>6:00الی14:00</v>
          </cell>
        </row>
        <row r="336">
          <cell r="D336" t="str">
            <v>موسوی</v>
          </cell>
          <cell r="N336" t="str">
            <v>تراش</v>
          </cell>
          <cell r="AD336" t="str">
            <v>6:00الی16:00</v>
          </cell>
        </row>
        <row r="337">
          <cell r="D337" t="str">
            <v>موسوی</v>
          </cell>
          <cell r="N337" t="str">
            <v>تراش</v>
          </cell>
          <cell r="AD337" t="str">
            <v>6:00الی16:00</v>
          </cell>
        </row>
        <row r="338">
          <cell r="D338" t="str">
            <v>موسوی</v>
          </cell>
          <cell r="N338" t="str">
            <v>تراش</v>
          </cell>
          <cell r="AD338" t="str">
            <v>6:00الی16:00</v>
          </cell>
        </row>
        <row r="339">
          <cell r="D339" t="str">
            <v>کریم پرست</v>
          </cell>
          <cell r="N339" t="str">
            <v>تراش</v>
          </cell>
          <cell r="AD339" t="str">
            <v>6:00الی18:00</v>
          </cell>
        </row>
        <row r="340">
          <cell r="D340" t="str">
            <v>کریم پرست</v>
          </cell>
          <cell r="N340" t="str">
            <v>تراش</v>
          </cell>
          <cell r="AD340" t="str">
            <v>6:00الی18:00</v>
          </cell>
        </row>
        <row r="341">
          <cell r="D341" t="str">
            <v>کریم پرست</v>
          </cell>
          <cell r="N341" t="str">
            <v>تراش</v>
          </cell>
          <cell r="AD341" t="str">
            <v>6:00الی18:00</v>
          </cell>
        </row>
        <row r="342">
          <cell r="D342" t="str">
            <v>کریم پرست</v>
          </cell>
          <cell r="N342" t="str">
            <v>تراش</v>
          </cell>
          <cell r="AD342" t="str">
            <v>6:00الی18:00</v>
          </cell>
        </row>
        <row r="343">
          <cell r="D343" t="str">
            <v>قیطاسوند</v>
          </cell>
          <cell r="N343" t="str">
            <v>مونتاژ</v>
          </cell>
          <cell r="AD343" t="str">
            <v>6:00الی14:00</v>
          </cell>
        </row>
        <row r="344">
          <cell r="D344" t="str">
            <v>قیطاسوند</v>
          </cell>
          <cell r="N344" t="str">
            <v>CNC</v>
          </cell>
          <cell r="AD344" t="str">
            <v>14:00الی18:00</v>
          </cell>
        </row>
        <row r="345">
          <cell r="D345" t="str">
            <v>صلواتی</v>
          </cell>
          <cell r="N345" t="str">
            <v>وایر</v>
          </cell>
          <cell r="AD345" t="str">
            <v>6:00الی18:00</v>
          </cell>
        </row>
        <row r="346">
          <cell r="D346" t="str">
            <v>صلواتی</v>
          </cell>
          <cell r="N346" t="str">
            <v>وایر</v>
          </cell>
          <cell r="AD346" t="str">
            <v>6:00الی18:00</v>
          </cell>
        </row>
        <row r="347">
          <cell r="D347" t="str">
            <v>صلواتی</v>
          </cell>
          <cell r="N347" t="str">
            <v>وایر</v>
          </cell>
          <cell r="AD347" t="str">
            <v>6:00الی15:00</v>
          </cell>
        </row>
        <row r="348">
          <cell r="D348" t="str">
            <v>صلواتی</v>
          </cell>
          <cell r="N348" t="str">
            <v>وایر</v>
          </cell>
          <cell r="AD348" t="str">
            <v>15:00الی18:00</v>
          </cell>
        </row>
        <row r="349">
          <cell r="D349" t="str">
            <v>صلواتی</v>
          </cell>
          <cell r="N349" t="str">
            <v>وایر</v>
          </cell>
          <cell r="AD349" t="str">
            <v>6:00الی18:00</v>
          </cell>
        </row>
        <row r="350">
          <cell r="D350" t="str">
            <v>خیرخواه</v>
          </cell>
          <cell r="N350" t="str">
            <v>دریل رادیال</v>
          </cell>
          <cell r="AD350" t="str">
            <v>6:00الی18:00</v>
          </cell>
        </row>
        <row r="351">
          <cell r="D351" t="str">
            <v>خیرخواه</v>
          </cell>
          <cell r="N351" t="str">
            <v>دریل رادیال</v>
          </cell>
          <cell r="AD351" t="str">
            <v>6:00الی18:00</v>
          </cell>
        </row>
        <row r="352">
          <cell r="D352" t="str">
            <v>خیرخواه</v>
          </cell>
          <cell r="N352" t="str">
            <v>مونتاژ</v>
          </cell>
          <cell r="AD352" t="str">
            <v>6:00الی18:00</v>
          </cell>
        </row>
        <row r="353">
          <cell r="D353" t="str">
            <v>خیرخواه</v>
          </cell>
          <cell r="N353" t="str">
            <v>مونتاژ</v>
          </cell>
          <cell r="AD353" t="str">
            <v>6:00الی18:00</v>
          </cell>
        </row>
        <row r="354">
          <cell r="D354" t="str">
            <v>خیرخواه</v>
          </cell>
          <cell r="N354" t="str">
            <v>مونتاژ</v>
          </cell>
          <cell r="AD354" t="str">
            <v>6:00الی18:00</v>
          </cell>
        </row>
        <row r="355">
          <cell r="D355" t="str">
            <v>خیرخواه</v>
          </cell>
          <cell r="N355" t="str">
            <v>مونتاژ</v>
          </cell>
          <cell r="AD355" t="str">
            <v>6:00الی18:00</v>
          </cell>
        </row>
        <row r="356">
          <cell r="D356" t="str">
            <v>یاراحمدی</v>
          </cell>
          <cell r="N356" t="str">
            <v>فرز</v>
          </cell>
          <cell r="AD356" t="str">
            <v>6:00الی10:00</v>
          </cell>
        </row>
        <row r="357">
          <cell r="D357" t="str">
            <v>یاراحمدی</v>
          </cell>
          <cell r="N357" t="str">
            <v>سنگ زنی</v>
          </cell>
          <cell r="AD357" t="str">
            <v>6:00الی18:00</v>
          </cell>
        </row>
        <row r="358">
          <cell r="D358" t="str">
            <v>یاراحمدی</v>
          </cell>
          <cell r="N358" t="str">
            <v>سنگ زنی</v>
          </cell>
          <cell r="AD358" t="str">
            <v>6:00الی18:00</v>
          </cell>
        </row>
        <row r="359">
          <cell r="D359" t="str">
            <v>یاراحمدی</v>
          </cell>
          <cell r="N359" t="str">
            <v>سنگ زنی</v>
          </cell>
          <cell r="AD359" t="str">
            <v>6:00الی18:00</v>
          </cell>
        </row>
        <row r="360">
          <cell r="D360" t="str">
            <v>یاراحمدی</v>
          </cell>
          <cell r="N360" t="str">
            <v>سنگ زنی</v>
          </cell>
          <cell r="AD360" t="str">
            <v>6:00الی18:00</v>
          </cell>
        </row>
        <row r="361">
          <cell r="D361" t="str">
            <v>قیطاسوند</v>
          </cell>
          <cell r="N361" t="str">
            <v>CNC</v>
          </cell>
          <cell r="AD361" t="str">
            <v>6:00الی14:00</v>
          </cell>
        </row>
        <row r="362">
          <cell r="D362" t="str">
            <v>هاشم زاده</v>
          </cell>
          <cell r="N362" t="str">
            <v>مونتاژ</v>
          </cell>
          <cell r="AD362" t="str">
            <v>6:00الی18:00</v>
          </cell>
        </row>
        <row r="363">
          <cell r="D363" t="str">
            <v>هاشم زاده</v>
          </cell>
          <cell r="N363" t="str">
            <v>مونتاژ</v>
          </cell>
          <cell r="AD363" t="str">
            <v>6:00الی18:00</v>
          </cell>
        </row>
        <row r="364">
          <cell r="D364" t="str">
            <v>هاشم زاده</v>
          </cell>
          <cell r="N364" t="str">
            <v>مونتاژ</v>
          </cell>
          <cell r="AD364" t="str">
            <v>6:00الی18:00</v>
          </cell>
        </row>
        <row r="365">
          <cell r="D365" t="str">
            <v>هاشم زاده</v>
          </cell>
          <cell r="N365" t="str">
            <v>مونتاژ</v>
          </cell>
          <cell r="AD365" t="str">
            <v>6:00الی18:00</v>
          </cell>
        </row>
        <row r="366">
          <cell r="D366" t="str">
            <v>هاشم زاده</v>
          </cell>
          <cell r="N366" t="str">
            <v>مونتاژ</v>
          </cell>
          <cell r="AD366" t="str">
            <v>6:00الی18:00</v>
          </cell>
        </row>
      </sheetData>
      <sheetData sheetId="1">
        <row r="2">
          <cell r="D2" t="str">
            <v>فراهی</v>
          </cell>
          <cell r="N2" t="str">
            <v>فرز</v>
          </cell>
          <cell r="O2">
            <v>7103</v>
          </cell>
          <cell r="AC2" t="str">
            <v>1405/02/01</v>
          </cell>
          <cell r="AD2" t="str">
            <v>7:35الی14:00</v>
          </cell>
          <cell r="AF2">
            <v>6.083333333333333</v>
          </cell>
        </row>
        <row r="3">
          <cell r="D3" t="str">
            <v>کریم پرست</v>
          </cell>
          <cell r="N3" t="str">
            <v>تراش</v>
          </cell>
          <cell r="O3">
            <v>7301</v>
          </cell>
          <cell r="AC3" t="str">
            <v>1405/02/01</v>
          </cell>
          <cell r="AD3" t="str">
            <v>6:00الی16:00</v>
          </cell>
          <cell r="AF3">
            <v>4.75</v>
          </cell>
        </row>
        <row r="4">
          <cell r="D4" t="str">
            <v>کریم پرست</v>
          </cell>
          <cell r="N4" t="str">
            <v>تراش</v>
          </cell>
          <cell r="O4">
            <v>7301</v>
          </cell>
          <cell r="AC4" t="str">
            <v>1405/02/01</v>
          </cell>
          <cell r="AD4" t="str">
            <v>6:00الی16:00</v>
          </cell>
          <cell r="AF4">
            <v>4.7333333333333334</v>
          </cell>
        </row>
        <row r="5">
          <cell r="D5" t="str">
            <v>هاشم زاده</v>
          </cell>
          <cell r="N5" t="str">
            <v>مونتاژ</v>
          </cell>
          <cell r="O5" t="str">
            <v>دمونتاژ</v>
          </cell>
          <cell r="AC5" t="str">
            <v>1405/02/01</v>
          </cell>
          <cell r="AD5" t="str">
            <v>6:00الی18:00</v>
          </cell>
          <cell r="AF5">
            <v>8</v>
          </cell>
        </row>
        <row r="6">
          <cell r="D6" t="str">
            <v>یاراحمدی</v>
          </cell>
          <cell r="N6" t="str">
            <v>سنگ زنی</v>
          </cell>
          <cell r="O6">
            <v>7502</v>
          </cell>
          <cell r="AC6" t="str">
            <v>1405/02/01</v>
          </cell>
          <cell r="AD6" t="str">
            <v>6:00الی18:00</v>
          </cell>
          <cell r="AF6">
            <v>11</v>
          </cell>
        </row>
        <row r="7">
          <cell r="D7" t="str">
            <v>قیطاسوند</v>
          </cell>
          <cell r="N7" t="str">
            <v>CNC</v>
          </cell>
          <cell r="O7">
            <v>7203</v>
          </cell>
          <cell r="AC7" t="str">
            <v>1405/02/01</v>
          </cell>
          <cell r="AD7" t="str">
            <v>6:00الی14:00</v>
          </cell>
          <cell r="AF7">
            <v>7.5</v>
          </cell>
        </row>
        <row r="8">
          <cell r="D8" t="str">
            <v>موسوی</v>
          </cell>
          <cell r="N8" t="str">
            <v>تراش</v>
          </cell>
          <cell r="O8">
            <v>7301</v>
          </cell>
          <cell r="AC8" t="str">
            <v>1405/02/01</v>
          </cell>
          <cell r="AD8" t="str">
            <v>6:00الی18:00</v>
          </cell>
          <cell r="AF8">
            <v>1</v>
          </cell>
        </row>
        <row r="9">
          <cell r="D9" t="str">
            <v>موسوی</v>
          </cell>
          <cell r="N9" t="str">
            <v>تراش</v>
          </cell>
          <cell r="O9">
            <v>7302</v>
          </cell>
          <cell r="AC9" t="str">
            <v>1405/02/01</v>
          </cell>
          <cell r="AD9" t="str">
            <v>6:00الی18:00</v>
          </cell>
          <cell r="AF9">
            <v>9</v>
          </cell>
        </row>
        <row r="10">
          <cell r="D10" t="str">
            <v>موسوی</v>
          </cell>
          <cell r="N10" t="str">
            <v>مونتاژ</v>
          </cell>
          <cell r="O10" t="str">
            <v>مونتاژ</v>
          </cell>
          <cell r="AC10" t="str">
            <v>1405/02/01</v>
          </cell>
          <cell r="AD10" t="str">
            <v>6:00الی18:00</v>
          </cell>
          <cell r="AF10">
            <v>1</v>
          </cell>
        </row>
        <row r="11">
          <cell r="D11" t="str">
            <v>صلواتی</v>
          </cell>
          <cell r="N11" t="str">
            <v>وایر</v>
          </cell>
          <cell r="O11">
            <v>7601</v>
          </cell>
          <cell r="AC11" t="str">
            <v>1405/02/01</v>
          </cell>
          <cell r="AD11" t="str">
            <v>8:00الی18:00</v>
          </cell>
          <cell r="AF11">
            <v>10</v>
          </cell>
        </row>
        <row r="12">
          <cell r="D12" t="str">
            <v>صلواتی</v>
          </cell>
          <cell r="N12" t="str">
            <v>وایر</v>
          </cell>
          <cell r="O12">
            <v>7602</v>
          </cell>
          <cell r="AC12" t="str">
            <v>1405/02/01</v>
          </cell>
          <cell r="AD12" t="str">
            <v>8:00الی14:00</v>
          </cell>
          <cell r="AF12">
            <v>6</v>
          </cell>
        </row>
        <row r="13">
          <cell r="D13" t="str">
            <v>صلواتی</v>
          </cell>
          <cell r="N13" t="str">
            <v>وایر</v>
          </cell>
          <cell r="O13">
            <v>7603</v>
          </cell>
          <cell r="AC13" t="str">
            <v>1405/02/01</v>
          </cell>
          <cell r="AD13" t="str">
            <v>8:00الی10:00</v>
          </cell>
          <cell r="AF13">
            <v>2</v>
          </cell>
        </row>
        <row r="14">
          <cell r="D14" t="str">
            <v>صلواتی</v>
          </cell>
          <cell r="N14" t="str">
            <v>وایر</v>
          </cell>
          <cell r="O14">
            <v>7603</v>
          </cell>
          <cell r="AC14" t="str">
            <v>1405/02/01</v>
          </cell>
          <cell r="AD14" t="str">
            <v>10:00الی18:00</v>
          </cell>
          <cell r="AF14">
            <v>8</v>
          </cell>
        </row>
        <row r="15">
          <cell r="D15" t="str">
            <v>صلواتی</v>
          </cell>
          <cell r="N15" t="str">
            <v>وایر</v>
          </cell>
          <cell r="O15">
            <v>7605</v>
          </cell>
          <cell r="AC15" t="str">
            <v>1405/02/01</v>
          </cell>
          <cell r="AD15" t="str">
            <v>8:00الی18:00</v>
          </cell>
          <cell r="AF15">
            <v>12</v>
          </cell>
        </row>
        <row r="16">
          <cell r="D16" t="str">
            <v>صلواتی</v>
          </cell>
          <cell r="N16" t="str">
            <v>وایر</v>
          </cell>
          <cell r="O16">
            <v>7602</v>
          </cell>
          <cell r="AC16" t="str">
            <v>1405/02/01</v>
          </cell>
          <cell r="AD16" t="str">
            <v>14:00الی18:00</v>
          </cell>
          <cell r="AF16">
            <v>4</v>
          </cell>
        </row>
        <row r="17">
          <cell r="D17" t="str">
            <v>صحرایی</v>
          </cell>
          <cell r="N17" t="str">
            <v>تراش</v>
          </cell>
          <cell r="O17">
            <v>7303</v>
          </cell>
          <cell r="AC17" t="str">
            <v>1405/02/01</v>
          </cell>
          <cell r="AD17" t="str">
            <v>6:00الی14:00</v>
          </cell>
          <cell r="AF17">
            <v>4</v>
          </cell>
        </row>
        <row r="18">
          <cell r="D18" t="str">
            <v>صحرایی</v>
          </cell>
          <cell r="N18" t="str">
            <v>تراش</v>
          </cell>
          <cell r="O18">
            <v>7303</v>
          </cell>
          <cell r="AC18" t="str">
            <v>1405/02/01</v>
          </cell>
          <cell r="AD18" t="str">
            <v>6:00الی14:00</v>
          </cell>
          <cell r="AF18">
            <v>3.5</v>
          </cell>
        </row>
        <row r="19">
          <cell r="D19" t="str">
            <v>خیرخواه</v>
          </cell>
          <cell r="N19" t="str">
            <v>دریل رادیال</v>
          </cell>
          <cell r="O19">
            <v>7401</v>
          </cell>
          <cell r="AC19" t="str">
            <v>1405/02/01</v>
          </cell>
          <cell r="AD19" t="str">
            <v>6:00الی18:00</v>
          </cell>
          <cell r="AF19">
            <v>2.5</v>
          </cell>
        </row>
        <row r="20">
          <cell r="D20" t="str">
            <v>خیرخواه</v>
          </cell>
          <cell r="N20" t="str">
            <v>دریل رادیال</v>
          </cell>
          <cell r="O20">
            <v>7401</v>
          </cell>
          <cell r="AC20" t="str">
            <v>1405/02/01</v>
          </cell>
          <cell r="AD20" t="str">
            <v>6:00الی18:00</v>
          </cell>
          <cell r="AF20">
            <v>2</v>
          </cell>
        </row>
        <row r="21">
          <cell r="D21" t="str">
            <v>خیرخواه</v>
          </cell>
          <cell r="N21" t="str">
            <v>دریل رادیال</v>
          </cell>
          <cell r="O21">
            <v>7401</v>
          </cell>
          <cell r="AC21" t="str">
            <v>1405/02/01</v>
          </cell>
          <cell r="AD21" t="str">
            <v>6:00الی18:00</v>
          </cell>
          <cell r="AF21">
            <v>2.5</v>
          </cell>
        </row>
        <row r="22">
          <cell r="D22" t="str">
            <v>حیدری</v>
          </cell>
          <cell r="N22" t="str">
            <v>فرز</v>
          </cell>
          <cell r="O22">
            <v>7101</v>
          </cell>
          <cell r="AC22" t="str">
            <v>1405/02/01</v>
          </cell>
          <cell r="AD22" t="str">
            <v>6:00الی12:00</v>
          </cell>
          <cell r="AF22">
            <v>5.5</v>
          </cell>
        </row>
        <row r="23">
          <cell r="D23" t="str">
            <v>حیدری</v>
          </cell>
          <cell r="N23" t="str">
            <v>فرز</v>
          </cell>
          <cell r="O23">
            <v>7101</v>
          </cell>
          <cell r="AC23" t="str">
            <v>1405/02/01</v>
          </cell>
          <cell r="AD23" t="str">
            <v>12:00الی18:00</v>
          </cell>
          <cell r="AF23">
            <v>5.5</v>
          </cell>
        </row>
        <row r="24">
          <cell r="D24" t="str">
            <v>حیدری</v>
          </cell>
          <cell r="N24" t="str">
            <v>فرز</v>
          </cell>
          <cell r="O24">
            <v>7101</v>
          </cell>
          <cell r="AC24" t="str">
            <v>1405/02/02</v>
          </cell>
          <cell r="AD24" t="str">
            <v>6:00الی10:30</v>
          </cell>
          <cell r="AF24">
            <v>4</v>
          </cell>
        </row>
        <row r="25">
          <cell r="D25" t="str">
            <v>حیدری</v>
          </cell>
          <cell r="N25" t="str">
            <v>فرز</v>
          </cell>
          <cell r="O25">
            <v>7101</v>
          </cell>
          <cell r="AC25" t="str">
            <v>1405/02/02</v>
          </cell>
          <cell r="AD25" t="str">
            <v>13:30الی18:00</v>
          </cell>
          <cell r="AF25">
            <v>4</v>
          </cell>
        </row>
        <row r="26">
          <cell r="D26" t="str">
            <v>کریم پرست</v>
          </cell>
          <cell r="N26" t="str">
            <v>تراش</v>
          </cell>
          <cell r="O26">
            <v>7301</v>
          </cell>
          <cell r="AC26" t="str">
            <v>1405/02/02</v>
          </cell>
          <cell r="AD26" t="str">
            <v>6:00الی18:00</v>
          </cell>
          <cell r="AF26">
            <v>5.5</v>
          </cell>
        </row>
        <row r="27">
          <cell r="D27" t="str">
            <v>کریم پرست</v>
          </cell>
          <cell r="N27" t="str">
            <v>تراش</v>
          </cell>
          <cell r="O27">
            <v>7301</v>
          </cell>
          <cell r="AC27" t="str">
            <v>1405/02/02</v>
          </cell>
          <cell r="AD27" t="str">
            <v>6:00الی18:00</v>
          </cell>
          <cell r="AF27">
            <v>4.916666666666667</v>
          </cell>
        </row>
        <row r="28">
          <cell r="D28" t="str">
            <v>یاراحمدی</v>
          </cell>
          <cell r="N28" t="str">
            <v>سنگ زنی</v>
          </cell>
          <cell r="O28">
            <v>7502</v>
          </cell>
          <cell r="AC28" t="str">
            <v>1405/02/02</v>
          </cell>
          <cell r="AD28" t="str">
            <v>6:00الی18:00</v>
          </cell>
          <cell r="AF28">
            <v>2</v>
          </cell>
        </row>
        <row r="29">
          <cell r="D29" t="str">
            <v>یاراحمدی</v>
          </cell>
          <cell r="N29" t="str">
            <v>سنگ زنی</v>
          </cell>
          <cell r="O29">
            <v>7502</v>
          </cell>
          <cell r="AC29" t="str">
            <v>1405/02/02</v>
          </cell>
          <cell r="AD29" t="str">
            <v>6:00الی18:00</v>
          </cell>
          <cell r="AF29">
            <v>1</v>
          </cell>
        </row>
        <row r="30">
          <cell r="D30" t="str">
            <v>یاراحمدی</v>
          </cell>
          <cell r="N30" t="str">
            <v>سنگ زنی</v>
          </cell>
          <cell r="O30">
            <v>7502</v>
          </cell>
          <cell r="AC30" t="str">
            <v>1405/02/02</v>
          </cell>
          <cell r="AD30" t="str">
            <v>6:00الی18:00</v>
          </cell>
          <cell r="AF30">
            <v>8</v>
          </cell>
        </row>
        <row r="31">
          <cell r="D31" t="str">
            <v>صلواتی</v>
          </cell>
          <cell r="N31" t="str">
            <v>وایر</v>
          </cell>
          <cell r="O31">
            <v>7601</v>
          </cell>
          <cell r="AC31" t="str">
            <v>1405/02/02</v>
          </cell>
          <cell r="AD31" t="str">
            <v>6:00الی18:00</v>
          </cell>
          <cell r="AF31">
            <v>12</v>
          </cell>
        </row>
        <row r="32">
          <cell r="D32" t="str">
            <v>صلواتی</v>
          </cell>
          <cell r="N32" t="str">
            <v>وایر</v>
          </cell>
          <cell r="O32">
            <v>7602</v>
          </cell>
          <cell r="AC32" t="str">
            <v>1405/02/02</v>
          </cell>
          <cell r="AD32" t="str">
            <v>6:00الی18:00</v>
          </cell>
          <cell r="AF32">
            <v>12</v>
          </cell>
        </row>
        <row r="33">
          <cell r="D33" t="str">
            <v>صلواتی</v>
          </cell>
          <cell r="N33" t="str">
            <v>وایر</v>
          </cell>
          <cell r="O33">
            <v>7603</v>
          </cell>
          <cell r="AC33" t="str">
            <v>1405/02/02</v>
          </cell>
          <cell r="AD33" t="str">
            <v>6:00الی18:00</v>
          </cell>
          <cell r="AF33">
            <v>12</v>
          </cell>
        </row>
        <row r="34">
          <cell r="D34" t="str">
            <v>صلواتی</v>
          </cell>
          <cell r="N34" t="str">
            <v>وایر</v>
          </cell>
          <cell r="O34">
            <v>7605</v>
          </cell>
          <cell r="AC34" t="str">
            <v>1405/02/02</v>
          </cell>
          <cell r="AD34" t="str">
            <v>6:00الی18:00</v>
          </cell>
          <cell r="AF34">
            <v>12</v>
          </cell>
        </row>
        <row r="35">
          <cell r="D35" t="str">
            <v>صحرایی</v>
          </cell>
          <cell r="N35" t="str">
            <v>تراش</v>
          </cell>
          <cell r="O35">
            <v>7303</v>
          </cell>
          <cell r="AC35" t="str">
            <v>1405/02/02</v>
          </cell>
          <cell r="AD35" t="str">
            <v>6:00الی12:00</v>
          </cell>
          <cell r="AF35">
            <v>2.5</v>
          </cell>
        </row>
        <row r="36">
          <cell r="D36" t="str">
            <v>صحرایی</v>
          </cell>
          <cell r="N36" t="str">
            <v>تراش</v>
          </cell>
          <cell r="O36">
            <v>7303</v>
          </cell>
          <cell r="AC36" t="str">
            <v>1405/02/02</v>
          </cell>
          <cell r="AD36" t="str">
            <v>6:00الی12:00</v>
          </cell>
          <cell r="AF36">
            <v>3</v>
          </cell>
        </row>
        <row r="37">
          <cell r="D37" t="str">
            <v>هاشم زاده</v>
          </cell>
          <cell r="N37" t="str">
            <v>مونتاژ</v>
          </cell>
          <cell r="O37" t="str">
            <v>مونتاژ</v>
          </cell>
          <cell r="AC37" t="str">
            <v>1405/02/02</v>
          </cell>
          <cell r="AD37" t="str">
            <v>6:00الی18:00</v>
          </cell>
          <cell r="AF37">
            <v>4</v>
          </cell>
        </row>
        <row r="38">
          <cell r="D38" t="str">
            <v>هاشم زاده</v>
          </cell>
          <cell r="N38" t="str">
            <v>مونتاژ</v>
          </cell>
          <cell r="O38" t="str">
            <v>مونتاژ</v>
          </cell>
          <cell r="AC38" t="str">
            <v>1405/02/02</v>
          </cell>
          <cell r="AD38" t="str">
            <v>6:00الی18:00</v>
          </cell>
          <cell r="AF38">
            <v>4</v>
          </cell>
        </row>
        <row r="39">
          <cell r="D39" t="str">
            <v>موسوی</v>
          </cell>
          <cell r="N39" t="str">
            <v>تراش</v>
          </cell>
          <cell r="O39">
            <v>7302</v>
          </cell>
          <cell r="AC39" t="str">
            <v>1405/02/02</v>
          </cell>
          <cell r="AD39" t="str">
            <v>6:00الی18:00</v>
          </cell>
          <cell r="AF39">
            <v>2</v>
          </cell>
        </row>
        <row r="40">
          <cell r="D40" t="str">
            <v>موسوی</v>
          </cell>
          <cell r="N40" t="str">
            <v>تراش</v>
          </cell>
          <cell r="O40">
            <v>7302</v>
          </cell>
          <cell r="AC40" t="str">
            <v>1405/02/02</v>
          </cell>
          <cell r="AD40" t="str">
            <v>6:00الی18:00</v>
          </cell>
          <cell r="AF40">
            <v>1</v>
          </cell>
        </row>
        <row r="41">
          <cell r="D41" t="str">
            <v>موسوی</v>
          </cell>
          <cell r="N41" t="str">
            <v>تراش</v>
          </cell>
          <cell r="O41">
            <v>7302</v>
          </cell>
          <cell r="AC41" t="str">
            <v>1405/02/02</v>
          </cell>
          <cell r="AD41" t="str">
            <v>6:00الی18:00</v>
          </cell>
          <cell r="AF41">
            <v>3</v>
          </cell>
        </row>
        <row r="42">
          <cell r="D42" t="str">
            <v>موسوی</v>
          </cell>
          <cell r="N42" t="str">
            <v>تراش</v>
          </cell>
          <cell r="O42">
            <v>7302</v>
          </cell>
          <cell r="AC42" t="str">
            <v>1405/02/02</v>
          </cell>
          <cell r="AD42" t="str">
            <v>6:00الی18:00</v>
          </cell>
          <cell r="AF42">
            <v>2</v>
          </cell>
        </row>
        <row r="43">
          <cell r="D43" t="str">
            <v>موسوی</v>
          </cell>
          <cell r="N43" t="str">
            <v>تراش</v>
          </cell>
          <cell r="O43">
            <v>7302</v>
          </cell>
          <cell r="AC43" t="str">
            <v>1405/02/02</v>
          </cell>
          <cell r="AD43" t="str">
            <v>6:00الی18:00</v>
          </cell>
          <cell r="AF43">
            <v>2</v>
          </cell>
        </row>
        <row r="44">
          <cell r="D44" t="str">
            <v>خیرخواه</v>
          </cell>
          <cell r="N44" t="str">
            <v>مونتاژ</v>
          </cell>
          <cell r="O44" t="str">
            <v>مونتاژ</v>
          </cell>
          <cell r="AC44" t="str">
            <v>1405/02/02</v>
          </cell>
          <cell r="AD44" t="str">
            <v>6:00الی18:00</v>
          </cell>
          <cell r="AF44">
            <v>4</v>
          </cell>
        </row>
        <row r="45">
          <cell r="D45" t="str">
            <v>خیرخواه</v>
          </cell>
          <cell r="N45" t="str">
            <v>مونتاژ</v>
          </cell>
          <cell r="O45" t="str">
            <v>مونتاژ</v>
          </cell>
          <cell r="AC45" t="str">
            <v>1405/02/02</v>
          </cell>
          <cell r="AD45" t="str">
            <v>6:00الی18:00</v>
          </cell>
          <cell r="AF45">
            <v>2</v>
          </cell>
        </row>
        <row r="46">
          <cell r="D46" t="str">
            <v>خیرخواه</v>
          </cell>
          <cell r="N46" t="str">
            <v>دریل رادیال</v>
          </cell>
          <cell r="O46">
            <v>7401</v>
          </cell>
          <cell r="AC46" t="str">
            <v>1405/02/02</v>
          </cell>
          <cell r="AD46" t="str">
            <v>6:00الی18:00</v>
          </cell>
          <cell r="AF46">
            <v>1.5</v>
          </cell>
        </row>
        <row r="47">
          <cell r="D47" t="str">
            <v>کاظمی</v>
          </cell>
          <cell r="N47" t="str">
            <v>CNC</v>
          </cell>
          <cell r="O47">
            <v>7202</v>
          </cell>
          <cell r="AC47" t="str">
            <v>1405/02/03</v>
          </cell>
          <cell r="AD47" t="str">
            <v>6:00الی14:00</v>
          </cell>
          <cell r="AF47">
            <v>7.5</v>
          </cell>
        </row>
        <row r="48">
          <cell r="D48" t="str">
            <v>فراهی</v>
          </cell>
          <cell r="N48" t="str">
            <v>فرز</v>
          </cell>
          <cell r="O48">
            <v>7103</v>
          </cell>
          <cell r="AC48" t="str">
            <v>1405/02/03</v>
          </cell>
          <cell r="AD48" t="str">
            <v>7:00الی14:00</v>
          </cell>
          <cell r="AF48">
            <v>6.5</v>
          </cell>
        </row>
        <row r="49">
          <cell r="D49" t="str">
            <v>زیلویی</v>
          </cell>
          <cell r="N49" t="str">
            <v>CNC</v>
          </cell>
          <cell r="O49">
            <v>7203</v>
          </cell>
          <cell r="AC49" t="str">
            <v>1405/02/03</v>
          </cell>
          <cell r="AD49" t="str">
            <v>6:00الی14:00</v>
          </cell>
          <cell r="AF49">
            <v>7.5</v>
          </cell>
        </row>
        <row r="50">
          <cell r="D50" t="str">
            <v>حیدری</v>
          </cell>
          <cell r="N50" t="str">
            <v>فرز</v>
          </cell>
          <cell r="O50">
            <v>7101</v>
          </cell>
          <cell r="AC50" t="str">
            <v>1405/02/03</v>
          </cell>
          <cell r="AD50" t="str">
            <v>6:00الی13:00</v>
          </cell>
          <cell r="AF50">
            <v>6.5</v>
          </cell>
        </row>
        <row r="51">
          <cell r="D51" t="str">
            <v>حیدری</v>
          </cell>
          <cell r="N51" t="str">
            <v>فرز</v>
          </cell>
          <cell r="O51">
            <v>7101</v>
          </cell>
          <cell r="AC51" t="str">
            <v>1405/02/03</v>
          </cell>
          <cell r="AD51" t="str">
            <v>13:00الی14:00</v>
          </cell>
          <cell r="AF51">
            <v>1</v>
          </cell>
        </row>
        <row r="52">
          <cell r="D52" t="str">
            <v>یاراحمدی</v>
          </cell>
          <cell r="N52" t="str">
            <v>سنگ زنی</v>
          </cell>
          <cell r="O52">
            <v>7502</v>
          </cell>
          <cell r="AC52" t="str">
            <v>1405/02/03</v>
          </cell>
          <cell r="AD52" t="str">
            <v>6:00الی12:00</v>
          </cell>
          <cell r="AF52">
            <v>5.5</v>
          </cell>
        </row>
        <row r="53">
          <cell r="D53" t="str">
            <v>یاراحمدی</v>
          </cell>
          <cell r="N53" t="str">
            <v>سنگ زنی</v>
          </cell>
          <cell r="O53">
            <v>7502</v>
          </cell>
          <cell r="AC53" t="str">
            <v>1405/02/03</v>
          </cell>
          <cell r="AD53" t="str">
            <v>12:00الی13:00</v>
          </cell>
          <cell r="AF53">
            <v>1</v>
          </cell>
        </row>
        <row r="54">
          <cell r="D54" t="str">
            <v>یاراحمدی</v>
          </cell>
          <cell r="N54" t="str">
            <v>نظافت</v>
          </cell>
          <cell r="O54" t="str">
            <v>نظافت</v>
          </cell>
          <cell r="AC54" t="str">
            <v>1405/02/03</v>
          </cell>
          <cell r="AD54" t="str">
            <v>13:00الی14:00</v>
          </cell>
          <cell r="AF54">
            <v>1</v>
          </cell>
        </row>
        <row r="55">
          <cell r="D55" t="str">
            <v>موسوی</v>
          </cell>
          <cell r="N55" t="str">
            <v>تراش</v>
          </cell>
          <cell r="O55">
            <v>7302</v>
          </cell>
          <cell r="AC55" t="str">
            <v>1405/02/03</v>
          </cell>
          <cell r="AD55" t="str">
            <v>6:00الی14:00</v>
          </cell>
          <cell r="AF55">
            <v>3</v>
          </cell>
        </row>
        <row r="56">
          <cell r="D56" t="str">
            <v>موسوی</v>
          </cell>
          <cell r="N56" t="str">
            <v>تراش</v>
          </cell>
          <cell r="O56">
            <v>7302</v>
          </cell>
          <cell r="AC56" t="str">
            <v>1405/02/03</v>
          </cell>
          <cell r="AD56" t="str">
            <v>6:00الی14:00</v>
          </cell>
          <cell r="AF56">
            <v>3</v>
          </cell>
        </row>
        <row r="57">
          <cell r="D57" t="str">
            <v>موسوی</v>
          </cell>
          <cell r="N57" t="str">
            <v>نظافت</v>
          </cell>
          <cell r="O57" t="str">
            <v>نظافت</v>
          </cell>
          <cell r="AC57" t="str">
            <v>1405/02/03</v>
          </cell>
          <cell r="AD57" t="str">
            <v>6:00الی14:00</v>
          </cell>
          <cell r="AF57">
            <v>1</v>
          </cell>
        </row>
        <row r="58">
          <cell r="D58" t="str">
            <v>صحرایی</v>
          </cell>
          <cell r="N58" t="str">
            <v>تراش</v>
          </cell>
          <cell r="O58">
            <v>7303</v>
          </cell>
          <cell r="AC58" t="str">
            <v>1405/02/03</v>
          </cell>
          <cell r="AD58" t="str">
            <v>6:00الی10:30</v>
          </cell>
          <cell r="AF58">
            <v>4</v>
          </cell>
        </row>
        <row r="59">
          <cell r="D59" t="str">
            <v>صلواتی</v>
          </cell>
          <cell r="N59" t="str">
            <v>وایر</v>
          </cell>
          <cell r="O59">
            <v>7601</v>
          </cell>
          <cell r="AC59" t="str">
            <v>1405/02/03</v>
          </cell>
          <cell r="AD59" t="str">
            <v>6:00الی9:00</v>
          </cell>
          <cell r="AF59">
            <v>3</v>
          </cell>
        </row>
        <row r="60">
          <cell r="D60" t="str">
            <v>صلواتی</v>
          </cell>
          <cell r="N60" t="str">
            <v>وایر</v>
          </cell>
          <cell r="O60">
            <v>7601</v>
          </cell>
          <cell r="AC60" t="str">
            <v>1405/02/03</v>
          </cell>
          <cell r="AD60" t="str">
            <v>9:00الی14:00</v>
          </cell>
          <cell r="AF60">
            <v>5</v>
          </cell>
        </row>
        <row r="61">
          <cell r="D61" t="str">
            <v>صلواتی</v>
          </cell>
          <cell r="N61" t="str">
            <v>وایر</v>
          </cell>
          <cell r="O61">
            <v>7602</v>
          </cell>
          <cell r="AC61" t="str">
            <v>1405/02/03</v>
          </cell>
          <cell r="AD61" t="str">
            <v>6:00الی14:00</v>
          </cell>
          <cell r="AF61">
            <v>8</v>
          </cell>
        </row>
        <row r="62">
          <cell r="D62" t="str">
            <v>صلواتی</v>
          </cell>
          <cell r="N62" t="str">
            <v>وایر</v>
          </cell>
          <cell r="O62">
            <v>7603</v>
          </cell>
          <cell r="AC62" t="str">
            <v>1405/02/03</v>
          </cell>
          <cell r="AD62" t="str">
            <v>6:00الی14:00</v>
          </cell>
          <cell r="AF62">
            <v>8</v>
          </cell>
        </row>
        <row r="63">
          <cell r="D63" t="str">
            <v>صلواتی</v>
          </cell>
          <cell r="N63" t="str">
            <v>وایر</v>
          </cell>
          <cell r="O63">
            <v>7605</v>
          </cell>
          <cell r="AC63" t="str">
            <v>1405/02/03</v>
          </cell>
          <cell r="AD63" t="str">
            <v>6:00الی14:00</v>
          </cell>
          <cell r="AF63">
            <v>8</v>
          </cell>
        </row>
        <row r="64">
          <cell r="D64" t="str">
            <v>کریم پرست</v>
          </cell>
          <cell r="N64" t="str">
            <v>تراش</v>
          </cell>
          <cell r="O64">
            <v>7301</v>
          </cell>
          <cell r="AC64" t="str">
            <v>1405/02/03</v>
          </cell>
          <cell r="AD64" t="str">
            <v>6:00الی14:00</v>
          </cell>
          <cell r="AF64">
            <v>2</v>
          </cell>
        </row>
        <row r="65">
          <cell r="D65" t="str">
            <v>کریم پرست</v>
          </cell>
          <cell r="N65" t="str">
            <v>تراش</v>
          </cell>
          <cell r="O65">
            <v>7301</v>
          </cell>
          <cell r="AC65" t="str">
            <v>1405/02/03</v>
          </cell>
          <cell r="AD65" t="str">
            <v>6:00الی14:00</v>
          </cell>
          <cell r="AF65">
            <v>2.5</v>
          </cell>
        </row>
        <row r="66">
          <cell r="D66" t="str">
            <v>کریم پرست</v>
          </cell>
          <cell r="N66" t="str">
            <v>تراش</v>
          </cell>
          <cell r="O66">
            <v>7301</v>
          </cell>
          <cell r="AC66" t="str">
            <v>1405/02/03</v>
          </cell>
          <cell r="AD66" t="str">
            <v>6:00الی14:00</v>
          </cell>
          <cell r="AF66">
            <v>3</v>
          </cell>
        </row>
        <row r="67">
          <cell r="D67" t="str">
            <v>قیطاسوند</v>
          </cell>
          <cell r="N67" t="str">
            <v>CNC</v>
          </cell>
          <cell r="O67">
            <v>7203</v>
          </cell>
          <cell r="AC67" t="str">
            <v>1405/02/02</v>
          </cell>
          <cell r="AD67" t="str">
            <v>6:00الی13:30</v>
          </cell>
          <cell r="AF67">
            <v>7</v>
          </cell>
        </row>
        <row r="68">
          <cell r="D68" t="str">
            <v>هاشم زاده</v>
          </cell>
          <cell r="N68" t="str">
            <v>مونتاژ</v>
          </cell>
          <cell r="O68" t="str">
            <v>دمونتاژ</v>
          </cell>
          <cell r="AC68" t="str">
            <v>1405/02/03</v>
          </cell>
          <cell r="AD68" t="str">
            <v>6:00الی14:00</v>
          </cell>
          <cell r="AF68">
            <v>2</v>
          </cell>
        </row>
        <row r="69">
          <cell r="D69" t="str">
            <v>هاشم زاده</v>
          </cell>
          <cell r="N69" t="str">
            <v>مونتاژ</v>
          </cell>
          <cell r="O69" t="str">
            <v>مونتاژ</v>
          </cell>
          <cell r="AC69" t="str">
            <v>1405/02/03</v>
          </cell>
          <cell r="AD69" t="str">
            <v>6:00الی14:00</v>
          </cell>
          <cell r="AF69">
            <v>2</v>
          </cell>
        </row>
        <row r="70">
          <cell r="D70" t="str">
            <v>هاشم زاده</v>
          </cell>
          <cell r="N70" t="str">
            <v>مونتاژ</v>
          </cell>
          <cell r="O70" t="str">
            <v>دمونتاژ</v>
          </cell>
          <cell r="AC70" t="str">
            <v>1405/02/03</v>
          </cell>
          <cell r="AD70" t="str">
            <v>6:00الی14:00</v>
          </cell>
          <cell r="AF70">
            <v>2</v>
          </cell>
        </row>
        <row r="71">
          <cell r="D71" t="str">
            <v>هاشم زاده</v>
          </cell>
          <cell r="N71" t="str">
            <v>نظافت</v>
          </cell>
          <cell r="O71" t="str">
            <v>نظافت</v>
          </cell>
          <cell r="AC71" t="str">
            <v>1405/02/03</v>
          </cell>
          <cell r="AD71" t="str">
            <v>6:00الی14:00</v>
          </cell>
          <cell r="AF71">
            <v>1</v>
          </cell>
        </row>
        <row r="72">
          <cell r="D72" t="str">
            <v>خیرخواه</v>
          </cell>
          <cell r="N72" t="str">
            <v>مونتاژ</v>
          </cell>
          <cell r="O72" t="str">
            <v>دمونتاژ</v>
          </cell>
          <cell r="AC72" t="str">
            <v>1405/02/03</v>
          </cell>
          <cell r="AD72" t="str">
            <v>6:00الی14:00</v>
          </cell>
          <cell r="AF72">
            <v>2</v>
          </cell>
        </row>
        <row r="73">
          <cell r="D73" t="str">
            <v>خیرخواه</v>
          </cell>
          <cell r="N73" t="str">
            <v>مونتاژ</v>
          </cell>
          <cell r="O73" t="str">
            <v>مونتاژ</v>
          </cell>
          <cell r="AC73" t="str">
            <v>1405/02/03</v>
          </cell>
          <cell r="AD73" t="str">
            <v>6:00الی14:00</v>
          </cell>
          <cell r="AF73">
            <v>2</v>
          </cell>
        </row>
        <row r="74">
          <cell r="D74" t="str">
            <v>خیرخواه</v>
          </cell>
          <cell r="N74" t="str">
            <v>مونتاژ</v>
          </cell>
          <cell r="O74" t="str">
            <v>دمونتاژ</v>
          </cell>
          <cell r="AC74" t="str">
            <v>1405/02/03</v>
          </cell>
          <cell r="AD74" t="str">
            <v>6:00الی14:00</v>
          </cell>
          <cell r="AF74">
            <v>2</v>
          </cell>
        </row>
        <row r="75">
          <cell r="D75" t="str">
            <v>خیرخواه</v>
          </cell>
          <cell r="N75" t="str">
            <v>نظافت</v>
          </cell>
          <cell r="O75" t="str">
            <v>نظافت</v>
          </cell>
          <cell r="AC75" t="str">
            <v>1405/02/03</v>
          </cell>
          <cell r="AD75" t="str">
            <v>6:00الی14:00</v>
          </cell>
          <cell r="AF75">
            <v>1</v>
          </cell>
        </row>
        <row r="76">
          <cell r="D76" t="str">
            <v>قیطاسوند</v>
          </cell>
          <cell r="N76" t="str">
            <v>فرز</v>
          </cell>
          <cell r="O76">
            <v>7102</v>
          </cell>
          <cell r="AC76" t="str">
            <v>1405/02/05</v>
          </cell>
          <cell r="AD76" t="str">
            <v>6:00الی18:00</v>
          </cell>
          <cell r="AF76">
            <v>11</v>
          </cell>
        </row>
        <row r="77">
          <cell r="D77" t="str">
            <v>کریم پرست</v>
          </cell>
          <cell r="N77" t="str">
            <v>تراش</v>
          </cell>
          <cell r="O77">
            <v>7301</v>
          </cell>
          <cell r="AC77" t="str">
            <v>1405/02/05</v>
          </cell>
          <cell r="AD77" t="str">
            <v>6:00الی18:00</v>
          </cell>
          <cell r="AF77">
            <v>9.6666666666666661</v>
          </cell>
        </row>
        <row r="78">
          <cell r="D78" t="str">
            <v>فراهی</v>
          </cell>
          <cell r="N78" t="str">
            <v>فرز</v>
          </cell>
          <cell r="O78">
            <v>7103</v>
          </cell>
          <cell r="AC78" t="str">
            <v>1405/02/05</v>
          </cell>
          <cell r="AD78" t="str">
            <v>7:00الی14:00</v>
          </cell>
          <cell r="AF78">
            <v>6.5</v>
          </cell>
        </row>
        <row r="79">
          <cell r="D79" t="str">
            <v>کاظمی</v>
          </cell>
          <cell r="N79" t="str">
            <v>CNC</v>
          </cell>
          <cell r="O79">
            <v>7202</v>
          </cell>
          <cell r="AC79" t="str">
            <v>1405/02/05</v>
          </cell>
          <cell r="AD79" t="str">
            <v>6:00الی18:00</v>
          </cell>
          <cell r="AF79">
            <v>11</v>
          </cell>
        </row>
        <row r="80">
          <cell r="D80" t="str">
            <v>صحرایی</v>
          </cell>
          <cell r="N80" t="str">
            <v>سری تراش</v>
          </cell>
          <cell r="O80">
            <v>8002</v>
          </cell>
          <cell r="AC80" t="str">
            <v>1405/02/05</v>
          </cell>
          <cell r="AD80" t="str">
            <v>6:00الی14:00</v>
          </cell>
          <cell r="AF80">
            <v>7.5</v>
          </cell>
        </row>
        <row r="81">
          <cell r="D81" t="str">
            <v>زیلویی</v>
          </cell>
          <cell r="N81" t="str">
            <v>CNC</v>
          </cell>
          <cell r="O81">
            <v>7203</v>
          </cell>
          <cell r="AC81" t="str">
            <v>1405/02/05</v>
          </cell>
          <cell r="AD81" t="str">
            <v>6:00الی14:00</v>
          </cell>
          <cell r="AF81">
            <v>7.5</v>
          </cell>
        </row>
        <row r="82">
          <cell r="D82" t="str">
            <v>زیلویی</v>
          </cell>
          <cell r="N82" t="str">
            <v>CNC</v>
          </cell>
          <cell r="O82">
            <v>7203</v>
          </cell>
          <cell r="AC82" t="str">
            <v>1405/02/05</v>
          </cell>
          <cell r="AD82" t="str">
            <v>14:00الی18:00</v>
          </cell>
          <cell r="AF82">
            <v>3.5</v>
          </cell>
        </row>
        <row r="83">
          <cell r="D83" t="str">
            <v>حیدری</v>
          </cell>
          <cell r="N83" t="str">
            <v>فرز</v>
          </cell>
          <cell r="O83">
            <v>7101</v>
          </cell>
          <cell r="AC83" t="str">
            <v>1405/02/05</v>
          </cell>
          <cell r="AD83" t="str">
            <v>6:00الی10:00</v>
          </cell>
          <cell r="AF83">
            <v>3.5</v>
          </cell>
        </row>
        <row r="84">
          <cell r="D84" t="str">
            <v>حیدری</v>
          </cell>
          <cell r="N84" t="str">
            <v>فرز</v>
          </cell>
          <cell r="O84">
            <v>7101</v>
          </cell>
          <cell r="AC84" t="str">
            <v>1405/02/05</v>
          </cell>
          <cell r="AD84" t="str">
            <v>10:00الی18:00</v>
          </cell>
          <cell r="AF84">
            <v>7.5</v>
          </cell>
        </row>
        <row r="85">
          <cell r="D85" t="str">
            <v>یاراحمدی</v>
          </cell>
          <cell r="N85" t="str">
            <v>سنگ زنی</v>
          </cell>
          <cell r="O85">
            <v>7502</v>
          </cell>
          <cell r="AC85" t="str">
            <v>1405/02/05</v>
          </cell>
          <cell r="AD85" t="str">
            <v>6:00الی18:00</v>
          </cell>
          <cell r="AF85">
            <v>1.8333333333333333</v>
          </cell>
        </row>
        <row r="86">
          <cell r="D86" t="str">
            <v>یاراحمدی</v>
          </cell>
          <cell r="N86" t="str">
            <v>سنگ زنی</v>
          </cell>
          <cell r="O86">
            <v>7502</v>
          </cell>
          <cell r="AC86" t="str">
            <v>1405/02/05</v>
          </cell>
          <cell r="AD86" t="str">
            <v>6:00الی18:00</v>
          </cell>
          <cell r="AF86">
            <v>1.8333333333333333</v>
          </cell>
        </row>
        <row r="87">
          <cell r="D87" t="str">
            <v>یاراحمدی</v>
          </cell>
          <cell r="N87" t="str">
            <v>سنگ زنی</v>
          </cell>
          <cell r="O87">
            <v>7502</v>
          </cell>
          <cell r="AC87" t="str">
            <v>1405/02/05</v>
          </cell>
          <cell r="AD87" t="str">
            <v>6:00الی18:00</v>
          </cell>
          <cell r="AF87">
            <v>1.8333333333333333</v>
          </cell>
        </row>
        <row r="88">
          <cell r="D88" t="str">
            <v>یاراحمدی</v>
          </cell>
          <cell r="N88" t="str">
            <v>سنگ زنی</v>
          </cell>
          <cell r="O88">
            <v>7502</v>
          </cell>
          <cell r="AC88" t="str">
            <v>1405/02/05</v>
          </cell>
          <cell r="AD88" t="str">
            <v>6:00الی18:00</v>
          </cell>
          <cell r="AF88">
            <v>1.5</v>
          </cell>
        </row>
        <row r="89">
          <cell r="D89" t="str">
            <v>یاراحمدی</v>
          </cell>
          <cell r="N89" t="str">
            <v>سنگ زنی</v>
          </cell>
          <cell r="O89">
            <v>7502</v>
          </cell>
          <cell r="AC89" t="str">
            <v>1405/02/05</v>
          </cell>
          <cell r="AD89" t="str">
            <v>6:00الی18:00</v>
          </cell>
          <cell r="AF89">
            <v>1.5</v>
          </cell>
        </row>
        <row r="90">
          <cell r="D90" t="str">
            <v>یاراحمدی</v>
          </cell>
          <cell r="N90" t="str">
            <v>سنگ زنی</v>
          </cell>
          <cell r="O90">
            <v>7502</v>
          </cell>
          <cell r="AC90" t="str">
            <v>1405/02/05</v>
          </cell>
          <cell r="AD90" t="str">
            <v>6:00الی18:00</v>
          </cell>
          <cell r="AF90">
            <v>1.5</v>
          </cell>
        </row>
        <row r="91">
          <cell r="D91" t="str">
            <v>یاراحمدی</v>
          </cell>
          <cell r="N91" t="str">
            <v>سنگ زنی</v>
          </cell>
          <cell r="O91">
            <v>7502</v>
          </cell>
          <cell r="AC91" t="str">
            <v>1405/02/05</v>
          </cell>
          <cell r="AD91" t="str">
            <v>6:00الی18:00</v>
          </cell>
          <cell r="AF91">
            <v>1</v>
          </cell>
        </row>
        <row r="92">
          <cell r="D92" t="str">
            <v>موسوی</v>
          </cell>
          <cell r="N92" t="str">
            <v>تراش</v>
          </cell>
          <cell r="O92">
            <v>7302</v>
          </cell>
          <cell r="AC92" t="str">
            <v>1405/02/05</v>
          </cell>
          <cell r="AD92" t="str">
            <v>6:00الی18:00</v>
          </cell>
          <cell r="AF92">
            <v>5</v>
          </cell>
        </row>
        <row r="93">
          <cell r="D93" t="str">
            <v>موسوی</v>
          </cell>
          <cell r="N93" t="str">
            <v>تراش</v>
          </cell>
          <cell r="O93">
            <v>7302</v>
          </cell>
          <cell r="AC93" t="str">
            <v>1405/02/05</v>
          </cell>
          <cell r="AD93" t="str">
            <v>6:00الی18:00</v>
          </cell>
          <cell r="AF93">
            <v>1</v>
          </cell>
        </row>
        <row r="94">
          <cell r="D94" t="str">
            <v>موسوی</v>
          </cell>
          <cell r="N94" t="str">
            <v>تراش</v>
          </cell>
          <cell r="O94">
            <v>7302</v>
          </cell>
          <cell r="AC94" t="str">
            <v>1405/02/05</v>
          </cell>
          <cell r="AD94" t="str">
            <v>6:00الی18:00</v>
          </cell>
          <cell r="AF94">
            <v>1</v>
          </cell>
        </row>
        <row r="95">
          <cell r="D95" t="str">
            <v>موسوی</v>
          </cell>
          <cell r="N95" t="str">
            <v>تراش</v>
          </cell>
          <cell r="O95">
            <v>7302</v>
          </cell>
          <cell r="AC95" t="str">
            <v>1405/02/05</v>
          </cell>
          <cell r="AD95" t="str">
            <v>6:00الی18:00</v>
          </cell>
          <cell r="AF95">
            <v>2</v>
          </cell>
        </row>
        <row r="96">
          <cell r="D96" t="str">
            <v>هاشم زاده</v>
          </cell>
          <cell r="N96" t="str">
            <v>اره لنگ</v>
          </cell>
          <cell r="O96">
            <v>8001</v>
          </cell>
          <cell r="AC96" t="str">
            <v>1405/02/05</v>
          </cell>
          <cell r="AD96" t="str">
            <v>6:00الی18:00</v>
          </cell>
          <cell r="AF96">
            <v>2</v>
          </cell>
        </row>
        <row r="97">
          <cell r="D97" t="str">
            <v>هاشم زاده</v>
          </cell>
          <cell r="N97" t="str">
            <v>مونتاژ</v>
          </cell>
          <cell r="O97" t="str">
            <v>مونتاژ</v>
          </cell>
          <cell r="AC97" t="str">
            <v>1405/02/05</v>
          </cell>
          <cell r="AD97" t="str">
            <v>6:00الی18:00</v>
          </cell>
          <cell r="AF97">
            <v>2</v>
          </cell>
        </row>
        <row r="98">
          <cell r="D98" t="str">
            <v>هاشم زاده</v>
          </cell>
          <cell r="N98" t="str">
            <v>مونتاژ</v>
          </cell>
          <cell r="O98" t="str">
            <v>مونتاژ</v>
          </cell>
          <cell r="AC98" t="str">
            <v>1405/02/05</v>
          </cell>
          <cell r="AD98" t="str">
            <v>6:00الی18:00</v>
          </cell>
          <cell r="AF98">
            <v>2</v>
          </cell>
        </row>
        <row r="99">
          <cell r="D99" t="str">
            <v>هاشم زاده</v>
          </cell>
          <cell r="N99" t="str">
            <v>مونتاژ</v>
          </cell>
          <cell r="O99" t="str">
            <v>دمونتاژ</v>
          </cell>
          <cell r="AC99" t="str">
            <v>1405/02/05</v>
          </cell>
          <cell r="AD99" t="str">
            <v>6:00الی18:00</v>
          </cell>
          <cell r="AF99">
            <v>2</v>
          </cell>
        </row>
        <row r="100">
          <cell r="D100" t="str">
            <v>خیرخواه</v>
          </cell>
          <cell r="N100" t="str">
            <v>دریل رادیال</v>
          </cell>
          <cell r="O100">
            <v>7401</v>
          </cell>
          <cell r="AC100" t="str">
            <v>1405/02/05</v>
          </cell>
          <cell r="AD100" t="str">
            <v>6:00الی18:00</v>
          </cell>
          <cell r="AF100">
            <v>6</v>
          </cell>
        </row>
        <row r="101">
          <cell r="D101" t="str">
            <v>خیرخواه</v>
          </cell>
          <cell r="N101" t="str">
            <v>مونتاژ</v>
          </cell>
          <cell r="O101" t="str">
            <v>مونتاژ</v>
          </cell>
          <cell r="AC101" t="str">
            <v>1405/02/05</v>
          </cell>
          <cell r="AD101" t="str">
            <v>6:00الی18:00</v>
          </cell>
          <cell r="AF101">
            <v>2</v>
          </cell>
        </row>
        <row r="102">
          <cell r="D102" t="str">
            <v>خیرخواه</v>
          </cell>
          <cell r="N102" t="str">
            <v>مونتاژ</v>
          </cell>
          <cell r="O102" t="str">
            <v>دمونتاژ</v>
          </cell>
          <cell r="AC102" t="str">
            <v>1405/02/05</v>
          </cell>
          <cell r="AD102" t="str">
            <v>6:00الی18:00</v>
          </cell>
          <cell r="AF102">
            <v>2</v>
          </cell>
        </row>
        <row r="103">
          <cell r="D103" t="str">
            <v>صلواتی</v>
          </cell>
          <cell r="N103" t="str">
            <v>وایر</v>
          </cell>
          <cell r="O103">
            <v>7601</v>
          </cell>
          <cell r="AC103" t="str">
            <v>1405/02/05</v>
          </cell>
          <cell r="AD103" t="str">
            <v>8:00الی18:00</v>
          </cell>
          <cell r="AF103">
            <v>10</v>
          </cell>
        </row>
        <row r="104">
          <cell r="D104" t="str">
            <v>صلواتی</v>
          </cell>
          <cell r="N104" t="str">
            <v>وایر</v>
          </cell>
          <cell r="O104">
            <v>7602</v>
          </cell>
          <cell r="AC104" t="str">
            <v>1405/02/05</v>
          </cell>
          <cell r="AD104" t="str">
            <v>8:00الی10:00</v>
          </cell>
          <cell r="AF104">
            <v>2</v>
          </cell>
        </row>
        <row r="105">
          <cell r="D105" t="str">
            <v>صلواتی</v>
          </cell>
          <cell r="N105" t="str">
            <v>وایر</v>
          </cell>
          <cell r="O105">
            <v>7603</v>
          </cell>
          <cell r="AC105" t="str">
            <v>1405/02/05</v>
          </cell>
          <cell r="AD105" t="str">
            <v>8:00الی12:00</v>
          </cell>
          <cell r="AF105">
            <v>4</v>
          </cell>
        </row>
        <row r="106">
          <cell r="D106" t="str">
            <v>صلواتی</v>
          </cell>
          <cell r="N106" t="str">
            <v>وایر</v>
          </cell>
          <cell r="O106">
            <v>7605</v>
          </cell>
          <cell r="AC106" t="str">
            <v>1405/02/05</v>
          </cell>
          <cell r="AD106" t="str">
            <v>8:00الی10:00</v>
          </cell>
          <cell r="AF106">
            <v>2</v>
          </cell>
        </row>
        <row r="107">
          <cell r="D107" t="str">
            <v>صلواتی</v>
          </cell>
          <cell r="N107" t="str">
            <v>وایر</v>
          </cell>
          <cell r="O107">
            <v>7602</v>
          </cell>
          <cell r="AC107" t="str">
            <v>1405/02/05</v>
          </cell>
          <cell r="AD107" t="str">
            <v>10:00الی18:00</v>
          </cell>
          <cell r="AF107">
            <v>8</v>
          </cell>
        </row>
        <row r="108">
          <cell r="D108" t="str">
            <v>صلواتی</v>
          </cell>
          <cell r="N108" t="str">
            <v>وایر</v>
          </cell>
          <cell r="O108">
            <v>7603</v>
          </cell>
          <cell r="AC108" t="str">
            <v>1405/02/05</v>
          </cell>
          <cell r="AD108" t="str">
            <v>12:00الی14:00</v>
          </cell>
          <cell r="AF108">
            <v>2</v>
          </cell>
        </row>
        <row r="109">
          <cell r="D109" t="str">
            <v>صلواتی</v>
          </cell>
          <cell r="N109" t="str">
            <v>وایر</v>
          </cell>
          <cell r="O109">
            <v>7605</v>
          </cell>
          <cell r="AC109" t="str">
            <v>1405/02/05</v>
          </cell>
          <cell r="AD109" t="str">
            <v>8:00الی18:00</v>
          </cell>
          <cell r="AF109">
            <v>10</v>
          </cell>
        </row>
        <row r="110">
          <cell r="D110" t="str">
            <v>صحرایی</v>
          </cell>
          <cell r="N110" t="str">
            <v>سری تراش</v>
          </cell>
          <cell r="O110">
            <v>8002</v>
          </cell>
          <cell r="AC110" t="str">
            <v>1405/02/06</v>
          </cell>
          <cell r="AD110" t="str">
            <v>6:00الی14:00</v>
          </cell>
          <cell r="AF110">
            <v>7.5</v>
          </cell>
        </row>
        <row r="111">
          <cell r="D111" t="str">
            <v>قیطاسوند</v>
          </cell>
          <cell r="N111" t="str">
            <v>فرز</v>
          </cell>
          <cell r="O111">
            <v>7102</v>
          </cell>
          <cell r="AC111" t="str">
            <v>1405/02/06</v>
          </cell>
          <cell r="AD111" t="str">
            <v>6:00الی14:00</v>
          </cell>
          <cell r="AF111">
            <v>7.5</v>
          </cell>
        </row>
        <row r="112">
          <cell r="D112" t="str">
            <v>فراهی</v>
          </cell>
          <cell r="N112" t="str">
            <v>فرز</v>
          </cell>
          <cell r="O112">
            <v>7103</v>
          </cell>
          <cell r="AC112" t="str">
            <v>1405/02/06</v>
          </cell>
          <cell r="AD112" t="str">
            <v>7:00الی14:00</v>
          </cell>
          <cell r="AF112">
            <v>6.5</v>
          </cell>
        </row>
        <row r="113">
          <cell r="D113" t="str">
            <v>زیلویی</v>
          </cell>
          <cell r="N113" t="str">
            <v>CNC</v>
          </cell>
          <cell r="O113">
            <v>7203</v>
          </cell>
          <cell r="AC113" t="str">
            <v>1405/02/06</v>
          </cell>
          <cell r="AD113" t="str">
            <v>6:00الی18:00</v>
          </cell>
          <cell r="AF113">
            <v>11</v>
          </cell>
        </row>
        <row r="114">
          <cell r="D114" t="str">
            <v>کاظمی</v>
          </cell>
          <cell r="N114" t="str">
            <v>CNC</v>
          </cell>
          <cell r="O114">
            <v>7202</v>
          </cell>
          <cell r="AC114" t="str">
            <v>1405/02/06</v>
          </cell>
          <cell r="AD114" t="str">
            <v>6:00الی12:00</v>
          </cell>
          <cell r="AF114">
            <v>5.5</v>
          </cell>
        </row>
        <row r="115">
          <cell r="D115" t="str">
            <v>کاظمی</v>
          </cell>
          <cell r="N115" t="str">
            <v>CNC</v>
          </cell>
          <cell r="O115">
            <v>7202</v>
          </cell>
          <cell r="AC115" t="str">
            <v>1405/02/06</v>
          </cell>
          <cell r="AD115" t="str">
            <v>12:00الی14:00</v>
          </cell>
          <cell r="AF115">
            <v>2</v>
          </cell>
        </row>
        <row r="116">
          <cell r="D116" t="str">
            <v>حیدری</v>
          </cell>
          <cell r="N116" t="str">
            <v>فرز</v>
          </cell>
          <cell r="O116">
            <v>7101</v>
          </cell>
          <cell r="AC116" t="str">
            <v>1405/02/06</v>
          </cell>
          <cell r="AD116" t="str">
            <v>6:00الی14:00</v>
          </cell>
          <cell r="AF116">
            <v>7.5</v>
          </cell>
        </row>
        <row r="117">
          <cell r="D117" t="str">
            <v>حیدری</v>
          </cell>
          <cell r="N117" t="str">
            <v>فرز</v>
          </cell>
          <cell r="O117">
            <v>7101</v>
          </cell>
          <cell r="AC117" t="str">
            <v>1405/02/06</v>
          </cell>
          <cell r="AD117" t="str">
            <v>14:00الی18:00</v>
          </cell>
          <cell r="AF117">
            <v>3.5</v>
          </cell>
        </row>
        <row r="118">
          <cell r="D118" t="str">
            <v>صلواتی</v>
          </cell>
          <cell r="N118" t="str">
            <v>وایر</v>
          </cell>
          <cell r="O118">
            <v>7601</v>
          </cell>
          <cell r="AC118" t="str">
            <v>1405/02/06</v>
          </cell>
          <cell r="AD118" t="str">
            <v>6:00الی14:00</v>
          </cell>
          <cell r="AF118">
            <v>8</v>
          </cell>
        </row>
        <row r="119">
          <cell r="D119" t="str">
            <v>صلواتی</v>
          </cell>
          <cell r="N119" t="str">
            <v>وایر</v>
          </cell>
          <cell r="O119">
            <v>7602</v>
          </cell>
          <cell r="AC119" t="str">
            <v>1405/02/06</v>
          </cell>
          <cell r="AD119" t="str">
            <v>6:00الی18:00</v>
          </cell>
          <cell r="AF119">
            <v>12</v>
          </cell>
        </row>
        <row r="120">
          <cell r="D120" t="str">
            <v>صلواتی</v>
          </cell>
          <cell r="N120" t="str">
            <v>وایر</v>
          </cell>
          <cell r="O120">
            <v>7603</v>
          </cell>
          <cell r="AC120" t="str">
            <v>1405/02/06</v>
          </cell>
          <cell r="AD120" t="str">
            <v>6:00الی14:00</v>
          </cell>
          <cell r="AF120">
            <v>8</v>
          </cell>
        </row>
        <row r="121">
          <cell r="D121" t="str">
            <v>صلواتی</v>
          </cell>
          <cell r="N121" t="str">
            <v>وایر</v>
          </cell>
          <cell r="O121">
            <v>7605</v>
          </cell>
          <cell r="AC121" t="str">
            <v>1405/02/06</v>
          </cell>
          <cell r="AD121" t="str">
            <v>6:00الی18:00</v>
          </cell>
          <cell r="AF121">
            <v>12</v>
          </cell>
        </row>
        <row r="122">
          <cell r="D122" t="str">
            <v>صلواتی</v>
          </cell>
          <cell r="N122" t="str">
            <v>وایر</v>
          </cell>
          <cell r="O122">
            <v>7603</v>
          </cell>
          <cell r="AC122" t="str">
            <v>1405/02/06</v>
          </cell>
          <cell r="AD122" t="str">
            <v>14:00الی18:00</v>
          </cell>
          <cell r="AF122">
            <v>4</v>
          </cell>
        </row>
        <row r="123">
          <cell r="D123" t="str">
            <v>کریم پرست</v>
          </cell>
          <cell r="N123" t="str">
            <v>تراش</v>
          </cell>
          <cell r="O123">
            <v>7301</v>
          </cell>
          <cell r="AC123" t="str">
            <v>1405/02/06</v>
          </cell>
          <cell r="AD123" t="str">
            <v>6:00الی18:00</v>
          </cell>
          <cell r="AF123">
            <v>2</v>
          </cell>
        </row>
        <row r="124">
          <cell r="D124" t="str">
            <v>کریم پرست</v>
          </cell>
          <cell r="N124" t="str">
            <v>تراش</v>
          </cell>
          <cell r="O124">
            <v>7301</v>
          </cell>
          <cell r="AC124" t="str">
            <v>1405/02/06</v>
          </cell>
          <cell r="AD124" t="str">
            <v>6:00الی18:00</v>
          </cell>
          <cell r="AF124">
            <v>4</v>
          </cell>
        </row>
        <row r="125">
          <cell r="D125" t="str">
            <v>کریم پرست</v>
          </cell>
          <cell r="N125" t="str">
            <v>تراش</v>
          </cell>
          <cell r="O125">
            <v>7301</v>
          </cell>
          <cell r="AC125" t="str">
            <v>1405/02/06</v>
          </cell>
          <cell r="AD125" t="str">
            <v>6:00الی18:00</v>
          </cell>
          <cell r="AF125">
            <v>4</v>
          </cell>
        </row>
        <row r="126">
          <cell r="D126" t="str">
            <v>کریم پرست</v>
          </cell>
          <cell r="N126" t="str">
            <v>تراش</v>
          </cell>
          <cell r="O126">
            <v>7301</v>
          </cell>
          <cell r="AC126" t="str">
            <v>1405/02/06</v>
          </cell>
          <cell r="AD126" t="str">
            <v>6:00الی18:00</v>
          </cell>
          <cell r="AF126">
            <v>1</v>
          </cell>
        </row>
        <row r="127">
          <cell r="D127" t="str">
            <v>هاشم زاده</v>
          </cell>
          <cell r="N127" t="str">
            <v>مونتاژ</v>
          </cell>
          <cell r="O127" t="str">
            <v>مونتاژ</v>
          </cell>
          <cell r="AC127" t="str">
            <v>1405/02/06</v>
          </cell>
          <cell r="AD127" t="str">
            <v>6:00الی18:00</v>
          </cell>
          <cell r="AF127">
            <v>3</v>
          </cell>
        </row>
        <row r="128">
          <cell r="D128" t="str">
            <v>هاشم زاده</v>
          </cell>
          <cell r="N128" t="str">
            <v>مونتاژ</v>
          </cell>
          <cell r="O128" t="str">
            <v>مونتاژ</v>
          </cell>
          <cell r="AC128" t="str">
            <v>1405/02/06</v>
          </cell>
          <cell r="AD128" t="str">
            <v>6:00الی18:00</v>
          </cell>
          <cell r="AF128">
            <v>2</v>
          </cell>
        </row>
        <row r="129">
          <cell r="D129" t="str">
            <v>هاشم زاده</v>
          </cell>
          <cell r="N129" t="str">
            <v>مونتاژ</v>
          </cell>
          <cell r="O129" t="str">
            <v>مونتاژ</v>
          </cell>
          <cell r="AC129" t="str">
            <v>1405/02/06</v>
          </cell>
          <cell r="AD129" t="str">
            <v>6:00الی18:00</v>
          </cell>
          <cell r="AF129">
            <v>2</v>
          </cell>
        </row>
        <row r="130">
          <cell r="D130" t="str">
            <v>هاشم زاده</v>
          </cell>
          <cell r="N130" t="str">
            <v>مونتاژ</v>
          </cell>
          <cell r="O130" t="str">
            <v>دمونتاژ</v>
          </cell>
          <cell r="AC130" t="str">
            <v>1405/02/06</v>
          </cell>
          <cell r="AD130" t="str">
            <v>6:00الی18:00</v>
          </cell>
          <cell r="AF130">
            <v>1</v>
          </cell>
        </row>
        <row r="131">
          <cell r="D131" t="str">
            <v>هاشم زاده</v>
          </cell>
          <cell r="N131" t="str">
            <v>مونتاژ</v>
          </cell>
          <cell r="O131" t="str">
            <v>دمونتاژ</v>
          </cell>
          <cell r="AC131" t="str">
            <v>1405/02/06</v>
          </cell>
          <cell r="AD131" t="str">
            <v>6:00الی18:00</v>
          </cell>
          <cell r="AF131">
            <v>2</v>
          </cell>
        </row>
        <row r="132">
          <cell r="D132" t="str">
            <v>موسوی</v>
          </cell>
          <cell r="N132" t="str">
            <v>تراش</v>
          </cell>
          <cell r="O132">
            <v>7302</v>
          </cell>
          <cell r="AC132" t="str">
            <v>1405/02/06</v>
          </cell>
          <cell r="AD132" t="str">
            <v>6:00الی18:00</v>
          </cell>
          <cell r="AF132">
            <v>3</v>
          </cell>
        </row>
        <row r="133">
          <cell r="D133" t="str">
            <v>موسوی</v>
          </cell>
          <cell r="N133" t="str">
            <v>تراش</v>
          </cell>
          <cell r="O133">
            <v>7302</v>
          </cell>
          <cell r="AC133" t="str">
            <v>1405/02/06</v>
          </cell>
          <cell r="AD133" t="str">
            <v>6:00الی18:00</v>
          </cell>
          <cell r="AF133">
            <v>3</v>
          </cell>
        </row>
        <row r="134">
          <cell r="D134" t="str">
            <v>موسوی</v>
          </cell>
          <cell r="N134" t="str">
            <v>تراش</v>
          </cell>
          <cell r="O134">
            <v>7302</v>
          </cell>
          <cell r="AC134" t="str">
            <v>1405/02/06</v>
          </cell>
          <cell r="AD134" t="str">
            <v>6:00الی18:00</v>
          </cell>
          <cell r="AF134">
            <v>2</v>
          </cell>
        </row>
        <row r="135">
          <cell r="D135" t="str">
            <v>موسوی</v>
          </cell>
          <cell r="N135" t="str">
            <v>تراش</v>
          </cell>
          <cell r="O135">
            <v>7302</v>
          </cell>
          <cell r="AC135" t="str">
            <v>1405/02/06</v>
          </cell>
          <cell r="AD135" t="str">
            <v>6:00الی18:00</v>
          </cell>
          <cell r="AF135">
            <v>1</v>
          </cell>
        </row>
        <row r="136">
          <cell r="D136" t="str">
            <v>خیرخواه</v>
          </cell>
          <cell r="N136" t="str">
            <v>مونتاژ</v>
          </cell>
          <cell r="O136" t="str">
            <v>مونتاژ</v>
          </cell>
          <cell r="AC136" t="str">
            <v>1405/02/06</v>
          </cell>
          <cell r="AD136" t="str">
            <v>6:00الی18:00</v>
          </cell>
          <cell r="AF136">
            <v>3</v>
          </cell>
        </row>
        <row r="137">
          <cell r="D137" t="str">
            <v>خیرخواه</v>
          </cell>
          <cell r="N137" t="str">
            <v>مونتاژ</v>
          </cell>
          <cell r="O137" t="str">
            <v>مونتاژ</v>
          </cell>
          <cell r="AC137" t="str">
            <v>1405/02/06</v>
          </cell>
          <cell r="AD137" t="str">
            <v>6:00الی18:00</v>
          </cell>
          <cell r="AF137">
            <v>2.5</v>
          </cell>
        </row>
        <row r="138">
          <cell r="D138" t="str">
            <v>خیرخواه</v>
          </cell>
          <cell r="N138" t="str">
            <v>مونتاژ</v>
          </cell>
          <cell r="O138" t="str">
            <v>مونتاژ</v>
          </cell>
          <cell r="AC138" t="str">
            <v>1405/02/06</v>
          </cell>
          <cell r="AD138" t="str">
            <v>6:00الی18:00</v>
          </cell>
          <cell r="AF138">
            <v>1</v>
          </cell>
        </row>
        <row r="139">
          <cell r="D139" t="str">
            <v>خیرخواه</v>
          </cell>
          <cell r="N139" t="str">
            <v>مونتاژ</v>
          </cell>
          <cell r="O139" t="str">
            <v>دمونتاژ</v>
          </cell>
          <cell r="AC139" t="str">
            <v>1405/02/06</v>
          </cell>
          <cell r="AD139" t="str">
            <v>6:00الی18:00</v>
          </cell>
          <cell r="AF139">
            <v>2</v>
          </cell>
        </row>
        <row r="140">
          <cell r="D140" t="str">
            <v>یاراحمدی</v>
          </cell>
          <cell r="N140" t="str">
            <v>سنگ زنی</v>
          </cell>
          <cell r="O140">
            <v>7502</v>
          </cell>
          <cell r="AC140" t="str">
            <v>1405/02/06</v>
          </cell>
          <cell r="AD140" t="str">
            <v>6:00الی18:00</v>
          </cell>
          <cell r="AF140">
            <v>6</v>
          </cell>
        </row>
        <row r="141">
          <cell r="D141" t="str">
            <v>یاراحمدی</v>
          </cell>
          <cell r="N141" t="str">
            <v>سنگ زنی</v>
          </cell>
          <cell r="O141">
            <v>7502</v>
          </cell>
          <cell r="AC141" t="str">
            <v>1405/02/06</v>
          </cell>
          <cell r="AD141" t="str">
            <v>6:00الی18:00</v>
          </cell>
          <cell r="AF141">
            <v>1</v>
          </cell>
        </row>
        <row r="142">
          <cell r="D142" t="str">
            <v>یاراحمدی</v>
          </cell>
          <cell r="N142" t="str">
            <v>سنگ زنی</v>
          </cell>
          <cell r="O142">
            <v>7502</v>
          </cell>
          <cell r="AC142" t="str">
            <v>1405/02/06</v>
          </cell>
          <cell r="AD142" t="str">
            <v>6:00الی18:00</v>
          </cell>
          <cell r="AF142">
            <v>4</v>
          </cell>
        </row>
        <row r="143">
          <cell r="D143" t="str">
            <v>یاراحمدی</v>
          </cell>
          <cell r="N143" t="str">
            <v>سنگ زنی</v>
          </cell>
          <cell r="O143">
            <v>7502</v>
          </cell>
          <cell r="AC143" t="str">
            <v>1405/02/07</v>
          </cell>
          <cell r="AD143" t="str">
            <v>6:00الی18:00</v>
          </cell>
          <cell r="AF143">
            <v>6</v>
          </cell>
        </row>
        <row r="144">
          <cell r="D144" t="str">
            <v>یاراحمدی</v>
          </cell>
          <cell r="N144" t="str">
            <v>سنگ زنی</v>
          </cell>
          <cell r="O144">
            <v>7502</v>
          </cell>
          <cell r="AC144" t="str">
            <v>1405/02/07</v>
          </cell>
          <cell r="AD144" t="str">
            <v>6:00الی18:00</v>
          </cell>
          <cell r="AF144">
            <v>3</v>
          </cell>
        </row>
        <row r="145">
          <cell r="D145" t="str">
            <v>یاراحمدی</v>
          </cell>
          <cell r="N145" t="str">
            <v>سنگ زنی</v>
          </cell>
          <cell r="O145">
            <v>7502</v>
          </cell>
          <cell r="AC145" t="str">
            <v>1405/02/07</v>
          </cell>
          <cell r="AD145" t="str">
            <v>6:00الی18:00</v>
          </cell>
          <cell r="AF145">
            <v>2</v>
          </cell>
        </row>
        <row r="146">
          <cell r="D146" t="str">
            <v>کاظمی</v>
          </cell>
          <cell r="N146" t="str">
            <v>CNC</v>
          </cell>
          <cell r="O146">
            <v>7202</v>
          </cell>
          <cell r="AC146" t="str">
            <v>1405/02/07</v>
          </cell>
          <cell r="AD146" t="str">
            <v>6:00الی18:00</v>
          </cell>
          <cell r="AF146">
            <v>11</v>
          </cell>
        </row>
        <row r="147">
          <cell r="D147" t="str">
            <v>زیلویی</v>
          </cell>
          <cell r="N147" t="str">
            <v>CNC</v>
          </cell>
          <cell r="O147">
            <v>7203</v>
          </cell>
          <cell r="AC147" t="str">
            <v>1405/02/07</v>
          </cell>
          <cell r="AD147" t="str">
            <v>6:00الی13:00</v>
          </cell>
          <cell r="AF147">
            <v>6.5</v>
          </cell>
        </row>
        <row r="148">
          <cell r="D148" t="str">
            <v>زیلویی</v>
          </cell>
          <cell r="N148" t="str">
            <v>CNC</v>
          </cell>
          <cell r="O148">
            <v>7203</v>
          </cell>
          <cell r="AC148" t="str">
            <v>1405/02/07</v>
          </cell>
          <cell r="AD148" t="str">
            <v>13:00الی18:00</v>
          </cell>
          <cell r="AF148">
            <v>4.5</v>
          </cell>
        </row>
        <row r="149">
          <cell r="D149" t="str">
            <v>صحرایی</v>
          </cell>
          <cell r="N149" t="str">
            <v>سری تراش</v>
          </cell>
          <cell r="O149">
            <v>8002</v>
          </cell>
          <cell r="AC149" t="str">
            <v>1405/02/07</v>
          </cell>
          <cell r="AD149" t="str">
            <v>6:00الی14:00</v>
          </cell>
          <cell r="AF149">
            <v>7.5</v>
          </cell>
        </row>
        <row r="150">
          <cell r="D150" t="str">
            <v>صحرایی</v>
          </cell>
          <cell r="N150" t="str">
            <v>تراش</v>
          </cell>
          <cell r="O150">
            <v>7303</v>
          </cell>
          <cell r="AC150" t="str">
            <v>1405/02/07</v>
          </cell>
          <cell r="AD150" t="str">
            <v>10:00الی13:00</v>
          </cell>
          <cell r="AF150">
            <v>3</v>
          </cell>
        </row>
        <row r="151">
          <cell r="D151" t="str">
            <v>حیدری</v>
          </cell>
          <cell r="N151" t="str">
            <v>سنگ زنی</v>
          </cell>
          <cell r="O151">
            <v>7502</v>
          </cell>
          <cell r="AC151" t="str">
            <v>1405/02/07</v>
          </cell>
          <cell r="AD151" t="str">
            <v>6:00الی12:00</v>
          </cell>
          <cell r="AF151">
            <v>5.5</v>
          </cell>
        </row>
        <row r="152">
          <cell r="D152" t="str">
            <v>حیدری</v>
          </cell>
          <cell r="N152" t="str">
            <v>سنگ زنی</v>
          </cell>
          <cell r="O152">
            <v>7502</v>
          </cell>
          <cell r="AC152" t="str">
            <v>1405/02/07</v>
          </cell>
          <cell r="AD152" t="str">
            <v>12:00الی18:00</v>
          </cell>
          <cell r="AF152">
            <v>5.5</v>
          </cell>
        </row>
        <row r="153">
          <cell r="D153" t="str">
            <v>فراهی</v>
          </cell>
          <cell r="N153" t="str">
            <v>فرز</v>
          </cell>
          <cell r="O153">
            <v>7103</v>
          </cell>
          <cell r="AC153" t="str">
            <v>1405/02/07</v>
          </cell>
          <cell r="AD153" t="str">
            <v>7:00الی8:30</v>
          </cell>
          <cell r="AF153">
            <v>1.5</v>
          </cell>
        </row>
        <row r="154">
          <cell r="D154" t="str">
            <v>فراهی</v>
          </cell>
          <cell r="N154" t="str">
            <v>فرز</v>
          </cell>
          <cell r="O154">
            <v>7103</v>
          </cell>
          <cell r="AC154" t="str">
            <v>1405/02/07</v>
          </cell>
          <cell r="AD154" t="str">
            <v>8:30الی14:00</v>
          </cell>
          <cell r="AF154">
            <v>5</v>
          </cell>
        </row>
        <row r="155">
          <cell r="D155" t="str">
            <v>کریم پرست</v>
          </cell>
          <cell r="N155" t="str">
            <v>تراش</v>
          </cell>
          <cell r="O155">
            <v>7301</v>
          </cell>
          <cell r="AC155" t="str">
            <v>1405/02/07</v>
          </cell>
          <cell r="AD155" t="str">
            <v>6:00الی16:30</v>
          </cell>
          <cell r="AF155">
            <v>4</v>
          </cell>
        </row>
        <row r="156">
          <cell r="D156" t="str">
            <v>کریم پرست</v>
          </cell>
          <cell r="N156" t="str">
            <v>تراش</v>
          </cell>
          <cell r="O156">
            <v>7301</v>
          </cell>
          <cell r="AC156" t="str">
            <v>1405/02/07</v>
          </cell>
          <cell r="AD156" t="str">
            <v>6:00الی16:30</v>
          </cell>
          <cell r="AF156">
            <v>2</v>
          </cell>
        </row>
        <row r="157">
          <cell r="D157" t="str">
            <v>کریم پرست</v>
          </cell>
          <cell r="N157" t="str">
            <v>تراش</v>
          </cell>
          <cell r="O157">
            <v>7301</v>
          </cell>
          <cell r="AC157" t="str">
            <v>1405/02/07</v>
          </cell>
          <cell r="AD157" t="str">
            <v>6:00الی16:30</v>
          </cell>
          <cell r="AF157">
            <v>3.5</v>
          </cell>
        </row>
        <row r="158">
          <cell r="D158" t="str">
            <v>صلواتی</v>
          </cell>
          <cell r="N158" t="str">
            <v>وایر</v>
          </cell>
          <cell r="O158">
            <v>7601</v>
          </cell>
          <cell r="AC158" t="str">
            <v>1405/02/07</v>
          </cell>
          <cell r="AD158" t="str">
            <v>6:00الی18:00</v>
          </cell>
          <cell r="AF158">
            <v>12</v>
          </cell>
        </row>
        <row r="159">
          <cell r="D159" t="str">
            <v>صلواتی</v>
          </cell>
          <cell r="N159" t="str">
            <v>وایر</v>
          </cell>
          <cell r="O159">
            <v>7602</v>
          </cell>
          <cell r="AC159" t="str">
            <v>1405/02/07</v>
          </cell>
          <cell r="AD159" t="str">
            <v>6:00الی18:00</v>
          </cell>
          <cell r="AF159">
            <v>12</v>
          </cell>
        </row>
        <row r="160">
          <cell r="D160" t="str">
            <v>صلواتی</v>
          </cell>
          <cell r="N160" t="str">
            <v>وایر</v>
          </cell>
          <cell r="O160">
            <v>7605</v>
          </cell>
          <cell r="AC160" t="str">
            <v>1405/02/07</v>
          </cell>
          <cell r="AD160" t="str">
            <v>6:00الی18:00</v>
          </cell>
          <cell r="AF160">
            <v>12</v>
          </cell>
        </row>
        <row r="161">
          <cell r="D161" t="str">
            <v>صلواتی</v>
          </cell>
          <cell r="N161" t="str">
            <v>وایر</v>
          </cell>
          <cell r="O161">
            <v>7603</v>
          </cell>
          <cell r="AC161" t="str">
            <v>1405/02/07</v>
          </cell>
          <cell r="AD161" t="str">
            <v>9:00الی18:00</v>
          </cell>
          <cell r="AF161">
            <v>9</v>
          </cell>
        </row>
        <row r="162">
          <cell r="D162" t="str">
            <v>صلواتی</v>
          </cell>
          <cell r="N162" t="str">
            <v>وایر</v>
          </cell>
          <cell r="O162">
            <v>7603</v>
          </cell>
          <cell r="AC162" t="str">
            <v>1405/02/07</v>
          </cell>
          <cell r="AD162" t="str">
            <v>6:00الی9:00</v>
          </cell>
          <cell r="AF162">
            <v>3</v>
          </cell>
        </row>
        <row r="163">
          <cell r="D163" t="str">
            <v>هاشم زاده</v>
          </cell>
          <cell r="N163" t="str">
            <v>دریل رادیال</v>
          </cell>
          <cell r="O163">
            <v>7401</v>
          </cell>
          <cell r="AC163" t="str">
            <v>1405/02/07</v>
          </cell>
          <cell r="AD163" t="str">
            <v>6:00الی18:00</v>
          </cell>
          <cell r="AF163">
            <v>2</v>
          </cell>
        </row>
        <row r="164">
          <cell r="D164" t="str">
            <v>هاشم زاده</v>
          </cell>
          <cell r="N164" t="str">
            <v>مونتاژ</v>
          </cell>
          <cell r="O164" t="str">
            <v>مونتاژ</v>
          </cell>
          <cell r="AC164" t="str">
            <v>1405/02/07</v>
          </cell>
          <cell r="AD164" t="str">
            <v>6:00الی18:00</v>
          </cell>
          <cell r="AF164">
            <v>5</v>
          </cell>
        </row>
        <row r="165">
          <cell r="D165" t="str">
            <v>هاشم زاده</v>
          </cell>
          <cell r="N165" t="str">
            <v>مونتاژ</v>
          </cell>
          <cell r="O165" t="str">
            <v>مونتاژ</v>
          </cell>
          <cell r="AC165" t="str">
            <v>1405/02/07</v>
          </cell>
          <cell r="AD165" t="str">
            <v>6:00الی18:00</v>
          </cell>
          <cell r="AF165">
            <v>4</v>
          </cell>
        </row>
        <row r="166">
          <cell r="D166" t="str">
            <v>موسوی</v>
          </cell>
          <cell r="N166" t="str">
            <v>تراش</v>
          </cell>
          <cell r="O166">
            <v>7302</v>
          </cell>
          <cell r="AC166" t="str">
            <v>1405/02/07</v>
          </cell>
          <cell r="AD166" t="str">
            <v>6:00الی18:00</v>
          </cell>
          <cell r="AF166">
            <v>3</v>
          </cell>
        </row>
        <row r="167">
          <cell r="D167" t="str">
            <v>موسوی</v>
          </cell>
          <cell r="N167" t="str">
            <v>تراش</v>
          </cell>
          <cell r="O167">
            <v>7302</v>
          </cell>
          <cell r="AC167" t="str">
            <v>1405/02/07</v>
          </cell>
          <cell r="AD167" t="str">
            <v>6:00الی18:00</v>
          </cell>
          <cell r="AF167">
            <v>6</v>
          </cell>
        </row>
        <row r="168">
          <cell r="D168" t="str">
            <v>موسوی</v>
          </cell>
          <cell r="N168" t="str">
            <v>تراش</v>
          </cell>
          <cell r="O168">
            <v>7302</v>
          </cell>
          <cell r="AC168" t="str">
            <v>1405/02/07</v>
          </cell>
          <cell r="AD168" t="str">
            <v>6:00الی18:00</v>
          </cell>
          <cell r="AF168">
            <v>2</v>
          </cell>
        </row>
        <row r="169">
          <cell r="D169" t="str">
            <v>خیرخواه</v>
          </cell>
          <cell r="N169" t="str">
            <v>دریل رادیال</v>
          </cell>
          <cell r="O169">
            <v>7401</v>
          </cell>
          <cell r="AC169" t="str">
            <v>1405/02/07</v>
          </cell>
          <cell r="AD169" t="str">
            <v>6:00الی18:00</v>
          </cell>
          <cell r="AF169">
            <v>1.5</v>
          </cell>
        </row>
        <row r="170">
          <cell r="D170" t="str">
            <v>خیرخواه</v>
          </cell>
          <cell r="N170" t="str">
            <v>مونتاژ</v>
          </cell>
          <cell r="O170" t="str">
            <v>مونتاژ</v>
          </cell>
          <cell r="AC170" t="str">
            <v>1405/02/07</v>
          </cell>
          <cell r="AD170" t="str">
            <v>6:00الی18:00</v>
          </cell>
          <cell r="AF170">
            <v>2.5</v>
          </cell>
        </row>
        <row r="171">
          <cell r="D171" t="str">
            <v>خیرخواه</v>
          </cell>
          <cell r="N171" t="str">
            <v>مونتاژ</v>
          </cell>
          <cell r="O171" t="str">
            <v>دمونتاژ</v>
          </cell>
          <cell r="AC171" t="str">
            <v>1405/02/07</v>
          </cell>
          <cell r="AD171" t="str">
            <v>6:00الی18:00</v>
          </cell>
          <cell r="AF171">
            <v>5</v>
          </cell>
        </row>
        <row r="172">
          <cell r="D172" t="str">
            <v>خیرخواه</v>
          </cell>
          <cell r="N172" t="str">
            <v>دریل رادیال</v>
          </cell>
          <cell r="O172">
            <v>7401</v>
          </cell>
          <cell r="AC172" t="str">
            <v>1405/02/07</v>
          </cell>
          <cell r="AD172" t="str">
            <v>6:00الی18:00</v>
          </cell>
          <cell r="AF172">
            <v>1</v>
          </cell>
        </row>
        <row r="173">
          <cell r="D173" t="str">
            <v>خیرخواه</v>
          </cell>
          <cell r="N173" t="str">
            <v>مونتاژ</v>
          </cell>
          <cell r="O173" t="str">
            <v>مونتاژ</v>
          </cell>
          <cell r="AC173" t="str">
            <v>1405/02/07</v>
          </cell>
          <cell r="AD173" t="str">
            <v>6:00الی18:00</v>
          </cell>
          <cell r="AF173">
            <v>1</v>
          </cell>
        </row>
        <row r="174">
          <cell r="D174" t="str">
            <v>قیطاسوند</v>
          </cell>
          <cell r="N174" t="str">
            <v>فرز</v>
          </cell>
          <cell r="O174">
            <v>7102</v>
          </cell>
          <cell r="AC174" t="str">
            <v>1405/02/07</v>
          </cell>
          <cell r="AD174" t="str">
            <v>6:00الی18:00</v>
          </cell>
          <cell r="AF174">
            <v>11</v>
          </cell>
        </row>
        <row r="175">
          <cell r="D175" t="str">
            <v>قیطاسوند</v>
          </cell>
          <cell r="N175" t="str">
            <v>فرز</v>
          </cell>
          <cell r="O175">
            <v>7102</v>
          </cell>
          <cell r="AC175" t="str">
            <v>1405/02/08</v>
          </cell>
          <cell r="AD175" t="str">
            <v>9:30الی18:00</v>
          </cell>
          <cell r="AF175">
            <v>8</v>
          </cell>
        </row>
        <row r="176">
          <cell r="D176" t="str">
            <v>صحرایی</v>
          </cell>
          <cell r="N176" t="str">
            <v>سری تراش</v>
          </cell>
          <cell r="O176">
            <v>8002</v>
          </cell>
          <cell r="AC176" t="str">
            <v>1405/02/08</v>
          </cell>
          <cell r="AD176" t="str">
            <v>6:00الی14:00</v>
          </cell>
          <cell r="AF176">
            <v>7.5</v>
          </cell>
        </row>
        <row r="177">
          <cell r="D177" t="str">
            <v>فراهی</v>
          </cell>
          <cell r="N177" t="str">
            <v>فرز</v>
          </cell>
          <cell r="O177">
            <v>7103</v>
          </cell>
          <cell r="AC177" t="str">
            <v>1405/02/08</v>
          </cell>
          <cell r="AD177" t="str">
            <v>7:00الی14:00</v>
          </cell>
          <cell r="AF177">
            <v>6.5</v>
          </cell>
        </row>
        <row r="178">
          <cell r="D178" t="str">
            <v>حیدری</v>
          </cell>
          <cell r="N178" t="str">
            <v xml:space="preserve">فرز </v>
          </cell>
          <cell r="O178">
            <v>7101</v>
          </cell>
          <cell r="AC178" t="str">
            <v>1405/02/08</v>
          </cell>
          <cell r="AD178" t="str">
            <v>6:00الی18:00</v>
          </cell>
          <cell r="AF178">
            <v>11</v>
          </cell>
        </row>
        <row r="179">
          <cell r="D179" t="str">
            <v>کریم پرست</v>
          </cell>
          <cell r="N179" t="str">
            <v>تراش</v>
          </cell>
          <cell r="O179">
            <v>7301</v>
          </cell>
          <cell r="AC179" t="str">
            <v>1405/02/08</v>
          </cell>
          <cell r="AD179" t="str">
            <v>6:00الی18:00</v>
          </cell>
          <cell r="AF179">
            <v>11</v>
          </cell>
        </row>
        <row r="180">
          <cell r="D180" t="str">
            <v>کاظمی</v>
          </cell>
          <cell r="N180" t="str">
            <v>CNC</v>
          </cell>
          <cell r="O180">
            <v>7202</v>
          </cell>
          <cell r="AC180" t="str">
            <v>1405/02/08</v>
          </cell>
          <cell r="AD180" t="str">
            <v>6:00الی8:00</v>
          </cell>
          <cell r="AF180">
            <v>2</v>
          </cell>
        </row>
        <row r="181">
          <cell r="D181" t="str">
            <v>کاظمی</v>
          </cell>
          <cell r="N181" t="str">
            <v>CNC</v>
          </cell>
          <cell r="O181">
            <v>7202</v>
          </cell>
          <cell r="AC181" t="str">
            <v>1405/02/08</v>
          </cell>
          <cell r="AD181" t="str">
            <v>8:00الی11:30</v>
          </cell>
          <cell r="AF181">
            <v>3</v>
          </cell>
        </row>
        <row r="182">
          <cell r="D182" t="str">
            <v>کاظمی</v>
          </cell>
          <cell r="N182" t="str">
            <v>CNC</v>
          </cell>
          <cell r="O182">
            <v>7202</v>
          </cell>
          <cell r="AC182" t="str">
            <v>1405/02/08</v>
          </cell>
          <cell r="AD182" t="str">
            <v>11:30الی18:00</v>
          </cell>
          <cell r="AF182">
            <v>6</v>
          </cell>
        </row>
        <row r="183">
          <cell r="D183" t="str">
            <v>زیلویی</v>
          </cell>
          <cell r="N183" t="str">
            <v>CNC</v>
          </cell>
          <cell r="O183">
            <v>7203</v>
          </cell>
          <cell r="AC183" t="str">
            <v>1405/02/08</v>
          </cell>
          <cell r="AD183" t="str">
            <v>6:00الی13:00</v>
          </cell>
          <cell r="AF183">
            <v>6.5</v>
          </cell>
        </row>
        <row r="184">
          <cell r="D184" t="str">
            <v>زیلویی</v>
          </cell>
          <cell r="N184" t="str">
            <v>CNC</v>
          </cell>
          <cell r="O184">
            <v>7203</v>
          </cell>
          <cell r="AC184" t="str">
            <v>1405/02/08</v>
          </cell>
          <cell r="AD184" t="str">
            <v>13:00الی18:00</v>
          </cell>
          <cell r="AF184">
            <v>4.5</v>
          </cell>
        </row>
        <row r="185">
          <cell r="D185" t="str">
            <v>صلواتی</v>
          </cell>
          <cell r="N185" t="str">
            <v>وایر</v>
          </cell>
          <cell r="O185">
            <v>7601</v>
          </cell>
          <cell r="AC185" t="str">
            <v>1405/02/08</v>
          </cell>
          <cell r="AD185" t="str">
            <v>6:00الی16:00</v>
          </cell>
          <cell r="AF185">
            <v>10</v>
          </cell>
        </row>
        <row r="186">
          <cell r="D186" t="str">
            <v>صلواتی</v>
          </cell>
          <cell r="N186" t="str">
            <v>وایر</v>
          </cell>
          <cell r="O186">
            <v>7602</v>
          </cell>
          <cell r="AC186" t="str">
            <v>1405/02/08</v>
          </cell>
          <cell r="AD186" t="str">
            <v>6:00الی16:00</v>
          </cell>
          <cell r="AF186">
            <v>10</v>
          </cell>
        </row>
        <row r="187">
          <cell r="D187" t="str">
            <v>صلواتی</v>
          </cell>
          <cell r="N187" t="str">
            <v>وایر</v>
          </cell>
          <cell r="O187">
            <v>7605</v>
          </cell>
          <cell r="AC187" t="str">
            <v>1405/02/08</v>
          </cell>
          <cell r="AD187" t="str">
            <v>6:00الی16:00</v>
          </cell>
          <cell r="AF187">
            <v>10</v>
          </cell>
        </row>
        <row r="188">
          <cell r="D188" t="str">
            <v>صلواتی</v>
          </cell>
          <cell r="N188" t="str">
            <v>وایر</v>
          </cell>
          <cell r="O188">
            <v>7603</v>
          </cell>
          <cell r="AC188" t="str">
            <v>1405/02/08</v>
          </cell>
          <cell r="AD188" t="str">
            <v>6:00الی14:00</v>
          </cell>
          <cell r="AF188">
            <v>8</v>
          </cell>
        </row>
        <row r="189">
          <cell r="D189" t="str">
            <v>صلواتی</v>
          </cell>
          <cell r="N189" t="str">
            <v>وایر</v>
          </cell>
          <cell r="O189">
            <v>7603</v>
          </cell>
          <cell r="AC189" t="str">
            <v>1405/02/08</v>
          </cell>
          <cell r="AD189" t="str">
            <v>14:00الی18:00</v>
          </cell>
          <cell r="AF189">
            <v>4</v>
          </cell>
        </row>
        <row r="190">
          <cell r="D190" t="str">
            <v>یاراحمدی</v>
          </cell>
          <cell r="N190" t="str">
            <v>وایر</v>
          </cell>
          <cell r="O190">
            <v>7102</v>
          </cell>
          <cell r="AC190" t="str">
            <v>1405/02/08</v>
          </cell>
          <cell r="AD190" t="str">
            <v>6:00الی18:00</v>
          </cell>
          <cell r="AF190">
            <v>3</v>
          </cell>
        </row>
        <row r="191">
          <cell r="D191" t="str">
            <v>یاراحمدی</v>
          </cell>
          <cell r="N191" t="str">
            <v>سنگ زنی</v>
          </cell>
          <cell r="O191">
            <v>7502</v>
          </cell>
          <cell r="AC191" t="str">
            <v>1405/02/08</v>
          </cell>
          <cell r="AD191" t="str">
            <v>6:00الی18:00</v>
          </cell>
          <cell r="AF191">
            <v>1</v>
          </cell>
        </row>
        <row r="192">
          <cell r="D192" t="str">
            <v>یاراحمدی</v>
          </cell>
          <cell r="N192" t="str">
            <v>سنگ زنی</v>
          </cell>
          <cell r="O192">
            <v>7502</v>
          </cell>
          <cell r="AC192" t="str">
            <v>1405/02/08</v>
          </cell>
          <cell r="AD192" t="str">
            <v>6:00الی18:00</v>
          </cell>
          <cell r="AF192">
            <v>7</v>
          </cell>
        </row>
        <row r="193">
          <cell r="D193" t="str">
            <v>هاشم زاده</v>
          </cell>
          <cell r="N193" t="str">
            <v>مونتاژ</v>
          </cell>
          <cell r="O193" t="str">
            <v>مونتاژ</v>
          </cell>
          <cell r="AC193" t="str">
            <v>1405/02/08</v>
          </cell>
          <cell r="AD193" t="str">
            <v>6:00الی18:00</v>
          </cell>
          <cell r="AF193">
            <v>1</v>
          </cell>
        </row>
        <row r="194">
          <cell r="D194" t="str">
            <v>هاشم زاده</v>
          </cell>
          <cell r="N194" t="str">
            <v>مونتاژ</v>
          </cell>
          <cell r="O194" t="str">
            <v>دمونتاژ</v>
          </cell>
          <cell r="AC194" t="str">
            <v>1405/02/08</v>
          </cell>
          <cell r="AD194" t="str">
            <v>6:00الی18:00</v>
          </cell>
          <cell r="AF194">
            <v>2</v>
          </cell>
        </row>
        <row r="195">
          <cell r="D195" t="str">
            <v>هاشم زاده</v>
          </cell>
          <cell r="N195" t="str">
            <v>مونتاژ</v>
          </cell>
          <cell r="O195" t="str">
            <v>مونتاژ</v>
          </cell>
          <cell r="AC195" t="str">
            <v>1405/02/08</v>
          </cell>
          <cell r="AD195" t="str">
            <v>6:00الی18:00</v>
          </cell>
          <cell r="AF195">
            <v>4</v>
          </cell>
        </row>
        <row r="196">
          <cell r="D196" t="str">
            <v>هاشم زاده</v>
          </cell>
          <cell r="N196" t="str">
            <v>مونتاژ</v>
          </cell>
          <cell r="O196" t="str">
            <v>دمونتاژ</v>
          </cell>
          <cell r="AC196" t="str">
            <v>1405/02/08</v>
          </cell>
          <cell r="AD196" t="str">
            <v>6:00الی18:00</v>
          </cell>
          <cell r="AF196">
            <v>1</v>
          </cell>
        </row>
        <row r="197">
          <cell r="D197" t="str">
            <v>هاشم زاده</v>
          </cell>
          <cell r="N197" t="str">
            <v>مونتاژ</v>
          </cell>
          <cell r="O197" t="str">
            <v>مونتاژ</v>
          </cell>
          <cell r="AC197" t="str">
            <v>1405/02/08</v>
          </cell>
          <cell r="AD197" t="str">
            <v>6:00الی18:00</v>
          </cell>
          <cell r="AF197">
            <v>1</v>
          </cell>
        </row>
        <row r="198">
          <cell r="D198" t="str">
            <v>خیرخواه</v>
          </cell>
          <cell r="N198" t="str">
            <v>مونتاژ</v>
          </cell>
          <cell r="O198" t="str">
            <v>مونتاژ</v>
          </cell>
          <cell r="AC198" t="str">
            <v>1405/02/08</v>
          </cell>
          <cell r="AD198" t="str">
            <v>6:00الی18:00</v>
          </cell>
          <cell r="AF198">
            <v>2</v>
          </cell>
        </row>
        <row r="199">
          <cell r="D199" t="str">
            <v>خیرخواه</v>
          </cell>
          <cell r="N199" t="str">
            <v>مونتاژ</v>
          </cell>
          <cell r="O199" t="str">
            <v>دمونتاژ</v>
          </cell>
          <cell r="AC199" t="str">
            <v>1405/02/08</v>
          </cell>
          <cell r="AD199" t="str">
            <v>6:00الی18:00</v>
          </cell>
          <cell r="AF199">
            <v>4</v>
          </cell>
        </row>
        <row r="200">
          <cell r="D200" t="str">
            <v>خیرخواه</v>
          </cell>
          <cell r="N200" t="str">
            <v>مونتاژ</v>
          </cell>
          <cell r="O200" t="str">
            <v>مونتاژ</v>
          </cell>
          <cell r="AC200" t="str">
            <v>1405/02/08</v>
          </cell>
          <cell r="AD200" t="str">
            <v>6:00الی18:00</v>
          </cell>
          <cell r="AF200">
            <v>1</v>
          </cell>
        </row>
        <row r="201">
          <cell r="D201" t="str">
            <v>خیرخواه</v>
          </cell>
          <cell r="N201" t="str">
            <v>دریل رادیال</v>
          </cell>
          <cell r="O201">
            <v>7401</v>
          </cell>
          <cell r="AC201" t="str">
            <v>1405/02/08</v>
          </cell>
          <cell r="AD201" t="str">
            <v>6:00الی18:00</v>
          </cell>
          <cell r="AF201">
            <v>1</v>
          </cell>
        </row>
        <row r="202">
          <cell r="D202" t="str">
            <v>زیلویی</v>
          </cell>
          <cell r="N202" t="str">
            <v>CNC</v>
          </cell>
          <cell r="O202">
            <v>7203</v>
          </cell>
          <cell r="AC202" t="str">
            <v>1405/02/09</v>
          </cell>
          <cell r="AD202" t="str">
            <v>6:00الی18:00</v>
          </cell>
          <cell r="AF202">
            <v>11</v>
          </cell>
        </row>
        <row r="203">
          <cell r="D203" t="str">
            <v>کاظمی</v>
          </cell>
          <cell r="N203" t="str">
            <v>CNC</v>
          </cell>
          <cell r="O203">
            <v>7202</v>
          </cell>
          <cell r="AC203" t="str">
            <v>1405/02/09</v>
          </cell>
          <cell r="AD203" t="str">
            <v>6:00الی11:30</v>
          </cell>
          <cell r="AF203">
            <v>5</v>
          </cell>
        </row>
        <row r="204">
          <cell r="D204" t="str">
            <v>حیدری</v>
          </cell>
          <cell r="N204" t="str">
            <v xml:space="preserve">فرز </v>
          </cell>
          <cell r="O204">
            <v>7101</v>
          </cell>
          <cell r="AC204" t="str">
            <v>1405/02/09</v>
          </cell>
          <cell r="AD204" t="str">
            <v>6:00الی16:00</v>
          </cell>
          <cell r="AF204">
            <v>9</v>
          </cell>
        </row>
        <row r="205">
          <cell r="D205" t="str">
            <v>حیدری</v>
          </cell>
          <cell r="N205" t="str">
            <v xml:space="preserve">فرز </v>
          </cell>
          <cell r="O205">
            <v>7101</v>
          </cell>
          <cell r="AC205" t="str">
            <v>1405/02/09</v>
          </cell>
          <cell r="AD205" t="str">
            <v>16:00الی18:00</v>
          </cell>
          <cell r="AF205">
            <v>2</v>
          </cell>
        </row>
        <row r="206">
          <cell r="D206" t="str">
            <v>قیطاسوند</v>
          </cell>
          <cell r="N206" t="str">
            <v>فرز</v>
          </cell>
          <cell r="O206">
            <v>7102</v>
          </cell>
          <cell r="AC206" t="str">
            <v>1405/02/09</v>
          </cell>
          <cell r="AD206" t="str">
            <v>6:00الی18:00</v>
          </cell>
          <cell r="AF206">
            <v>11</v>
          </cell>
        </row>
        <row r="207">
          <cell r="D207" t="str">
            <v>یاراحمدی</v>
          </cell>
          <cell r="N207" t="str">
            <v>سنگ زنی</v>
          </cell>
          <cell r="O207">
            <v>7502</v>
          </cell>
          <cell r="AC207" t="str">
            <v>1405/02/09</v>
          </cell>
          <cell r="AD207" t="str">
            <v>6:00الی18:00</v>
          </cell>
          <cell r="AF207">
            <v>4</v>
          </cell>
        </row>
        <row r="208">
          <cell r="D208" t="str">
            <v>یاراحمدی</v>
          </cell>
          <cell r="N208" t="str">
            <v>سنگ زنی</v>
          </cell>
          <cell r="O208">
            <v>7502</v>
          </cell>
          <cell r="AC208" t="str">
            <v>1405/02/09</v>
          </cell>
          <cell r="AD208" t="str">
            <v>6:00الی18:00</v>
          </cell>
          <cell r="AF208">
            <v>2</v>
          </cell>
        </row>
        <row r="209">
          <cell r="D209" t="str">
            <v>یاراحمدی</v>
          </cell>
          <cell r="N209" t="str">
            <v>سنگ زنی</v>
          </cell>
          <cell r="O209">
            <v>7502</v>
          </cell>
          <cell r="AC209" t="str">
            <v>1405/02/09</v>
          </cell>
          <cell r="AD209" t="str">
            <v>6:00الی18:00</v>
          </cell>
          <cell r="AF209">
            <v>5</v>
          </cell>
        </row>
        <row r="210">
          <cell r="D210" t="str">
            <v>صحرایی</v>
          </cell>
          <cell r="N210" t="str">
            <v>سری تراش</v>
          </cell>
          <cell r="O210">
            <v>8002</v>
          </cell>
          <cell r="AC210" t="str">
            <v>1405/02/09</v>
          </cell>
          <cell r="AD210" t="str">
            <v>6:00الی14:00</v>
          </cell>
          <cell r="AF210">
            <v>7.5</v>
          </cell>
        </row>
        <row r="211">
          <cell r="D211" t="str">
            <v>کریم پرست</v>
          </cell>
          <cell r="N211" t="str">
            <v>تراش</v>
          </cell>
          <cell r="O211">
            <v>7301</v>
          </cell>
          <cell r="AC211" t="str">
            <v>1405/02/09</v>
          </cell>
          <cell r="AD211" t="str">
            <v>6:00الی18:00</v>
          </cell>
          <cell r="AF211">
            <v>5</v>
          </cell>
        </row>
        <row r="212">
          <cell r="D212" t="str">
            <v>کریم پرست</v>
          </cell>
          <cell r="N212" t="str">
            <v>تراش</v>
          </cell>
          <cell r="O212">
            <v>7301</v>
          </cell>
          <cell r="AC212" t="str">
            <v>1405/02/09</v>
          </cell>
          <cell r="AD212" t="str">
            <v>6:00الی18:00</v>
          </cell>
          <cell r="AF212">
            <v>4.166666666666667</v>
          </cell>
        </row>
        <row r="213">
          <cell r="D213" t="str">
            <v>کریم پرست</v>
          </cell>
          <cell r="N213" t="str">
            <v>تراش</v>
          </cell>
          <cell r="O213">
            <v>7301</v>
          </cell>
          <cell r="AC213" t="str">
            <v>1405/02/09</v>
          </cell>
          <cell r="AD213" t="str">
            <v>6:00الی18:00</v>
          </cell>
          <cell r="AF213">
            <v>1.8333333333333333</v>
          </cell>
        </row>
        <row r="214">
          <cell r="D214" t="str">
            <v>خیرخواه</v>
          </cell>
          <cell r="N214" t="str">
            <v>مونتاژ</v>
          </cell>
          <cell r="O214" t="str">
            <v>مونتاژ</v>
          </cell>
          <cell r="AC214" t="str">
            <v>1405/02/09</v>
          </cell>
          <cell r="AD214" t="str">
            <v>6:00الی18:00</v>
          </cell>
          <cell r="AF214">
            <v>6</v>
          </cell>
        </row>
        <row r="215">
          <cell r="D215" t="str">
            <v>خیرخواه</v>
          </cell>
          <cell r="N215" t="str">
            <v>مونتاژ</v>
          </cell>
          <cell r="O215" t="str">
            <v>مونتاژ</v>
          </cell>
          <cell r="AC215" t="str">
            <v>1405/02/09</v>
          </cell>
          <cell r="AD215" t="str">
            <v>6:00الی18:00</v>
          </cell>
          <cell r="AF215">
            <v>3</v>
          </cell>
        </row>
        <row r="216">
          <cell r="D216" t="str">
            <v>خیرخواه</v>
          </cell>
          <cell r="N216" t="str">
            <v>مونتاژ</v>
          </cell>
          <cell r="O216" t="str">
            <v>دمونتاژ</v>
          </cell>
          <cell r="AC216" t="str">
            <v>1405/02/09</v>
          </cell>
          <cell r="AD216" t="str">
            <v>6:00الی18:00</v>
          </cell>
          <cell r="AF216">
            <v>1</v>
          </cell>
        </row>
        <row r="217">
          <cell r="D217" t="str">
            <v>صلواتی</v>
          </cell>
          <cell r="N217" t="str">
            <v>وایر</v>
          </cell>
          <cell r="O217">
            <v>7601</v>
          </cell>
          <cell r="AC217" t="str">
            <v>1405/02/09</v>
          </cell>
          <cell r="AD217" t="str">
            <v>7:00الی18:00</v>
          </cell>
          <cell r="AF217">
            <v>11</v>
          </cell>
        </row>
        <row r="218">
          <cell r="D218" t="str">
            <v>صلواتی</v>
          </cell>
          <cell r="N218" t="str">
            <v>وایر</v>
          </cell>
          <cell r="O218">
            <v>7602</v>
          </cell>
          <cell r="AC218" t="str">
            <v>1405/02/09</v>
          </cell>
          <cell r="AD218" t="str">
            <v>7:00الی18:00</v>
          </cell>
          <cell r="AF218">
            <v>11</v>
          </cell>
        </row>
        <row r="219">
          <cell r="D219" t="str">
            <v>صلواتی</v>
          </cell>
          <cell r="N219" t="str">
            <v>وایر</v>
          </cell>
          <cell r="O219">
            <v>7605</v>
          </cell>
          <cell r="AC219" t="str">
            <v>1405/02/09</v>
          </cell>
          <cell r="AD219" t="str">
            <v>7:00الی18:00</v>
          </cell>
          <cell r="AF219">
            <v>11</v>
          </cell>
        </row>
        <row r="220">
          <cell r="D220" t="str">
            <v>صلواتی</v>
          </cell>
          <cell r="N220" t="str">
            <v>وایر</v>
          </cell>
          <cell r="O220">
            <v>7603</v>
          </cell>
          <cell r="AC220" t="str">
            <v>1405/02/09</v>
          </cell>
          <cell r="AD220" t="str">
            <v>7:00الی18:00</v>
          </cell>
          <cell r="AF220">
            <v>11</v>
          </cell>
        </row>
        <row r="221">
          <cell r="D221" t="str">
            <v>هاشم زاده</v>
          </cell>
          <cell r="N221" t="str">
            <v>مونتاژ</v>
          </cell>
          <cell r="O221" t="str">
            <v>مونتاژ</v>
          </cell>
          <cell r="AC221" t="str">
            <v>1405/02/09</v>
          </cell>
          <cell r="AD221" t="str">
            <v>6:00الی18:00</v>
          </cell>
          <cell r="AF221">
            <v>3</v>
          </cell>
        </row>
        <row r="222">
          <cell r="D222" t="str">
            <v>هاشم زاده</v>
          </cell>
          <cell r="N222" t="str">
            <v>مونتاژ</v>
          </cell>
          <cell r="O222" t="str">
            <v>مونتاژ</v>
          </cell>
          <cell r="AC222" t="str">
            <v>1405/02/09</v>
          </cell>
          <cell r="AD222" t="str">
            <v>6:00الی18:00</v>
          </cell>
          <cell r="AF222">
            <v>3</v>
          </cell>
        </row>
        <row r="223">
          <cell r="D223" t="str">
            <v>هاشم زاده</v>
          </cell>
          <cell r="N223" t="str">
            <v>مونتاژ</v>
          </cell>
          <cell r="O223" t="str">
            <v>دمونتاژ</v>
          </cell>
          <cell r="AC223" t="str">
            <v>1405/02/09</v>
          </cell>
          <cell r="AD223" t="str">
            <v>6:00الی18:00</v>
          </cell>
          <cell r="AF223">
            <v>2</v>
          </cell>
        </row>
        <row r="224">
          <cell r="D224" t="str">
            <v>هاشم زاده</v>
          </cell>
          <cell r="N224" t="str">
            <v>مونتاژ</v>
          </cell>
          <cell r="O224" t="str">
            <v>دمونتاژ</v>
          </cell>
          <cell r="AC224" t="str">
            <v>1405/02/09</v>
          </cell>
          <cell r="AD224" t="str">
            <v>6:00الی18:00</v>
          </cell>
          <cell r="AF224">
            <v>1</v>
          </cell>
        </row>
        <row r="225">
          <cell r="D225" t="str">
            <v>صلواتی</v>
          </cell>
          <cell r="N225" t="str">
            <v>تراش</v>
          </cell>
          <cell r="O225">
            <v>7302</v>
          </cell>
          <cell r="AC225" t="str">
            <v>1405/02/09</v>
          </cell>
          <cell r="AD225" t="str">
            <v>6:00الی18:00</v>
          </cell>
          <cell r="AF225">
            <v>11</v>
          </cell>
        </row>
        <row r="226">
          <cell r="D226" t="str">
            <v>فراهی</v>
          </cell>
          <cell r="N226" t="str">
            <v>فرز</v>
          </cell>
          <cell r="O226">
            <v>7103</v>
          </cell>
          <cell r="AC226" t="str">
            <v>1405/02/09</v>
          </cell>
          <cell r="AD226" t="str">
            <v>7:00الی11:15</v>
          </cell>
          <cell r="AF226">
            <v>3.8333333333333335</v>
          </cell>
        </row>
        <row r="227">
          <cell r="D227" t="str">
            <v>فراهی</v>
          </cell>
          <cell r="N227" t="str">
            <v>فرز</v>
          </cell>
          <cell r="O227">
            <v>7103</v>
          </cell>
          <cell r="AC227" t="str">
            <v>1405/02/09</v>
          </cell>
          <cell r="AD227" t="str">
            <v>11:15الی14:00</v>
          </cell>
          <cell r="AF227">
            <v>2.75</v>
          </cell>
        </row>
        <row r="228">
          <cell r="D228" t="str">
            <v>صلواتی</v>
          </cell>
          <cell r="N228" t="str">
            <v>تراش</v>
          </cell>
          <cell r="O228">
            <v>7302</v>
          </cell>
          <cell r="AC228" t="str">
            <v>1405/02/10</v>
          </cell>
          <cell r="AD228" t="str">
            <v>6:00الی13:00</v>
          </cell>
          <cell r="AF228">
            <v>5</v>
          </cell>
        </row>
        <row r="229">
          <cell r="D229" t="str">
            <v>خیرخواه</v>
          </cell>
          <cell r="N229" t="str">
            <v>نظافت</v>
          </cell>
          <cell r="O229" t="str">
            <v>نظافت</v>
          </cell>
          <cell r="AC229" t="str">
            <v>1405/02/10</v>
          </cell>
          <cell r="AD229" t="str">
            <v>13:00الی14:00</v>
          </cell>
          <cell r="AF229">
            <v>1</v>
          </cell>
        </row>
        <row r="230">
          <cell r="D230" t="str">
            <v>زیلویی</v>
          </cell>
          <cell r="N230" t="str">
            <v>CNC</v>
          </cell>
          <cell r="O230">
            <v>7203</v>
          </cell>
          <cell r="AC230" t="str">
            <v>1405/02/10</v>
          </cell>
          <cell r="AD230" t="str">
            <v>6:00الی14:00</v>
          </cell>
          <cell r="AF230">
            <v>7.5</v>
          </cell>
        </row>
        <row r="231">
          <cell r="D231" t="str">
            <v>صحرایی</v>
          </cell>
          <cell r="N231" t="str">
            <v>سری تراش</v>
          </cell>
          <cell r="O231">
            <v>8002</v>
          </cell>
          <cell r="AC231" t="str">
            <v>1405/02/10</v>
          </cell>
          <cell r="AD231" t="str">
            <v>6:00الی10:30</v>
          </cell>
          <cell r="AF231">
            <v>4</v>
          </cell>
        </row>
        <row r="232">
          <cell r="D232" t="str">
            <v>کاظمی</v>
          </cell>
          <cell r="N232" t="str">
            <v>CNC</v>
          </cell>
          <cell r="O232">
            <v>7202</v>
          </cell>
          <cell r="AC232" t="str">
            <v>1405/02/10</v>
          </cell>
          <cell r="AD232" t="str">
            <v>6:00الی12:30</v>
          </cell>
          <cell r="AF232">
            <v>6</v>
          </cell>
        </row>
        <row r="233">
          <cell r="D233" t="str">
            <v>کاظمی</v>
          </cell>
          <cell r="N233" t="str">
            <v>CNC</v>
          </cell>
          <cell r="O233">
            <v>7202</v>
          </cell>
          <cell r="AC233" t="str">
            <v>1405/02/10</v>
          </cell>
          <cell r="AD233" t="str">
            <v>12:30الی14:00</v>
          </cell>
          <cell r="AF233">
            <v>1.5</v>
          </cell>
        </row>
        <row r="234">
          <cell r="D234" t="str">
            <v>قیطاسوند</v>
          </cell>
          <cell r="N234" t="str">
            <v>فرز</v>
          </cell>
          <cell r="O234">
            <v>7102</v>
          </cell>
          <cell r="AC234" t="str">
            <v>1405/02/10</v>
          </cell>
          <cell r="AD234" t="str">
            <v>6:00الی13:00</v>
          </cell>
          <cell r="AF234">
            <v>6.5</v>
          </cell>
        </row>
        <row r="235">
          <cell r="D235" t="str">
            <v>قیطاسوند</v>
          </cell>
          <cell r="N235" t="str">
            <v>نظافت</v>
          </cell>
          <cell r="O235" t="str">
            <v>نظافت</v>
          </cell>
          <cell r="AC235" t="str">
            <v>1405/02/10</v>
          </cell>
          <cell r="AD235" t="str">
            <v>13:00الی14:00</v>
          </cell>
          <cell r="AF235">
            <v>1</v>
          </cell>
        </row>
        <row r="236">
          <cell r="D236" t="str">
            <v>حیدری</v>
          </cell>
          <cell r="N236" t="str">
            <v xml:space="preserve">فرز </v>
          </cell>
          <cell r="O236">
            <v>7101</v>
          </cell>
          <cell r="AC236" t="str">
            <v>1405/02/10</v>
          </cell>
          <cell r="AD236" t="str">
            <v>6:00الی10:00</v>
          </cell>
          <cell r="AF236">
            <v>3.5</v>
          </cell>
        </row>
        <row r="237">
          <cell r="D237" t="str">
            <v>حیدری</v>
          </cell>
          <cell r="N237" t="str">
            <v>فرز</v>
          </cell>
          <cell r="O237">
            <v>7101</v>
          </cell>
          <cell r="AC237" t="str">
            <v>1405/02/10</v>
          </cell>
          <cell r="AD237" t="str">
            <v>10:00الی10:30</v>
          </cell>
          <cell r="AF237">
            <v>0.5</v>
          </cell>
        </row>
        <row r="238">
          <cell r="D238" t="str">
            <v>حیدری</v>
          </cell>
          <cell r="N238" t="str">
            <v>نظافت</v>
          </cell>
          <cell r="O238" t="str">
            <v>نظافت</v>
          </cell>
          <cell r="AC238" t="str">
            <v>1405/02/10</v>
          </cell>
          <cell r="AD238" t="str">
            <v>10:30الی11:30</v>
          </cell>
          <cell r="AF238">
            <v>1</v>
          </cell>
        </row>
        <row r="239">
          <cell r="D239" t="str">
            <v>کریم پرست</v>
          </cell>
          <cell r="N239" t="str">
            <v>تراش</v>
          </cell>
          <cell r="O239">
            <v>7301</v>
          </cell>
          <cell r="AC239" t="str">
            <v>1405/02/10</v>
          </cell>
          <cell r="AD239" t="str">
            <v>6:00الی14:00</v>
          </cell>
          <cell r="AF239">
            <v>2</v>
          </cell>
        </row>
        <row r="240">
          <cell r="D240" t="str">
            <v>کریم پرست</v>
          </cell>
          <cell r="N240" t="str">
            <v>تراش</v>
          </cell>
          <cell r="O240">
            <v>7301</v>
          </cell>
          <cell r="AC240" t="str">
            <v>1405/02/10</v>
          </cell>
          <cell r="AD240" t="str">
            <v>6:00الی14:00</v>
          </cell>
          <cell r="AF240">
            <v>2</v>
          </cell>
        </row>
        <row r="241">
          <cell r="D241" t="str">
            <v>کریم پرست</v>
          </cell>
          <cell r="N241" t="str">
            <v>تراش</v>
          </cell>
          <cell r="O241">
            <v>7301</v>
          </cell>
          <cell r="AC241" t="str">
            <v>1405/02/10</v>
          </cell>
          <cell r="AD241" t="str">
            <v>6:00الی14:00</v>
          </cell>
          <cell r="AF241">
            <v>2</v>
          </cell>
        </row>
        <row r="242">
          <cell r="D242" t="str">
            <v>کریم پرست</v>
          </cell>
          <cell r="N242" t="str">
            <v>نظافت</v>
          </cell>
          <cell r="O242" t="str">
            <v>نظافت</v>
          </cell>
          <cell r="AC242" t="str">
            <v>1405/02/10</v>
          </cell>
          <cell r="AD242" t="str">
            <v>6:00الی14:00</v>
          </cell>
          <cell r="AF242">
            <v>1.5</v>
          </cell>
        </row>
        <row r="243">
          <cell r="D243" t="str">
            <v>خیرخواه</v>
          </cell>
          <cell r="N243" t="str">
            <v>مونتاژ</v>
          </cell>
          <cell r="O243" t="str">
            <v>مونتاژ</v>
          </cell>
          <cell r="AC243" t="str">
            <v>1405/02/10</v>
          </cell>
          <cell r="AD243" t="str">
            <v>6:00الی14:00</v>
          </cell>
          <cell r="AF243">
            <v>3</v>
          </cell>
        </row>
        <row r="244">
          <cell r="D244" t="str">
            <v>خیرخواه</v>
          </cell>
          <cell r="N244" t="str">
            <v>دریل رادیال</v>
          </cell>
          <cell r="O244">
            <v>7401</v>
          </cell>
          <cell r="AC244" t="str">
            <v>1405/02/10</v>
          </cell>
          <cell r="AD244" t="str">
            <v>6:00الی14:00</v>
          </cell>
          <cell r="AF244">
            <v>1</v>
          </cell>
        </row>
        <row r="245">
          <cell r="D245" t="str">
            <v>خیرخواه</v>
          </cell>
          <cell r="N245" t="str">
            <v>مونتاژ</v>
          </cell>
          <cell r="O245" t="str">
            <v>مونتاژ</v>
          </cell>
          <cell r="AC245" t="str">
            <v>1405/02/10</v>
          </cell>
          <cell r="AD245" t="str">
            <v>6:00الی14:00</v>
          </cell>
          <cell r="AF245">
            <v>1</v>
          </cell>
        </row>
        <row r="246">
          <cell r="D246" t="str">
            <v>خیرخواه</v>
          </cell>
          <cell r="N246" t="str">
            <v>نظافت</v>
          </cell>
          <cell r="O246" t="str">
            <v>نظافت</v>
          </cell>
          <cell r="AC246" t="str">
            <v>1405/02/10</v>
          </cell>
          <cell r="AD246" t="str">
            <v>6:00الی14:00</v>
          </cell>
          <cell r="AF246">
            <v>2</v>
          </cell>
        </row>
        <row r="247">
          <cell r="D247" t="str">
            <v>صلواتی</v>
          </cell>
          <cell r="N247" t="str">
            <v>وایر</v>
          </cell>
          <cell r="O247">
            <v>7601</v>
          </cell>
          <cell r="AC247" t="str">
            <v>1405/02/10</v>
          </cell>
          <cell r="AD247" t="str">
            <v>6:00الی14:00</v>
          </cell>
          <cell r="AF247">
            <v>8</v>
          </cell>
        </row>
        <row r="248">
          <cell r="D248" t="str">
            <v>صلواتی</v>
          </cell>
          <cell r="N248" t="str">
            <v>وایر</v>
          </cell>
          <cell r="O248">
            <v>7602</v>
          </cell>
          <cell r="AC248" t="str">
            <v>1405/02/10</v>
          </cell>
          <cell r="AD248" t="str">
            <v>6:00الی14:00</v>
          </cell>
          <cell r="AF248">
            <v>8</v>
          </cell>
        </row>
        <row r="249">
          <cell r="D249" t="str">
            <v>صلواتی</v>
          </cell>
          <cell r="N249" t="str">
            <v>وایر</v>
          </cell>
          <cell r="O249">
            <v>7605</v>
          </cell>
          <cell r="AC249" t="str">
            <v>1405/02/10</v>
          </cell>
          <cell r="AD249" t="str">
            <v>6:00الی14:00</v>
          </cell>
          <cell r="AF249">
            <v>8</v>
          </cell>
        </row>
        <row r="250">
          <cell r="D250" t="str">
            <v>صلواتی</v>
          </cell>
          <cell r="N250" t="str">
            <v>وایر</v>
          </cell>
          <cell r="O250">
            <v>7603</v>
          </cell>
          <cell r="AC250" t="str">
            <v>1405/02/10</v>
          </cell>
          <cell r="AD250" t="str">
            <v>6:00الی13:00</v>
          </cell>
          <cell r="AF250">
            <v>7</v>
          </cell>
        </row>
        <row r="251">
          <cell r="D251" t="str">
            <v>صلواتی</v>
          </cell>
          <cell r="N251" t="str">
            <v>وایر</v>
          </cell>
          <cell r="O251">
            <v>7603</v>
          </cell>
          <cell r="AC251" t="str">
            <v>1405/02/10</v>
          </cell>
          <cell r="AD251" t="str">
            <v>13:00الی14:00</v>
          </cell>
          <cell r="AF251">
            <v>1</v>
          </cell>
        </row>
        <row r="252">
          <cell r="D252" t="str">
            <v>هاشم زاده</v>
          </cell>
          <cell r="N252" t="str">
            <v>مونتاژ</v>
          </cell>
          <cell r="O252" t="str">
            <v>دمونتاژ</v>
          </cell>
          <cell r="AC252" t="str">
            <v>1405/02/10</v>
          </cell>
          <cell r="AD252" t="str">
            <v>6:00الی14:00</v>
          </cell>
          <cell r="AF252">
            <v>2</v>
          </cell>
        </row>
        <row r="253">
          <cell r="D253" t="str">
            <v>هاشم زاده</v>
          </cell>
          <cell r="N253" t="str">
            <v>اره لنگ</v>
          </cell>
          <cell r="O253">
            <v>8001</v>
          </cell>
          <cell r="AC253" t="str">
            <v>1405/02/10</v>
          </cell>
          <cell r="AD253" t="str">
            <v>6:00الی14:00</v>
          </cell>
          <cell r="AF253">
            <v>2</v>
          </cell>
        </row>
        <row r="254">
          <cell r="D254" t="str">
            <v>هاشم زاده</v>
          </cell>
          <cell r="N254" t="str">
            <v>مونتاژ</v>
          </cell>
          <cell r="O254" t="str">
            <v>مونتاژ</v>
          </cell>
          <cell r="AC254" t="str">
            <v>1405/02/10</v>
          </cell>
          <cell r="AD254" t="str">
            <v>6:00الی14:00</v>
          </cell>
          <cell r="AF254">
            <v>1</v>
          </cell>
        </row>
        <row r="255">
          <cell r="D255" t="str">
            <v>هاشم زاده</v>
          </cell>
          <cell r="N255" t="str">
            <v>نظافت</v>
          </cell>
          <cell r="O255" t="str">
            <v>نظافت</v>
          </cell>
          <cell r="AC255" t="str">
            <v>1405/02/10</v>
          </cell>
          <cell r="AD255" t="str">
            <v>6:00الی14:00</v>
          </cell>
          <cell r="AF255">
            <v>2</v>
          </cell>
        </row>
        <row r="256">
          <cell r="D256" t="str">
            <v>یاراحمدی</v>
          </cell>
          <cell r="N256" t="str">
            <v>سنگ زنی</v>
          </cell>
          <cell r="O256">
            <v>7502</v>
          </cell>
          <cell r="AC256" t="str">
            <v>1405/02/10</v>
          </cell>
          <cell r="AD256" t="str">
            <v>6:00الی14:00</v>
          </cell>
          <cell r="AF256">
            <v>5</v>
          </cell>
        </row>
        <row r="257">
          <cell r="D257" t="str">
            <v>یاراحمدی</v>
          </cell>
          <cell r="N257" t="str">
            <v>سنگ زنی</v>
          </cell>
          <cell r="O257">
            <v>7502</v>
          </cell>
          <cell r="AC257" t="str">
            <v>1405/02/10</v>
          </cell>
          <cell r="AD257" t="str">
            <v>6:00الی14:00</v>
          </cell>
          <cell r="AF257">
            <v>2</v>
          </cell>
        </row>
        <row r="258">
          <cell r="D258" t="str">
            <v>یاراحمدی</v>
          </cell>
          <cell r="N258" t="str">
            <v>نظافت</v>
          </cell>
          <cell r="O258" t="str">
            <v>نظافت</v>
          </cell>
          <cell r="AC258" t="str">
            <v>1405/02/10</v>
          </cell>
          <cell r="AD258" t="str">
            <v>6:00الی14:00</v>
          </cell>
          <cell r="AF258">
            <v>1</v>
          </cell>
        </row>
        <row r="259">
          <cell r="D259" t="str">
            <v>صحرایی</v>
          </cell>
          <cell r="N259" t="str">
            <v>سری تراش</v>
          </cell>
          <cell r="O259">
            <v>8002</v>
          </cell>
          <cell r="AC259" t="str">
            <v>1405/02/12</v>
          </cell>
          <cell r="AD259" t="str">
            <v>6:00الی14:00</v>
          </cell>
          <cell r="AF259">
            <v>7.5</v>
          </cell>
        </row>
        <row r="260">
          <cell r="D260" t="str">
            <v>فراهی</v>
          </cell>
          <cell r="N260" t="str">
            <v>فرز</v>
          </cell>
          <cell r="O260">
            <v>7103</v>
          </cell>
          <cell r="AC260" t="str">
            <v>1405/02/12</v>
          </cell>
          <cell r="AD260" t="str">
            <v>7:00الی14:00</v>
          </cell>
          <cell r="AF260">
            <v>6.5</v>
          </cell>
        </row>
        <row r="261">
          <cell r="D261" t="str">
            <v>قیطاسوند</v>
          </cell>
          <cell r="N261" t="str">
            <v>فرز</v>
          </cell>
          <cell r="O261">
            <v>7102</v>
          </cell>
          <cell r="AC261" t="str">
            <v>1405/02/12</v>
          </cell>
          <cell r="AD261" t="str">
            <v>6:00الی18:00</v>
          </cell>
          <cell r="AF261">
            <v>11</v>
          </cell>
        </row>
        <row r="262">
          <cell r="D262" t="str">
            <v>کاظمی</v>
          </cell>
          <cell r="N262" t="str">
            <v>CNC</v>
          </cell>
          <cell r="O262">
            <v>7202</v>
          </cell>
          <cell r="AC262" t="str">
            <v>1405/02/12</v>
          </cell>
          <cell r="AD262" t="str">
            <v>6:00الی18:00</v>
          </cell>
          <cell r="AF262">
            <v>11</v>
          </cell>
        </row>
        <row r="263">
          <cell r="D263" t="str">
            <v>یاراحمدی</v>
          </cell>
          <cell r="N263" t="str">
            <v>سنگ زنی</v>
          </cell>
          <cell r="O263">
            <v>7502</v>
          </cell>
          <cell r="AC263" t="str">
            <v>1405/02/12</v>
          </cell>
          <cell r="AD263" t="str">
            <v>6:00الی18:00</v>
          </cell>
          <cell r="AF263">
            <v>6</v>
          </cell>
        </row>
        <row r="264">
          <cell r="D264" t="str">
            <v>یاراحمدی</v>
          </cell>
          <cell r="N264" t="str">
            <v>سنگ زنی</v>
          </cell>
          <cell r="O264">
            <v>7502</v>
          </cell>
          <cell r="AC264" t="str">
            <v>1405/02/12</v>
          </cell>
          <cell r="AD264" t="str">
            <v>6:00الی18:00</v>
          </cell>
          <cell r="AF264">
            <v>4</v>
          </cell>
        </row>
        <row r="265">
          <cell r="D265" t="str">
            <v>یاراحمدی</v>
          </cell>
          <cell r="N265" t="str">
            <v>سنگ زنی</v>
          </cell>
          <cell r="O265">
            <v>7502</v>
          </cell>
          <cell r="AC265" t="str">
            <v>1405/02/12</v>
          </cell>
          <cell r="AD265" t="str">
            <v>6:00الی18:00</v>
          </cell>
          <cell r="AF265">
            <v>1</v>
          </cell>
        </row>
        <row r="266">
          <cell r="D266" t="str">
            <v>حیدری</v>
          </cell>
          <cell r="N266" t="str">
            <v xml:space="preserve">فرز </v>
          </cell>
          <cell r="O266">
            <v>7101</v>
          </cell>
          <cell r="AC266" t="str">
            <v>1405/02/12</v>
          </cell>
          <cell r="AD266" t="str">
            <v>6:00الی11:00</v>
          </cell>
          <cell r="AF266">
            <v>4.5</v>
          </cell>
        </row>
        <row r="267">
          <cell r="D267" t="str">
            <v>حیدری</v>
          </cell>
          <cell r="N267" t="str">
            <v>فرز</v>
          </cell>
          <cell r="O267">
            <v>7101</v>
          </cell>
          <cell r="AC267" t="str">
            <v>1405/02/12</v>
          </cell>
          <cell r="AD267" t="str">
            <v>11:00الی12:00</v>
          </cell>
          <cell r="AF267">
            <v>1</v>
          </cell>
        </row>
        <row r="268">
          <cell r="D268" t="str">
            <v>حیدری</v>
          </cell>
          <cell r="N268" t="str">
            <v>فرز</v>
          </cell>
          <cell r="O268">
            <v>7101</v>
          </cell>
          <cell r="AC268" t="str">
            <v>1405/02/12</v>
          </cell>
          <cell r="AD268" t="str">
            <v>12:00الی18:00</v>
          </cell>
          <cell r="AF268">
            <v>5.5</v>
          </cell>
        </row>
        <row r="269">
          <cell r="D269" t="str">
            <v>کریم پرست</v>
          </cell>
          <cell r="N269" t="str">
            <v>تراش</v>
          </cell>
          <cell r="O269">
            <v>7301</v>
          </cell>
          <cell r="AC269" t="str">
            <v>1405/02/12</v>
          </cell>
          <cell r="AD269" t="str">
            <v>6:00الی18:00</v>
          </cell>
          <cell r="AF269">
            <v>3.8333333333333335</v>
          </cell>
        </row>
        <row r="270">
          <cell r="D270" t="str">
            <v>کریم پرست</v>
          </cell>
          <cell r="N270" t="str">
            <v>تراش</v>
          </cell>
          <cell r="O270">
            <v>7301</v>
          </cell>
          <cell r="AC270" t="str">
            <v>1405/02/12</v>
          </cell>
          <cell r="AD270" t="str">
            <v>6:00الی18:00</v>
          </cell>
          <cell r="AF270">
            <v>3.3333333333333335</v>
          </cell>
        </row>
        <row r="271">
          <cell r="D271" t="str">
            <v>کریم پرست</v>
          </cell>
          <cell r="N271" t="str">
            <v>تراش</v>
          </cell>
          <cell r="O271">
            <v>7301</v>
          </cell>
          <cell r="AC271" t="str">
            <v>1405/02/12</v>
          </cell>
          <cell r="AD271" t="str">
            <v>6:00الی18:00</v>
          </cell>
          <cell r="AF271">
            <v>3.8333333333333335</v>
          </cell>
        </row>
        <row r="272">
          <cell r="D272" t="str">
            <v>هاشم زاده</v>
          </cell>
          <cell r="N272" t="str">
            <v>مونتاژ</v>
          </cell>
          <cell r="O272" t="str">
            <v>دمونتاژ</v>
          </cell>
          <cell r="AC272" t="str">
            <v>1405/02/12</v>
          </cell>
          <cell r="AD272" t="str">
            <v>6:00الی18:00</v>
          </cell>
          <cell r="AF272">
            <v>2</v>
          </cell>
        </row>
        <row r="273">
          <cell r="D273" t="str">
            <v>هاشم زاده</v>
          </cell>
          <cell r="N273" t="str">
            <v>مونتاژ</v>
          </cell>
          <cell r="O273" t="str">
            <v>دمونتاژ</v>
          </cell>
          <cell r="AC273" t="str">
            <v>1405/02/12</v>
          </cell>
          <cell r="AD273" t="str">
            <v>6:00الی18:00</v>
          </cell>
          <cell r="AF273">
            <v>4</v>
          </cell>
        </row>
        <row r="274">
          <cell r="D274" t="str">
            <v>هاشم زاده</v>
          </cell>
          <cell r="N274" t="str">
            <v>مونتاژ</v>
          </cell>
          <cell r="O274" t="str">
            <v>دمونتاژ</v>
          </cell>
          <cell r="AC274" t="str">
            <v>1405/02/12</v>
          </cell>
          <cell r="AD274" t="str">
            <v>6:00الی18:00</v>
          </cell>
          <cell r="AF274">
            <v>2</v>
          </cell>
        </row>
        <row r="275">
          <cell r="D275" t="str">
            <v>هاشم زاده</v>
          </cell>
          <cell r="N275" t="str">
            <v>مونتاژ</v>
          </cell>
          <cell r="O275" t="str">
            <v>مونتاژ</v>
          </cell>
          <cell r="AC275" t="str">
            <v>1405/02/12</v>
          </cell>
          <cell r="AD275" t="str">
            <v>6:00الی18:00</v>
          </cell>
          <cell r="AF275">
            <v>2</v>
          </cell>
        </row>
        <row r="276">
          <cell r="D276" t="str">
            <v>خیرخواه</v>
          </cell>
          <cell r="N276" t="str">
            <v>مونتاژ</v>
          </cell>
          <cell r="O276" t="str">
            <v>مونتاژ</v>
          </cell>
          <cell r="AC276" t="str">
            <v>1405/02/12</v>
          </cell>
          <cell r="AD276" t="str">
            <v>6:00الی18:00</v>
          </cell>
          <cell r="AF276">
            <v>4</v>
          </cell>
        </row>
        <row r="277">
          <cell r="D277" t="str">
            <v>خیرخواه</v>
          </cell>
          <cell r="N277" t="str">
            <v>مونتاژ</v>
          </cell>
          <cell r="O277" t="str">
            <v>مونتاژ</v>
          </cell>
          <cell r="AC277" t="str">
            <v>1405/02/12</v>
          </cell>
          <cell r="AD277" t="str">
            <v>6:00الی18:00</v>
          </cell>
          <cell r="AF277">
            <v>2</v>
          </cell>
        </row>
        <row r="278">
          <cell r="D278" t="str">
            <v>خیرخواه</v>
          </cell>
          <cell r="N278" t="str">
            <v>مونتاژ</v>
          </cell>
          <cell r="O278" t="str">
            <v>دمونتاژ</v>
          </cell>
          <cell r="AC278" t="str">
            <v>1405/02/12</v>
          </cell>
          <cell r="AD278" t="str">
            <v>6:00الی18:00</v>
          </cell>
          <cell r="AF278">
            <v>1</v>
          </cell>
        </row>
        <row r="279">
          <cell r="D279" t="str">
            <v>خیرخواه</v>
          </cell>
          <cell r="N279" t="str">
            <v>مونتاژ</v>
          </cell>
          <cell r="O279" t="str">
            <v>مونتاژ</v>
          </cell>
          <cell r="AC279" t="str">
            <v>1405/02/12</v>
          </cell>
          <cell r="AD279" t="str">
            <v>6:00الی18:00</v>
          </cell>
          <cell r="AF279">
            <v>3</v>
          </cell>
        </row>
        <row r="280">
          <cell r="D280" t="str">
            <v>هاشم زاده</v>
          </cell>
          <cell r="N280" t="str">
            <v>مونتاژ</v>
          </cell>
          <cell r="O280" t="str">
            <v>دمونتاژ</v>
          </cell>
          <cell r="AC280" t="str">
            <v>1405/02/12</v>
          </cell>
          <cell r="AD280" t="str">
            <v>6:00الی18:00</v>
          </cell>
          <cell r="AF280">
            <v>1</v>
          </cell>
        </row>
        <row r="281">
          <cell r="D281" t="str">
            <v>زیلویی</v>
          </cell>
          <cell r="N281" t="str">
            <v>CNC</v>
          </cell>
          <cell r="O281">
            <v>7203</v>
          </cell>
          <cell r="AC281" t="str">
            <v>1405/02/12</v>
          </cell>
          <cell r="AD281" t="str">
            <v>6:00الی18:00</v>
          </cell>
          <cell r="AF281">
            <v>11</v>
          </cell>
        </row>
        <row r="282">
          <cell r="D282" t="str">
            <v>کاظمی</v>
          </cell>
          <cell r="N282" t="str">
            <v>CNC</v>
          </cell>
          <cell r="O282">
            <v>7202</v>
          </cell>
          <cell r="AC282" t="str">
            <v>1405/02/13</v>
          </cell>
          <cell r="AD282" t="str">
            <v>6:00الی15:00</v>
          </cell>
          <cell r="AF282">
            <v>8</v>
          </cell>
        </row>
        <row r="283">
          <cell r="D283" t="str">
            <v>کاظمی</v>
          </cell>
          <cell r="N283" t="str">
            <v>CNC</v>
          </cell>
          <cell r="O283">
            <v>7202</v>
          </cell>
          <cell r="AC283" t="str">
            <v>1405/02/13</v>
          </cell>
          <cell r="AD283" t="str">
            <v>15:00الی18:00</v>
          </cell>
          <cell r="AF283">
            <v>3</v>
          </cell>
        </row>
        <row r="284">
          <cell r="D284" t="str">
            <v>زیلویی</v>
          </cell>
          <cell r="N284" t="str">
            <v>CNC</v>
          </cell>
          <cell r="O284">
            <v>7203</v>
          </cell>
          <cell r="AC284" t="str">
            <v>1405/02/13</v>
          </cell>
          <cell r="AD284" t="str">
            <v>6:00الی18:00</v>
          </cell>
          <cell r="AF284">
            <v>11</v>
          </cell>
        </row>
        <row r="285">
          <cell r="D285" t="str">
            <v>فراهی</v>
          </cell>
          <cell r="N285" t="str">
            <v>فرز</v>
          </cell>
          <cell r="O285">
            <v>7103</v>
          </cell>
          <cell r="AC285" t="str">
            <v>1405/02/13</v>
          </cell>
          <cell r="AD285" t="str">
            <v>7:00الی13:50</v>
          </cell>
          <cell r="AF285">
            <v>6.333333333333333</v>
          </cell>
        </row>
        <row r="286">
          <cell r="D286" t="str">
            <v>فراهی</v>
          </cell>
          <cell r="N286" t="str">
            <v>فرز</v>
          </cell>
          <cell r="O286">
            <v>7103</v>
          </cell>
          <cell r="AC286" t="str">
            <v>1405/02/14</v>
          </cell>
          <cell r="AD286" t="str">
            <v>7:00الی13:50</v>
          </cell>
          <cell r="AF286">
            <v>6.333333333333333</v>
          </cell>
        </row>
        <row r="287">
          <cell r="D287" t="str">
            <v>صلواتی</v>
          </cell>
          <cell r="N287" t="str">
            <v>وایر</v>
          </cell>
          <cell r="O287">
            <v>7601</v>
          </cell>
          <cell r="AC287" t="str">
            <v>1405/02/12</v>
          </cell>
          <cell r="AD287" t="str">
            <v>6:00الی18:00</v>
          </cell>
          <cell r="AF287">
            <v>12</v>
          </cell>
        </row>
        <row r="288">
          <cell r="D288" t="str">
            <v>صلواتی</v>
          </cell>
          <cell r="N288" t="str">
            <v>وایر</v>
          </cell>
          <cell r="O288">
            <v>7602</v>
          </cell>
          <cell r="AC288" t="str">
            <v>1405/02/12</v>
          </cell>
          <cell r="AD288" t="str">
            <v>6:00الی18:00</v>
          </cell>
          <cell r="AF288">
            <v>12</v>
          </cell>
        </row>
        <row r="289">
          <cell r="D289" t="str">
            <v>صلواتی</v>
          </cell>
          <cell r="N289" t="str">
            <v>وایر</v>
          </cell>
          <cell r="O289">
            <v>7605</v>
          </cell>
          <cell r="AC289" t="str">
            <v>1405/02/12</v>
          </cell>
          <cell r="AD289" t="str">
            <v>6:00الی18:00</v>
          </cell>
          <cell r="AF289">
            <v>12</v>
          </cell>
        </row>
        <row r="290">
          <cell r="D290" t="str">
            <v>صلواتی</v>
          </cell>
          <cell r="N290" t="str">
            <v>وایر</v>
          </cell>
          <cell r="O290">
            <v>7603</v>
          </cell>
          <cell r="AC290" t="str">
            <v>1405/02/12</v>
          </cell>
          <cell r="AD290" t="str">
            <v>6:00الی9:00</v>
          </cell>
          <cell r="AF290">
            <v>3</v>
          </cell>
        </row>
        <row r="291">
          <cell r="D291" t="str">
            <v>صلواتی</v>
          </cell>
          <cell r="N291" t="str">
            <v>وایر</v>
          </cell>
          <cell r="O291">
            <v>7603</v>
          </cell>
          <cell r="AC291" t="str">
            <v>1405/02/12</v>
          </cell>
          <cell r="AD291" t="str">
            <v>9:00الی14:00</v>
          </cell>
          <cell r="AF291">
            <v>5</v>
          </cell>
        </row>
        <row r="292">
          <cell r="D292" t="str">
            <v>صلواتی</v>
          </cell>
          <cell r="N292" t="str">
            <v>وایر</v>
          </cell>
          <cell r="O292">
            <v>7603</v>
          </cell>
          <cell r="AC292" t="str">
            <v>1405/02/12</v>
          </cell>
          <cell r="AD292" t="str">
            <v>14:00الی18:00</v>
          </cell>
          <cell r="AF292">
            <v>4</v>
          </cell>
        </row>
        <row r="293">
          <cell r="D293" t="str">
            <v>قیطاسوند</v>
          </cell>
          <cell r="N293" t="str">
            <v>فرز</v>
          </cell>
          <cell r="O293">
            <v>7102</v>
          </cell>
          <cell r="AC293" t="str">
            <v>1405/02/13</v>
          </cell>
          <cell r="AD293" t="str">
            <v>6:00الی14:00</v>
          </cell>
          <cell r="AF293">
            <v>11</v>
          </cell>
        </row>
        <row r="294">
          <cell r="D294" t="str">
            <v>قیطاسوند</v>
          </cell>
          <cell r="N294" t="str">
            <v>فرز</v>
          </cell>
          <cell r="O294">
            <v>7102</v>
          </cell>
          <cell r="AC294" t="str">
            <v>1405/02/14</v>
          </cell>
          <cell r="AD294" t="str">
            <v>6:00الی18:00</v>
          </cell>
          <cell r="AF294">
            <v>11</v>
          </cell>
        </row>
        <row r="295">
          <cell r="D295" t="str">
            <v>صلواتی</v>
          </cell>
          <cell r="N295" t="str">
            <v>وایر</v>
          </cell>
          <cell r="O295">
            <v>7601</v>
          </cell>
          <cell r="AC295" t="str">
            <v>1405/02/14</v>
          </cell>
          <cell r="AD295" t="str">
            <v>6:00الی18:00</v>
          </cell>
          <cell r="AF295">
            <v>12</v>
          </cell>
        </row>
        <row r="296">
          <cell r="D296" t="str">
            <v>صلواتی</v>
          </cell>
          <cell r="N296" t="str">
            <v>وایر</v>
          </cell>
          <cell r="O296">
            <v>7602</v>
          </cell>
          <cell r="AC296" t="str">
            <v>1405/02/14</v>
          </cell>
          <cell r="AD296" t="str">
            <v>6:00الی18:00</v>
          </cell>
          <cell r="AF296">
            <v>12</v>
          </cell>
        </row>
        <row r="297">
          <cell r="D297" t="str">
            <v>صلواتی</v>
          </cell>
          <cell r="N297" t="str">
            <v>وایر</v>
          </cell>
          <cell r="O297">
            <v>7603</v>
          </cell>
          <cell r="AC297" t="str">
            <v>1405/02/14</v>
          </cell>
          <cell r="AD297" t="str">
            <v>6:00الی18:00</v>
          </cell>
          <cell r="AF297">
            <v>12</v>
          </cell>
        </row>
        <row r="298">
          <cell r="D298" t="str">
            <v>صلواتی</v>
          </cell>
          <cell r="N298" t="str">
            <v>وایر</v>
          </cell>
          <cell r="O298">
            <v>7605</v>
          </cell>
          <cell r="AC298" t="str">
            <v>1405/02/14</v>
          </cell>
          <cell r="AD298" t="str">
            <v>6:00الی18:00</v>
          </cell>
          <cell r="AF298">
            <v>12</v>
          </cell>
        </row>
        <row r="299">
          <cell r="D299" t="str">
            <v>صلواتی</v>
          </cell>
          <cell r="N299" t="str">
            <v>وایر</v>
          </cell>
          <cell r="O299">
            <v>7601</v>
          </cell>
          <cell r="AC299" t="str">
            <v>1405/02/16</v>
          </cell>
          <cell r="AD299" t="str">
            <v>6:00الی18:00</v>
          </cell>
          <cell r="AF299">
            <v>12</v>
          </cell>
        </row>
        <row r="300">
          <cell r="D300" t="str">
            <v>صلواتی</v>
          </cell>
          <cell r="N300" t="str">
            <v>وایر</v>
          </cell>
          <cell r="O300">
            <v>7602</v>
          </cell>
          <cell r="AC300" t="str">
            <v>1405/02/16</v>
          </cell>
          <cell r="AD300" t="str">
            <v>6:00الی18:00</v>
          </cell>
          <cell r="AF300">
            <v>12</v>
          </cell>
        </row>
        <row r="301">
          <cell r="D301" t="str">
            <v>صلواتی</v>
          </cell>
          <cell r="N301" t="str">
            <v>وایر</v>
          </cell>
          <cell r="O301">
            <v>7603</v>
          </cell>
          <cell r="AC301" t="str">
            <v>1405/02/16</v>
          </cell>
          <cell r="AD301" t="str">
            <v>6:00الی18:00</v>
          </cell>
          <cell r="AF301">
            <v>12</v>
          </cell>
        </row>
        <row r="302">
          <cell r="D302" t="str">
            <v>صلواتی</v>
          </cell>
          <cell r="N302" t="str">
            <v>وایر</v>
          </cell>
          <cell r="O302">
            <v>7605</v>
          </cell>
          <cell r="AC302" t="str">
            <v>1405/02/16</v>
          </cell>
          <cell r="AD302" t="str">
            <v>6:00الی18:00</v>
          </cell>
          <cell r="AF302">
            <v>12</v>
          </cell>
        </row>
        <row r="303">
          <cell r="D303" t="str">
            <v>کریم پرست</v>
          </cell>
          <cell r="N303" t="str">
            <v>تراش</v>
          </cell>
          <cell r="O303">
            <v>7301</v>
          </cell>
          <cell r="AC303" t="str">
            <v>1405/02/13</v>
          </cell>
          <cell r="AD303" t="str">
            <v>6:00الی18:00</v>
          </cell>
          <cell r="AF303">
            <v>2.3333333333333335</v>
          </cell>
        </row>
        <row r="304">
          <cell r="D304" t="str">
            <v>کریم پرست</v>
          </cell>
          <cell r="N304" t="str">
            <v>تراش</v>
          </cell>
          <cell r="O304">
            <v>7301</v>
          </cell>
          <cell r="AC304" t="str">
            <v>1405/02/13</v>
          </cell>
          <cell r="AD304" t="str">
            <v>6:00الی18:00</v>
          </cell>
          <cell r="AF304">
            <v>3.3333333333333335</v>
          </cell>
        </row>
        <row r="305">
          <cell r="D305" t="str">
            <v>کریم پرست</v>
          </cell>
          <cell r="N305" t="str">
            <v>تراش</v>
          </cell>
          <cell r="O305">
            <v>7301</v>
          </cell>
          <cell r="AC305" t="str">
            <v>1405/02/13</v>
          </cell>
          <cell r="AD305" t="str">
            <v>6:00الی18:00</v>
          </cell>
          <cell r="AF305">
            <v>2</v>
          </cell>
        </row>
        <row r="306">
          <cell r="D306" t="str">
            <v>کریم پرست</v>
          </cell>
          <cell r="N306" t="str">
            <v>تراش</v>
          </cell>
          <cell r="O306">
            <v>7301</v>
          </cell>
          <cell r="AC306" t="str">
            <v>1405/02/13</v>
          </cell>
          <cell r="AD306" t="str">
            <v>6:00الی18:00</v>
          </cell>
          <cell r="AF306">
            <v>3.3333333333333335</v>
          </cell>
        </row>
        <row r="307">
          <cell r="D307" t="str">
            <v>کریم پرست</v>
          </cell>
          <cell r="N307" t="str">
            <v>تراش</v>
          </cell>
          <cell r="O307">
            <v>7301</v>
          </cell>
          <cell r="AC307" t="str">
            <v>1405/02/14</v>
          </cell>
          <cell r="AD307" t="str">
            <v>6:00الی18:00</v>
          </cell>
          <cell r="AF307">
            <v>2</v>
          </cell>
        </row>
        <row r="308">
          <cell r="D308" t="str">
            <v>کریم پرست</v>
          </cell>
          <cell r="N308" t="str">
            <v>تراش</v>
          </cell>
          <cell r="O308">
            <v>7301</v>
          </cell>
          <cell r="AC308" t="str">
            <v>1405/02/14</v>
          </cell>
          <cell r="AD308" t="str">
            <v>6:00الی18:00</v>
          </cell>
          <cell r="AF308">
            <v>2</v>
          </cell>
        </row>
        <row r="309">
          <cell r="D309" t="str">
            <v>کریم پرست</v>
          </cell>
          <cell r="N309" t="str">
            <v>تراش</v>
          </cell>
          <cell r="O309">
            <v>7301</v>
          </cell>
          <cell r="AC309" t="str">
            <v>1405/02/14</v>
          </cell>
          <cell r="AD309" t="str">
            <v>6:00الی18:00</v>
          </cell>
          <cell r="AF309">
            <v>2.5</v>
          </cell>
        </row>
        <row r="310">
          <cell r="D310" t="str">
            <v>کریم پرست</v>
          </cell>
          <cell r="N310" t="str">
            <v>تراش</v>
          </cell>
          <cell r="O310">
            <v>7301</v>
          </cell>
          <cell r="AC310" t="str">
            <v>1405/02/14</v>
          </cell>
          <cell r="AD310" t="str">
            <v>6:00الی18:00</v>
          </cell>
          <cell r="AF310">
            <v>3.1666666666666665</v>
          </cell>
        </row>
        <row r="311">
          <cell r="D311" t="str">
            <v>کریم پرست</v>
          </cell>
          <cell r="N311" t="str">
            <v>تراش</v>
          </cell>
          <cell r="O311">
            <v>7301</v>
          </cell>
          <cell r="AC311" t="str">
            <v>1405/02/14</v>
          </cell>
          <cell r="AD311" t="str">
            <v>6:00الی18:00</v>
          </cell>
          <cell r="AF311">
            <v>1.3333333333333333</v>
          </cell>
        </row>
        <row r="312">
          <cell r="D312" t="str">
            <v>یاراحمدی</v>
          </cell>
          <cell r="N312" t="str">
            <v>سنگ زنی</v>
          </cell>
          <cell r="O312">
            <v>7502</v>
          </cell>
          <cell r="AC312" t="str">
            <v>1405/02/13</v>
          </cell>
          <cell r="AD312" t="str">
            <v>6:00الی18:00</v>
          </cell>
          <cell r="AF312">
            <v>2</v>
          </cell>
        </row>
        <row r="313">
          <cell r="D313" t="str">
            <v>یاراحمدی</v>
          </cell>
          <cell r="N313" t="str">
            <v>سنگ زنی</v>
          </cell>
          <cell r="O313">
            <v>7502</v>
          </cell>
          <cell r="AC313" t="str">
            <v>1405/02/13</v>
          </cell>
          <cell r="AD313" t="str">
            <v>6:00الی18:00</v>
          </cell>
          <cell r="AF313">
            <v>3</v>
          </cell>
        </row>
        <row r="314">
          <cell r="D314" t="str">
            <v>یاراحمدی</v>
          </cell>
          <cell r="N314" t="str">
            <v>سنگ زنی</v>
          </cell>
          <cell r="O314">
            <v>7502</v>
          </cell>
          <cell r="AC314" t="str">
            <v>1405/02/13</v>
          </cell>
          <cell r="AD314" t="str">
            <v>6:00الی18:00</v>
          </cell>
          <cell r="AF314">
            <v>1</v>
          </cell>
        </row>
        <row r="315">
          <cell r="D315" t="str">
            <v>یاراحمدی</v>
          </cell>
          <cell r="N315" t="str">
            <v>سنگ زنی</v>
          </cell>
          <cell r="O315">
            <v>7502</v>
          </cell>
          <cell r="AC315" t="str">
            <v>1405/02/13</v>
          </cell>
          <cell r="AD315" t="str">
            <v>6:00الی18:00</v>
          </cell>
          <cell r="AF315">
            <v>5</v>
          </cell>
        </row>
        <row r="316">
          <cell r="D316" t="str">
            <v>هاشم زاده</v>
          </cell>
          <cell r="N316" t="str">
            <v>مونتاژ</v>
          </cell>
          <cell r="O316" t="str">
            <v>دمونتاژ</v>
          </cell>
          <cell r="AC316" t="str">
            <v>1405/02/13</v>
          </cell>
          <cell r="AD316" t="str">
            <v>6:00الی18:00</v>
          </cell>
          <cell r="AF316">
            <v>4</v>
          </cell>
        </row>
        <row r="317">
          <cell r="D317" t="str">
            <v>هاشم زاده</v>
          </cell>
          <cell r="N317" t="str">
            <v>مونتاژ</v>
          </cell>
          <cell r="O317" t="str">
            <v>مونتاژ</v>
          </cell>
          <cell r="AC317" t="str">
            <v>1405/02/13</v>
          </cell>
          <cell r="AD317" t="str">
            <v>6:00الی18:00</v>
          </cell>
          <cell r="AF317">
            <v>2</v>
          </cell>
        </row>
        <row r="318">
          <cell r="D318" t="str">
            <v>هاشم زاده</v>
          </cell>
          <cell r="N318" t="str">
            <v>مونتاژ</v>
          </cell>
          <cell r="O318" t="str">
            <v>مونتاژ</v>
          </cell>
          <cell r="AC318" t="str">
            <v>1405/02/13</v>
          </cell>
          <cell r="AD318" t="str">
            <v>6:00الی18:00</v>
          </cell>
          <cell r="AF318">
            <v>3</v>
          </cell>
        </row>
        <row r="319">
          <cell r="D319" t="str">
            <v>هاشم زاده</v>
          </cell>
          <cell r="N319" t="str">
            <v>مونتاژ</v>
          </cell>
          <cell r="O319" t="str">
            <v>مونتاژ</v>
          </cell>
          <cell r="AC319" t="str">
            <v>1405/02/13</v>
          </cell>
          <cell r="AD319" t="str">
            <v>6:00الی18:00</v>
          </cell>
          <cell r="AF319">
            <v>2</v>
          </cell>
        </row>
        <row r="320">
          <cell r="D320" t="str">
            <v>حیدری</v>
          </cell>
          <cell r="N320" t="str">
            <v>فرز</v>
          </cell>
          <cell r="O320">
            <v>7101</v>
          </cell>
          <cell r="AC320" t="str">
            <v>1405/02/13</v>
          </cell>
          <cell r="AD320" t="str">
            <v>6:00الی9:00</v>
          </cell>
          <cell r="AF320">
            <v>2.5</v>
          </cell>
        </row>
        <row r="321">
          <cell r="D321" t="str">
            <v>حیدری</v>
          </cell>
          <cell r="N321" t="str">
            <v>فرز</v>
          </cell>
          <cell r="O321">
            <v>7101</v>
          </cell>
          <cell r="AC321" t="str">
            <v>1405/02/13</v>
          </cell>
          <cell r="AD321" t="str">
            <v>9:00الی13:00</v>
          </cell>
          <cell r="AF321">
            <v>4</v>
          </cell>
        </row>
        <row r="322">
          <cell r="D322" t="str">
            <v>حیدری</v>
          </cell>
          <cell r="N322" t="str">
            <v>فرز</v>
          </cell>
          <cell r="O322">
            <v>7101</v>
          </cell>
          <cell r="AC322" t="str">
            <v>1405/02/13</v>
          </cell>
          <cell r="AD322" t="str">
            <v>13:00الی18:00</v>
          </cell>
          <cell r="AF322">
            <v>4.5</v>
          </cell>
        </row>
        <row r="323">
          <cell r="D323" t="str">
            <v>کاظمی</v>
          </cell>
          <cell r="N323" t="str">
            <v>CNC</v>
          </cell>
          <cell r="O323">
            <v>7202</v>
          </cell>
          <cell r="AC323" t="str">
            <v>1405/02/14</v>
          </cell>
          <cell r="AD323" t="str">
            <v>6:00الی16:00</v>
          </cell>
          <cell r="AF323">
            <v>9</v>
          </cell>
        </row>
        <row r="324">
          <cell r="D324" t="str">
            <v>کاظمی</v>
          </cell>
          <cell r="N324" t="str">
            <v>CNC</v>
          </cell>
          <cell r="O324">
            <v>7202</v>
          </cell>
          <cell r="AC324" t="str">
            <v>1405/02/14</v>
          </cell>
          <cell r="AD324" t="str">
            <v>16:00الی18:00</v>
          </cell>
          <cell r="AF324">
            <v>2</v>
          </cell>
        </row>
        <row r="325">
          <cell r="D325" t="str">
            <v>کاظمی</v>
          </cell>
          <cell r="N325" t="str">
            <v>CNC</v>
          </cell>
          <cell r="O325">
            <v>7202</v>
          </cell>
          <cell r="AC325" t="str">
            <v>1405/02/15</v>
          </cell>
          <cell r="AD325" t="str">
            <v>6:00الی12:00</v>
          </cell>
          <cell r="AF325">
            <v>5.5</v>
          </cell>
        </row>
        <row r="326">
          <cell r="D326" t="str">
            <v>کاظمی</v>
          </cell>
          <cell r="N326" t="str">
            <v>CNC</v>
          </cell>
          <cell r="O326">
            <v>7202</v>
          </cell>
          <cell r="AC326" t="str">
            <v>1405/02/15</v>
          </cell>
          <cell r="AD326" t="str">
            <v>12:00الی18:00</v>
          </cell>
          <cell r="AF326">
            <v>5.5</v>
          </cell>
        </row>
        <row r="327">
          <cell r="D327" t="str">
            <v>خیرخواه</v>
          </cell>
          <cell r="N327" t="str">
            <v>دریل رادیال</v>
          </cell>
          <cell r="O327">
            <v>7401</v>
          </cell>
          <cell r="AC327" t="str">
            <v>1405/02/15</v>
          </cell>
          <cell r="AD327" t="str">
            <v>6:00الی18:00</v>
          </cell>
          <cell r="AF327">
            <v>1.5</v>
          </cell>
        </row>
        <row r="328">
          <cell r="D328" t="str">
            <v>خیرخواه</v>
          </cell>
          <cell r="N328" t="str">
            <v>دریل رادیال</v>
          </cell>
          <cell r="O328">
            <v>7401</v>
          </cell>
          <cell r="AC328" t="str">
            <v>1405/02/15</v>
          </cell>
          <cell r="AD328" t="str">
            <v>6:00الی18:00</v>
          </cell>
          <cell r="AF328">
            <v>3</v>
          </cell>
        </row>
        <row r="329">
          <cell r="D329" t="str">
            <v>خیرخواه</v>
          </cell>
          <cell r="N329" t="str">
            <v>مونتاژ</v>
          </cell>
          <cell r="O329" t="str">
            <v>دمونتاژ</v>
          </cell>
          <cell r="AC329" t="str">
            <v>1405/02/15</v>
          </cell>
          <cell r="AD329" t="str">
            <v>6:00الی18:00</v>
          </cell>
          <cell r="AF329">
            <v>3</v>
          </cell>
        </row>
        <row r="330">
          <cell r="D330" t="str">
            <v>زیلویی</v>
          </cell>
          <cell r="N330" t="str">
            <v>CNC</v>
          </cell>
          <cell r="O330">
            <v>7203</v>
          </cell>
          <cell r="AC330" t="str">
            <v>1405/02/15</v>
          </cell>
          <cell r="AD330" t="str">
            <v>6:00الی18:00</v>
          </cell>
          <cell r="AF330">
            <v>11</v>
          </cell>
        </row>
        <row r="331">
          <cell r="D331" t="str">
            <v>خیرخواه</v>
          </cell>
          <cell r="N331" t="str">
            <v>مونتاژ</v>
          </cell>
          <cell r="O331" t="str">
            <v>دمونتاژ</v>
          </cell>
          <cell r="AC331" t="str">
            <v>1405/02/14</v>
          </cell>
          <cell r="AD331" t="str">
            <v>6:00الی18:00</v>
          </cell>
          <cell r="AF331">
            <v>1.5</v>
          </cell>
        </row>
        <row r="332">
          <cell r="D332" t="str">
            <v>خیرخواه</v>
          </cell>
          <cell r="N332" t="str">
            <v>مونتاژ</v>
          </cell>
          <cell r="O332" t="str">
            <v>دمونتاژ</v>
          </cell>
          <cell r="AC332" t="str">
            <v>1405/02/14</v>
          </cell>
          <cell r="AD332" t="str">
            <v>6:00الی18:00</v>
          </cell>
          <cell r="AF332">
            <v>1.5</v>
          </cell>
        </row>
        <row r="333">
          <cell r="D333" t="str">
            <v>خیرخواه</v>
          </cell>
          <cell r="N333" t="str">
            <v>مونتاژ</v>
          </cell>
          <cell r="O333" t="str">
            <v>دمونتاژ</v>
          </cell>
          <cell r="AC333" t="str">
            <v>1405/02/14</v>
          </cell>
          <cell r="AD333" t="str">
            <v>6:00الی18:00</v>
          </cell>
          <cell r="AF333">
            <v>3</v>
          </cell>
        </row>
        <row r="334">
          <cell r="D334" t="str">
            <v>خیرخواه</v>
          </cell>
          <cell r="N334" t="str">
            <v>مونتاژ</v>
          </cell>
          <cell r="O334" t="str">
            <v>دمونتاژ</v>
          </cell>
          <cell r="AC334" t="str">
            <v>1405/02/14</v>
          </cell>
          <cell r="AD334" t="str">
            <v>6:00الی18:00</v>
          </cell>
          <cell r="AF334">
            <v>1.5</v>
          </cell>
        </row>
        <row r="335">
          <cell r="D335" t="str">
            <v>خیرخواه</v>
          </cell>
          <cell r="N335" t="str">
            <v>مونتاژ</v>
          </cell>
          <cell r="O335" t="str">
            <v>دمونتاژ</v>
          </cell>
          <cell r="AC335" t="str">
            <v>1405/02/14</v>
          </cell>
          <cell r="AD335" t="str">
            <v>6:00الی18:00</v>
          </cell>
          <cell r="AF335">
            <v>1.5</v>
          </cell>
        </row>
        <row r="336">
          <cell r="D336" t="str">
            <v>خیرخواه</v>
          </cell>
          <cell r="N336" t="str">
            <v>مونتاژ</v>
          </cell>
          <cell r="O336" t="str">
            <v>دمونتاژ</v>
          </cell>
          <cell r="AC336" t="str">
            <v>1405/02/14</v>
          </cell>
          <cell r="AD336" t="str">
            <v>6:00الی18:00</v>
          </cell>
          <cell r="AF336">
            <v>1.5</v>
          </cell>
        </row>
        <row r="337">
          <cell r="D337" t="str">
            <v>قیطاسوند</v>
          </cell>
          <cell r="N337" t="str">
            <v>فرز</v>
          </cell>
          <cell r="O337">
            <v>7102</v>
          </cell>
          <cell r="AC337" t="str">
            <v>1405/02/14</v>
          </cell>
          <cell r="AD337" t="str">
            <v>6:00الی18:00</v>
          </cell>
          <cell r="AF337">
            <v>11</v>
          </cell>
        </row>
        <row r="338">
          <cell r="D338" t="str">
            <v>قیطاسوند</v>
          </cell>
          <cell r="N338" t="str">
            <v>فرز</v>
          </cell>
          <cell r="O338">
            <v>7102</v>
          </cell>
          <cell r="AC338" t="str">
            <v>1405/02/15</v>
          </cell>
          <cell r="AD338" t="str">
            <v>6:00الی18:00</v>
          </cell>
          <cell r="AF338">
            <v>11</v>
          </cell>
        </row>
        <row r="339">
          <cell r="D339" t="str">
            <v>قیطاسوند</v>
          </cell>
          <cell r="N339" t="str">
            <v>فرز</v>
          </cell>
          <cell r="O339">
            <v>7102</v>
          </cell>
          <cell r="AC339" t="str">
            <v>1405/02/16</v>
          </cell>
          <cell r="AD339" t="str">
            <v>6:00الی18:00</v>
          </cell>
          <cell r="AF339">
            <v>7.5</v>
          </cell>
        </row>
        <row r="340">
          <cell r="D340" t="str">
            <v>قیطاسوند</v>
          </cell>
          <cell r="N340" t="str">
            <v xml:space="preserve">فرز </v>
          </cell>
          <cell r="O340">
            <v>7102</v>
          </cell>
          <cell r="AC340" t="str">
            <v>1405/02/16</v>
          </cell>
          <cell r="AD340" t="str">
            <v>6:00الی18:00</v>
          </cell>
          <cell r="AF340">
            <v>3.5</v>
          </cell>
        </row>
        <row r="341">
          <cell r="D341" t="str">
            <v>فراهی</v>
          </cell>
          <cell r="N341" t="str">
            <v>فرز</v>
          </cell>
          <cell r="O341">
            <v>7103</v>
          </cell>
          <cell r="AC341" t="str">
            <v>1405/02/15</v>
          </cell>
          <cell r="AD341" t="str">
            <v>7:00الی10:45</v>
          </cell>
          <cell r="AF341">
            <v>3.25</v>
          </cell>
        </row>
        <row r="342">
          <cell r="D342" t="str">
            <v>فراهی</v>
          </cell>
          <cell r="N342" t="str">
            <v>فرز</v>
          </cell>
          <cell r="O342">
            <v>7103</v>
          </cell>
          <cell r="AC342" t="str">
            <v>1405/02/15</v>
          </cell>
          <cell r="AD342" t="str">
            <v>10:45الی13:50</v>
          </cell>
          <cell r="AF342">
            <v>2.0833333333333335</v>
          </cell>
        </row>
        <row r="343">
          <cell r="D343" t="str">
            <v>هاشم زاده</v>
          </cell>
          <cell r="N343" t="str">
            <v>مونتاژ</v>
          </cell>
          <cell r="O343" t="str">
            <v>دمونتاژ</v>
          </cell>
          <cell r="AC343" t="str">
            <v>1405/02/15</v>
          </cell>
          <cell r="AD343" t="str">
            <v>6:00الی18:00</v>
          </cell>
          <cell r="AF343">
            <v>1</v>
          </cell>
        </row>
        <row r="344">
          <cell r="D344" t="str">
            <v>هاشم زاده</v>
          </cell>
          <cell r="N344" t="str">
            <v>مونتاژ</v>
          </cell>
          <cell r="O344" t="str">
            <v>دمونتاژ</v>
          </cell>
          <cell r="AC344" t="str">
            <v>1405/02/15</v>
          </cell>
          <cell r="AD344" t="str">
            <v>6:00الی18:00</v>
          </cell>
          <cell r="AF344">
            <v>2</v>
          </cell>
        </row>
        <row r="345">
          <cell r="D345" t="str">
            <v>هاشم زاده</v>
          </cell>
          <cell r="N345" t="str">
            <v>مونتاژ</v>
          </cell>
          <cell r="O345" t="str">
            <v>دمونتاژ</v>
          </cell>
          <cell r="AC345" t="str">
            <v>1405/02/15</v>
          </cell>
          <cell r="AD345" t="str">
            <v>6:00الی18:00</v>
          </cell>
          <cell r="AF345">
            <v>3</v>
          </cell>
        </row>
        <row r="346">
          <cell r="D346" t="str">
            <v>خیرخواه</v>
          </cell>
          <cell r="N346" t="str">
            <v>مونتاژ</v>
          </cell>
          <cell r="O346" t="str">
            <v>مونتاژ</v>
          </cell>
          <cell r="AC346" t="str">
            <v>1405/02/15</v>
          </cell>
          <cell r="AD346" t="str">
            <v>6:00الی18:00</v>
          </cell>
          <cell r="AF346">
            <v>1</v>
          </cell>
        </row>
        <row r="347">
          <cell r="D347" t="str">
            <v>هاشم زاده</v>
          </cell>
          <cell r="N347" t="str">
            <v>مونتاژ</v>
          </cell>
          <cell r="O347" t="str">
            <v>مونتاژ</v>
          </cell>
          <cell r="AC347" t="str">
            <v>1405/02/15</v>
          </cell>
          <cell r="AD347" t="str">
            <v>6:00الی18:00</v>
          </cell>
          <cell r="AF347">
            <v>2</v>
          </cell>
        </row>
        <row r="348">
          <cell r="D348" t="str">
            <v>حیدری</v>
          </cell>
          <cell r="N348" t="str">
            <v>فرز</v>
          </cell>
          <cell r="O348">
            <v>7101</v>
          </cell>
          <cell r="AC348" t="str">
            <v>1405/02/15</v>
          </cell>
          <cell r="AD348" t="str">
            <v>6:00الی10:00</v>
          </cell>
          <cell r="AF348">
            <v>3.5</v>
          </cell>
        </row>
        <row r="349">
          <cell r="D349" t="str">
            <v>حیدری</v>
          </cell>
          <cell r="N349" t="str">
            <v>فرز</v>
          </cell>
          <cell r="O349">
            <v>7101</v>
          </cell>
          <cell r="AC349" t="str">
            <v>1405/02/15</v>
          </cell>
          <cell r="AD349" t="str">
            <v>10:00الی14:00</v>
          </cell>
          <cell r="AF349">
            <v>4</v>
          </cell>
        </row>
        <row r="350">
          <cell r="D350" t="str">
            <v>حیدری</v>
          </cell>
          <cell r="N350" t="str">
            <v>فرز</v>
          </cell>
          <cell r="O350">
            <v>7101</v>
          </cell>
          <cell r="AC350" t="str">
            <v>1405/02/15</v>
          </cell>
          <cell r="AD350" t="str">
            <v>14:00الی18:00</v>
          </cell>
          <cell r="AF350">
            <v>3.5</v>
          </cell>
        </row>
        <row r="351">
          <cell r="D351" t="str">
            <v>یاراحمدی</v>
          </cell>
          <cell r="N351" t="str">
            <v>سنگ زنی</v>
          </cell>
          <cell r="O351">
            <v>7502</v>
          </cell>
          <cell r="AC351" t="str">
            <v>1405/02/15</v>
          </cell>
          <cell r="AD351" t="str">
            <v>6:00الی18:00</v>
          </cell>
          <cell r="AF351">
            <v>8</v>
          </cell>
        </row>
        <row r="352">
          <cell r="D352" t="str">
            <v>یاراحمدی</v>
          </cell>
          <cell r="N352" t="str">
            <v>سنگ زنی</v>
          </cell>
          <cell r="O352">
            <v>7502</v>
          </cell>
          <cell r="AC352" t="str">
            <v>1405/02/15</v>
          </cell>
          <cell r="AD352" t="str">
            <v>6:00الی18:00</v>
          </cell>
          <cell r="AF352">
            <v>3</v>
          </cell>
        </row>
        <row r="353">
          <cell r="D353" t="str">
            <v>صحرایی</v>
          </cell>
          <cell r="N353" t="str">
            <v>تراش</v>
          </cell>
          <cell r="O353">
            <v>7303</v>
          </cell>
          <cell r="AC353" t="str">
            <v>1405/02/15</v>
          </cell>
          <cell r="AD353" t="str">
            <v>6:00الی14:00</v>
          </cell>
          <cell r="AF353">
            <v>3</v>
          </cell>
        </row>
        <row r="354">
          <cell r="D354" t="str">
            <v>صحرایی</v>
          </cell>
          <cell r="N354" t="str">
            <v>سری تراش</v>
          </cell>
          <cell r="O354">
            <v>8002</v>
          </cell>
          <cell r="AC354" t="str">
            <v>1405/02/15</v>
          </cell>
          <cell r="AD354" t="str">
            <v>6:00الی14:00</v>
          </cell>
          <cell r="AF354">
            <v>7.5</v>
          </cell>
        </row>
        <row r="355">
          <cell r="D355" t="str">
            <v>کریم پرست</v>
          </cell>
          <cell r="N355" t="str">
            <v>تراش</v>
          </cell>
          <cell r="O355">
            <v>7301</v>
          </cell>
          <cell r="AC355" t="str">
            <v>1405/02/15</v>
          </cell>
          <cell r="AD355" t="str">
            <v>6:00الی18:00</v>
          </cell>
          <cell r="AF355">
            <v>2</v>
          </cell>
        </row>
        <row r="356">
          <cell r="D356" t="str">
            <v>کریم پرست</v>
          </cell>
          <cell r="N356" t="str">
            <v>تراش</v>
          </cell>
          <cell r="O356">
            <v>7301</v>
          </cell>
          <cell r="AC356" t="str">
            <v>1405/02/15</v>
          </cell>
          <cell r="AD356" t="str">
            <v>6:00الی18:00</v>
          </cell>
          <cell r="AF356">
            <v>2</v>
          </cell>
        </row>
        <row r="357">
          <cell r="D357" t="str">
            <v>کریم پرست</v>
          </cell>
          <cell r="N357" t="str">
            <v>تراش</v>
          </cell>
          <cell r="O357">
            <v>7301</v>
          </cell>
          <cell r="AC357" t="str">
            <v>1405/02/15</v>
          </cell>
          <cell r="AD357" t="str">
            <v>6:00الی18:00</v>
          </cell>
          <cell r="AF357">
            <v>2.5</v>
          </cell>
        </row>
        <row r="358">
          <cell r="D358" t="str">
            <v>کریم پرست</v>
          </cell>
          <cell r="N358" t="str">
            <v>تراش</v>
          </cell>
          <cell r="O358">
            <v>7301</v>
          </cell>
          <cell r="AC358" t="str">
            <v>1405/02/15</v>
          </cell>
          <cell r="AD358" t="str">
            <v>6:00الی18:00</v>
          </cell>
          <cell r="AF358">
            <v>2</v>
          </cell>
        </row>
        <row r="359">
          <cell r="D359" t="str">
            <v>کریم پرست</v>
          </cell>
          <cell r="N359" t="str">
            <v>تراش</v>
          </cell>
          <cell r="O359">
            <v>7301</v>
          </cell>
          <cell r="AC359" t="str">
            <v>1405/02/15</v>
          </cell>
          <cell r="AD359" t="str">
            <v>6:00الی18:00</v>
          </cell>
          <cell r="AF359">
            <v>2.5</v>
          </cell>
        </row>
        <row r="360">
          <cell r="D360" t="str">
            <v>زیلویی</v>
          </cell>
          <cell r="N360" t="str">
            <v>CNC</v>
          </cell>
          <cell r="O360">
            <v>7203</v>
          </cell>
          <cell r="AC360" t="str">
            <v>1405/02/16</v>
          </cell>
          <cell r="AD360" t="str">
            <v>6:00الی7:40</v>
          </cell>
          <cell r="AF360">
            <v>1.6666666666666667</v>
          </cell>
        </row>
        <row r="361">
          <cell r="D361" t="str">
            <v>زیلویی</v>
          </cell>
          <cell r="N361" t="str">
            <v>CNC</v>
          </cell>
          <cell r="O361">
            <v>7203</v>
          </cell>
          <cell r="AC361" t="str">
            <v>1405/02/16</v>
          </cell>
          <cell r="AD361" t="str">
            <v>7:40الی18:00</v>
          </cell>
          <cell r="AF361">
            <v>9.3333333333333339</v>
          </cell>
        </row>
        <row r="362">
          <cell r="D362" t="str">
            <v>صحرایی</v>
          </cell>
          <cell r="N362" t="str">
            <v>سری تراش</v>
          </cell>
          <cell r="O362">
            <v>8002</v>
          </cell>
          <cell r="AC362" t="str">
            <v>1405/02/16</v>
          </cell>
          <cell r="AD362" t="str">
            <v>6:00الی14:00</v>
          </cell>
          <cell r="AF362">
            <v>7.5</v>
          </cell>
        </row>
        <row r="363">
          <cell r="D363" t="str">
            <v>صحرایی</v>
          </cell>
          <cell r="N363" t="str">
            <v>سری تراش</v>
          </cell>
          <cell r="O363">
            <v>8002</v>
          </cell>
          <cell r="AC363" t="str">
            <v>1405/02/17</v>
          </cell>
          <cell r="AD363" t="str">
            <v>6:00الی14:00</v>
          </cell>
          <cell r="AF363">
            <v>7.5</v>
          </cell>
        </row>
        <row r="364">
          <cell r="D364" t="str">
            <v>فراهی</v>
          </cell>
          <cell r="N364" t="str">
            <v>فرز</v>
          </cell>
          <cell r="O364">
            <v>7103</v>
          </cell>
          <cell r="AC364" t="str">
            <v>1405/02/16</v>
          </cell>
          <cell r="AD364" t="str">
            <v>7:00الی10:45</v>
          </cell>
          <cell r="AF364">
            <v>3.25</v>
          </cell>
        </row>
        <row r="365">
          <cell r="D365" t="str">
            <v>فراهی</v>
          </cell>
          <cell r="N365" t="str">
            <v xml:space="preserve">فرز </v>
          </cell>
          <cell r="O365">
            <v>7102</v>
          </cell>
          <cell r="AC365" t="str">
            <v>1405/02/16</v>
          </cell>
          <cell r="AD365" t="str">
            <v>10:45الی14:00</v>
          </cell>
          <cell r="AF365">
            <v>3.25</v>
          </cell>
        </row>
        <row r="366">
          <cell r="D366" t="str">
            <v>کریم پرست</v>
          </cell>
          <cell r="N366" t="str">
            <v>تراش</v>
          </cell>
          <cell r="O366">
            <v>7301</v>
          </cell>
          <cell r="AC366" t="str">
            <v>1405/02/16</v>
          </cell>
          <cell r="AD366" t="str">
            <v>6:00الی18:00</v>
          </cell>
          <cell r="AF366">
            <v>5.5</v>
          </cell>
        </row>
        <row r="367">
          <cell r="D367" t="str">
            <v>کریم پرست</v>
          </cell>
          <cell r="N367" t="str">
            <v>تراش</v>
          </cell>
          <cell r="O367">
            <v>7301</v>
          </cell>
          <cell r="AC367" t="str">
            <v>1405/02/16</v>
          </cell>
          <cell r="AD367" t="str">
            <v>6:00الی18:00</v>
          </cell>
          <cell r="AF367">
            <v>5.5</v>
          </cell>
        </row>
        <row r="368">
          <cell r="D368" t="str">
            <v>کریم پرست</v>
          </cell>
          <cell r="N368" t="str">
            <v>تراش</v>
          </cell>
          <cell r="O368">
            <v>7301</v>
          </cell>
          <cell r="AC368" t="str">
            <v>1405/02/17</v>
          </cell>
          <cell r="AD368" t="str">
            <v>6:00الی12:00</v>
          </cell>
          <cell r="AF368">
            <v>5.5</v>
          </cell>
        </row>
        <row r="369">
          <cell r="D369" t="str">
            <v>کریم پرست</v>
          </cell>
          <cell r="N369" t="str">
            <v>نظافت</v>
          </cell>
          <cell r="O369" t="str">
            <v>نظافت</v>
          </cell>
          <cell r="AC369" t="str">
            <v>1405/02/17</v>
          </cell>
          <cell r="AD369" t="str">
            <v>12:00الی14:00</v>
          </cell>
          <cell r="AF369">
            <v>2</v>
          </cell>
        </row>
        <row r="370">
          <cell r="D370" t="str">
            <v>هاشم زاده</v>
          </cell>
          <cell r="N370" t="str">
            <v>نظافت</v>
          </cell>
          <cell r="O370" t="str">
            <v>نظافت</v>
          </cell>
          <cell r="AC370" t="str">
            <v>1405/02/16</v>
          </cell>
          <cell r="AD370" t="str">
            <v>6:00الی18:00</v>
          </cell>
          <cell r="AF370">
            <v>2</v>
          </cell>
        </row>
        <row r="371">
          <cell r="D371" t="str">
            <v>هاشم زاده</v>
          </cell>
          <cell r="N371" t="str">
            <v>مونتاژ</v>
          </cell>
          <cell r="O371" t="str">
            <v>مونتاژ</v>
          </cell>
          <cell r="AC371" t="str">
            <v>1405/02/16</v>
          </cell>
          <cell r="AD371" t="str">
            <v>6:00الی18:00</v>
          </cell>
          <cell r="AF371">
            <v>3</v>
          </cell>
        </row>
        <row r="372">
          <cell r="D372" t="str">
            <v>هاشم زاده</v>
          </cell>
          <cell r="N372" t="str">
            <v>مونتاژ</v>
          </cell>
          <cell r="O372" t="str">
            <v>مونتاژ</v>
          </cell>
          <cell r="AC372" t="str">
            <v>1405/02/16</v>
          </cell>
          <cell r="AD372" t="str">
            <v>6:00الی18:00</v>
          </cell>
          <cell r="AF372">
            <v>1</v>
          </cell>
        </row>
        <row r="373">
          <cell r="D373" t="str">
            <v>کاظمی</v>
          </cell>
          <cell r="N373" t="str">
            <v>CNC</v>
          </cell>
          <cell r="O373">
            <v>7202</v>
          </cell>
          <cell r="AC373" t="str">
            <v>1405/02/16</v>
          </cell>
          <cell r="AD373" t="str">
            <v>7:00الی17:30</v>
          </cell>
          <cell r="AF373">
            <v>9.5</v>
          </cell>
        </row>
        <row r="374">
          <cell r="D374" t="str">
            <v>کاظمی</v>
          </cell>
          <cell r="N374" t="str">
            <v>CNC</v>
          </cell>
          <cell r="O374">
            <v>7202</v>
          </cell>
          <cell r="AC374" t="str">
            <v>1405/02/17</v>
          </cell>
          <cell r="AD374" t="str">
            <v>7:00الی14:00</v>
          </cell>
          <cell r="AF374">
            <v>6.5</v>
          </cell>
        </row>
        <row r="375">
          <cell r="D375" t="str">
            <v>حیدری</v>
          </cell>
          <cell r="N375" t="str">
            <v>فرز</v>
          </cell>
          <cell r="O375">
            <v>7101</v>
          </cell>
          <cell r="AC375" t="str">
            <v>1405/02/16</v>
          </cell>
          <cell r="AD375" t="str">
            <v>6:00الی11:00</v>
          </cell>
          <cell r="AF375">
            <v>4.5</v>
          </cell>
        </row>
        <row r="376">
          <cell r="D376" t="str">
            <v>حیدری</v>
          </cell>
          <cell r="N376" t="str">
            <v>فرز</v>
          </cell>
          <cell r="O376">
            <v>7101</v>
          </cell>
          <cell r="AC376" t="str">
            <v>1405/02/16</v>
          </cell>
          <cell r="AD376" t="str">
            <v>11:00الی13:30</v>
          </cell>
          <cell r="AF376">
            <v>2.5</v>
          </cell>
        </row>
        <row r="377">
          <cell r="D377" t="str">
            <v>حیدری</v>
          </cell>
          <cell r="N377" t="str">
            <v>فرز</v>
          </cell>
          <cell r="O377">
            <v>7101</v>
          </cell>
          <cell r="AC377" t="str">
            <v>1405/02/16</v>
          </cell>
          <cell r="AD377" t="str">
            <v>13:30الی18:00</v>
          </cell>
          <cell r="AF377">
            <v>4</v>
          </cell>
        </row>
        <row r="378">
          <cell r="D378" t="str">
            <v>حیدری</v>
          </cell>
          <cell r="N378" t="str">
            <v>فرز</v>
          </cell>
          <cell r="O378">
            <v>7101</v>
          </cell>
          <cell r="AC378" t="str">
            <v>1405/02/17</v>
          </cell>
          <cell r="AD378" t="str">
            <v>6:00الی10:00</v>
          </cell>
          <cell r="AF378">
            <v>3.5</v>
          </cell>
        </row>
        <row r="379">
          <cell r="D379" t="str">
            <v>حیدری</v>
          </cell>
          <cell r="N379" t="str">
            <v>فرز</v>
          </cell>
          <cell r="O379">
            <v>7101</v>
          </cell>
          <cell r="AC379" t="str">
            <v>1405/02/17</v>
          </cell>
          <cell r="AD379" t="str">
            <v>10:00الی13:00</v>
          </cell>
          <cell r="AF379">
            <v>3</v>
          </cell>
        </row>
        <row r="380">
          <cell r="D380" t="str">
            <v>حیدری</v>
          </cell>
          <cell r="N380" t="str">
            <v>نظافت</v>
          </cell>
          <cell r="O380" t="str">
            <v>نظافت</v>
          </cell>
          <cell r="AC380" t="str">
            <v>1405/02/17</v>
          </cell>
          <cell r="AD380" t="str">
            <v>13:00الی14:00</v>
          </cell>
          <cell r="AF380">
            <v>1</v>
          </cell>
        </row>
        <row r="381">
          <cell r="D381" t="str">
            <v>خیرخواه</v>
          </cell>
          <cell r="N381" t="str">
            <v>مونتاژ</v>
          </cell>
          <cell r="O381" t="str">
            <v>مونتاژ</v>
          </cell>
          <cell r="AC381" t="str">
            <v>1405/02/16</v>
          </cell>
          <cell r="AD381" t="str">
            <v>6:00الی18:00</v>
          </cell>
          <cell r="AF381">
            <v>1.5</v>
          </cell>
        </row>
        <row r="382">
          <cell r="D382" t="str">
            <v>خیرخواه</v>
          </cell>
          <cell r="N382" t="str">
            <v>مونتاژ</v>
          </cell>
          <cell r="O382" t="str">
            <v>دمونتاژ</v>
          </cell>
          <cell r="AC382" t="str">
            <v>1405/02/16</v>
          </cell>
          <cell r="AD382" t="str">
            <v>6:00الی18:00</v>
          </cell>
          <cell r="AF382">
            <v>1.1666666666666667</v>
          </cell>
        </row>
        <row r="383">
          <cell r="D383" t="str">
            <v>خیرخواه</v>
          </cell>
          <cell r="N383" t="str">
            <v>دریل رادیال</v>
          </cell>
          <cell r="O383">
            <v>7401</v>
          </cell>
          <cell r="AC383" t="str">
            <v>1405/02/16</v>
          </cell>
          <cell r="AD383" t="str">
            <v>6:00الی18:00</v>
          </cell>
          <cell r="AF383">
            <v>1.1666666666666667</v>
          </cell>
        </row>
        <row r="384">
          <cell r="D384" t="str">
            <v>خیرخواه</v>
          </cell>
          <cell r="N384" t="str">
            <v>مونتاژ</v>
          </cell>
          <cell r="O384" t="str">
            <v>مونتاژ</v>
          </cell>
          <cell r="AC384" t="str">
            <v>1405/02/16</v>
          </cell>
          <cell r="AD384" t="str">
            <v>6:00الی18:00</v>
          </cell>
          <cell r="AF384">
            <v>1.1666666666666667</v>
          </cell>
        </row>
        <row r="385">
          <cell r="D385" t="str">
            <v>خیرخواه</v>
          </cell>
          <cell r="N385" t="str">
            <v>نظافت</v>
          </cell>
          <cell r="O385" t="str">
            <v>نظافت</v>
          </cell>
          <cell r="AC385" t="str">
            <v>1405/02/16</v>
          </cell>
          <cell r="AD385" t="str">
            <v>6:00الی18:00</v>
          </cell>
          <cell r="AF385">
            <v>3</v>
          </cell>
        </row>
        <row r="386">
          <cell r="D386" t="str">
            <v>خیرخواه</v>
          </cell>
          <cell r="N386" t="str">
            <v>مونتاژ</v>
          </cell>
          <cell r="O386" t="str">
            <v>دمونتاژ</v>
          </cell>
          <cell r="AC386" t="str">
            <v>1405/02/16</v>
          </cell>
          <cell r="AD386" t="str">
            <v>6:00الی18:00</v>
          </cell>
          <cell r="AF386">
            <v>1</v>
          </cell>
        </row>
        <row r="387">
          <cell r="D387" t="str">
            <v>خیرخواه</v>
          </cell>
          <cell r="N387" t="str">
            <v>دریل رادیال</v>
          </cell>
          <cell r="O387">
            <v>7401</v>
          </cell>
          <cell r="AC387" t="str">
            <v>1405/02/17</v>
          </cell>
          <cell r="AD387" t="str">
            <v>6:00الی14:00</v>
          </cell>
          <cell r="AF387">
            <v>1</v>
          </cell>
        </row>
        <row r="388">
          <cell r="D388" t="str">
            <v>خیرخواه</v>
          </cell>
          <cell r="N388" t="str">
            <v>مونتاژ</v>
          </cell>
          <cell r="O388" t="str">
            <v>مونتاژ</v>
          </cell>
          <cell r="AC388" t="str">
            <v>1405/02/17</v>
          </cell>
          <cell r="AD388" t="str">
            <v>6:00الی14:00</v>
          </cell>
          <cell r="AF388">
            <v>4</v>
          </cell>
        </row>
        <row r="389">
          <cell r="D389" t="str">
            <v>خیرخواه</v>
          </cell>
          <cell r="N389" t="str">
            <v>مونتاژ</v>
          </cell>
          <cell r="O389" t="str">
            <v>دمونتاژ</v>
          </cell>
          <cell r="AC389" t="str">
            <v>1405/02/17</v>
          </cell>
          <cell r="AD389" t="str">
            <v>6:00الی14:00</v>
          </cell>
          <cell r="AF389">
            <v>1</v>
          </cell>
        </row>
        <row r="390">
          <cell r="D390" t="str">
            <v>خیرخواه</v>
          </cell>
          <cell r="N390" t="str">
            <v>نظافت</v>
          </cell>
          <cell r="O390" t="str">
            <v>نظافت</v>
          </cell>
          <cell r="AC390" t="str">
            <v>1405/02/17</v>
          </cell>
          <cell r="AD390" t="str">
            <v>6:00الی14:00</v>
          </cell>
          <cell r="AF390">
            <v>1</v>
          </cell>
        </row>
        <row r="391">
          <cell r="D391" t="str">
            <v>یاراحمدی</v>
          </cell>
          <cell r="N391" t="str">
            <v>سنگ زنی</v>
          </cell>
          <cell r="O391">
            <v>7502</v>
          </cell>
          <cell r="AC391" t="str">
            <v>1405/02/16</v>
          </cell>
          <cell r="AD391" t="str">
            <v>6:00الی18:00</v>
          </cell>
          <cell r="AF391">
            <v>9</v>
          </cell>
        </row>
        <row r="392">
          <cell r="D392" t="str">
            <v>یاراحمدی</v>
          </cell>
          <cell r="N392" t="str">
            <v>سنگ زنی</v>
          </cell>
          <cell r="O392">
            <v>7502</v>
          </cell>
          <cell r="AC392" t="str">
            <v>1405/02/16</v>
          </cell>
          <cell r="AD392" t="str">
            <v>6:00الی18:00</v>
          </cell>
          <cell r="AF392">
            <v>1</v>
          </cell>
        </row>
        <row r="393">
          <cell r="D393" t="str">
            <v>یاراحمدی</v>
          </cell>
          <cell r="N393" t="str">
            <v>سنگ زنی</v>
          </cell>
          <cell r="O393">
            <v>7502</v>
          </cell>
          <cell r="AC393" t="str">
            <v>1405/02/16</v>
          </cell>
          <cell r="AD393" t="str">
            <v>6:00الی18:00</v>
          </cell>
          <cell r="AF393">
            <v>1</v>
          </cell>
        </row>
        <row r="394">
          <cell r="D394" t="str">
            <v>یاراحمدی</v>
          </cell>
          <cell r="N394" t="str">
            <v>سنگ زنی</v>
          </cell>
          <cell r="O394">
            <v>7502</v>
          </cell>
          <cell r="AC394" t="str">
            <v>1405/02/17</v>
          </cell>
          <cell r="AD394" t="str">
            <v>6:00الی12:00</v>
          </cell>
          <cell r="AF394">
            <v>4</v>
          </cell>
        </row>
        <row r="395">
          <cell r="D395" t="str">
            <v>یاراحمدی</v>
          </cell>
          <cell r="N395" t="str">
            <v>سنگ زنی</v>
          </cell>
          <cell r="O395">
            <v>7502</v>
          </cell>
          <cell r="AC395" t="str">
            <v>1405/02/17</v>
          </cell>
          <cell r="AD395" t="str">
            <v>6:00الی12:00</v>
          </cell>
          <cell r="AF395">
            <v>2</v>
          </cell>
        </row>
        <row r="396">
          <cell r="D396" t="str">
            <v>یاراحمدی</v>
          </cell>
          <cell r="N396" t="str">
            <v>نظافت</v>
          </cell>
          <cell r="O396" t="str">
            <v>نظافت</v>
          </cell>
          <cell r="AC396" t="str">
            <v>1405/02/17</v>
          </cell>
          <cell r="AD396" t="str">
            <v>12:00الی14:00</v>
          </cell>
          <cell r="AF396">
            <v>2</v>
          </cell>
        </row>
        <row r="397">
          <cell r="D397" t="str">
            <v>موسوی</v>
          </cell>
          <cell r="N397" t="str">
            <v>تراش</v>
          </cell>
          <cell r="O397">
            <v>7302</v>
          </cell>
          <cell r="AC397" t="str">
            <v>1405/02/16</v>
          </cell>
          <cell r="AD397" t="str">
            <v>6:00الی18:00</v>
          </cell>
          <cell r="AF397">
            <v>2</v>
          </cell>
        </row>
        <row r="398">
          <cell r="D398" t="str">
            <v>موسوی</v>
          </cell>
          <cell r="N398" t="str">
            <v>تراش</v>
          </cell>
          <cell r="O398">
            <v>7302</v>
          </cell>
          <cell r="AC398" t="str">
            <v>1405/02/16</v>
          </cell>
          <cell r="AD398" t="str">
            <v>6:00الی18:00</v>
          </cell>
          <cell r="AF398">
            <v>2</v>
          </cell>
        </row>
        <row r="399">
          <cell r="D399" t="str">
            <v>موسوی</v>
          </cell>
          <cell r="N399" t="str">
            <v>تراش</v>
          </cell>
          <cell r="O399">
            <v>7302</v>
          </cell>
          <cell r="AC399" t="str">
            <v>1405/02/16</v>
          </cell>
          <cell r="AD399" t="str">
            <v>6:00الی18:00</v>
          </cell>
          <cell r="AF399">
            <v>2</v>
          </cell>
        </row>
        <row r="400">
          <cell r="D400" t="str">
            <v>موسوی</v>
          </cell>
          <cell r="N400" t="str">
            <v>تراش</v>
          </cell>
          <cell r="O400">
            <v>7302</v>
          </cell>
          <cell r="AC400" t="str">
            <v>1405/02/16</v>
          </cell>
          <cell r="AD400" t="str">
            <v>6:00الی18:00</v>
          </cell>
          <cell r="AF400">
            <v>2</v>
          </cell>
        </row>
        <row r="401">
          <cell r="D401" t="str">
            <v>موسوی</v>
          </cell>
          <cell r="N401" t="str">
            <v>تراش</v>
          </cell>
          <cell r="O401">
            <v>7302</v>
          </cell>
          <cell r="AC401" t="str">
            <v>1405/02/16</v>
          </cell>
          <cell r="AD401" t="str">
            <v>6:00الی18:00</v>
          </cell>
          <cell r="AF401">
            <v>3</v>
          </cell>
        </row>
        <row r="402">
          <cell r="D402" t="str">
            <v>موسوی</v>
          </cell>
          <cell r="N402" t="str">
            <v>تراش</v>
          </cell>
          <cell r="O402">
            <v>7302</v>
          </cell>
          <cell r="AC402" t="str">
            <v>1405/02/17</v>
          </cell>
          <cell r="AD402" t="str">
            <v>6:00الی13:00</v>
          </cell>
          <cell r="AF402">
            <v>6.5</v>
          </cell>
        </row>
        <row r="403">
          <cell r="D403" t="str">
            <v>موسوی</v>
          </cell>
          <cell r="N403" t="str">
            <v>نظافت</v>
          </cell>
          <cell r="O403" t="str">
            <v>نظافت</v>
          </cell>
          <cell r="AC403" t="str">
            <v>1405/02/17</v>
          </cell>
          <cell r="AD403" t="str">
            <v>13:00الی14:00</v>
          </cell>
          <cell r="AF403">
            <v>1</v>
          </cell>
        </row>
        <row r="404">
          <cell r="D404" t="str">
            <v>قیطاسوند</v>
          </cell>
          <cell r="N404" t="str">
            <v xml:space="preserve">فرز </v>
          </cell>
          <cell r="O404">
            <v>7102</v>
          </cell>
          <cell r="AC404" t="str">
            <v>1405/02/17</v>
          </cell>
          <cell r="AD404" t="str">
            <v>6:00الی14:00</v>
          </cell>
          <cell r="AF404">
            <v>7.5</v>
          </cell>
        </row>
        <row r="405">
          <cell r="D405" t="str">
            <v>صلواتی</v>
          </cell>
          <cell r="N405" t="str">
            <v>وایر</v>
          </cell>
          <cell r="O405">
            <v>7601</v>
          </cell>
          <cell r="AC405" t="str">
            <v>1405/02/17</v>
          </cell>
          <cell r="AD405" t="str">
            <v>6:00الی14:00</v>
          </cell>
          <cell r="AF405">
            <v>8</v>
          </cell>
        </row>
        <row r="406">
          <cell r="D406" t="str">
            <v>صلواتی</v>
          </cell>
          <cell r="N406" t="str">
            <v>وایر</v>
          </cell>
          <cell r="O406">
            <v>7602</v>
          </cell>
          <cell r="AC406" t="str">
            <v>1405/02/17</v>
          </cell>
          <cell r="AD406" t="str">
            <v>6:00الی14:00</v>
          </cell>
          <cell r="AF406">
            <v>8</v>
          </cell>
        </row>
        <row r="407">
          <cell r="D407" t="str">
            <v>صلواتی</v>
          </cell>
          <cell r="N407" t="str">
            <v>وایر</v>
          </cell>
          <cell r="O407">
            <v>7603</v>
          </cell>
          <cell r="AC407" t="str">
            <v>1405/02/17</v>
          </cell>
          <cell r="AD407" t="str">
            <v>6:00الی14:00</v>
          </cell>
          <cell r="AF407">
            <v>8</v>
          </cell>
        </row>
        <row r="408">
          <cell r="D408" t="str">
            <v>صلواتی</v>
          </cell>
          <cell r="N408" t="str">
            <v>وایر</v>
          </cell>
          <cell r="O408">
            <v>7605</v>
          </cell>
          <cell r="AC408" t="str">
            <v>1405/02/17</v>
          </cell>
          <cell r="AD408" t="str">
            <v>6:00الی14:00</v>
          </cell>
          <cell r="AF408">
            <v>8</v>
          </cell>
        </row>
        <row r="409">
          <cell r="D409" t="str">
            <v>صحرایی</v>
          </cell>
          <cell r="N409" t="str">
            <v>سری تراش</v>
          </cell>
          <cell r="O409">
            <v>8002</v>
          </cell>
          <cell r="AC409" t="str">
            <v>1405/02/19</v>
          </cell>
          <cell r="AD409" t="str">
            <v>6:00الی14:00</v>
          </cell>
          <cell r="AF409">
            <v>7.5</v>
          </cell>
        </row>
        <row r="410">
          <cell r="D410" t="str">
            <v>حیدری</v>
          </cell>
          <cell r="N410" t="str">
            <v>فرز</v>
          </cell>
          <cell r="O410">
            <v>7101</v>
          </cell>
          <cell r="AC410" t="str">
            <v>1405/02/19</v>
          </cell>
          <cell r="AD410" t="str">
            <v>6:00الی8:00</v>
          </cell>
          <cell r="AF410">
            <v>2</v>
          </cell>
        </row>
        <row r="411">
          <cell r="D411" t="str">
            <v>حیدری</v>
          </cell>
          <cell r="N411" t="str">
            <v>فرز</v>
          </cell>
          <cell r="O411">
            <v>7101</v>
          </cell>
          <cell r="AC411" t="str">
            <v>1405/02/19</v>
          </cell>
          <cell r="AD411" t="str">
            <v>8:00الی18:00</v>
          </cell>
          <cell r="AF411">
            <v>9</v>
          </cell>
        </row>
        <row r="412">
          <cell r="D412" t="str">
            <v>قیطاسوند</v>
          </cell>
          <cell r="N412" t="str">
            <v xml:space="preserve">فرز </v>
          </cell>
          <cell r="O412">
            <v>7102</v>
          </cell>
          <cell r="AC412" t="str">
            <v>1405/02/19</v>
          </cell>
          <cell r="AD412" t="str">
            <v>7:00الی11:30</v>
          </cell>
          <cell r="AF412">
            <v>4</v>
          </cell>
        </row>
        <row r="413">
          <cell r="D413" t="str">
            <v>فراهی</v>
          </cell>
          <cell r="N413" t="str">
            <v xml:space="preserve">فرز </v>
          </cell>
          <cell r="O413">
            <v>7103</v>
          </cell>
          <cell r="AC413" t="str">
            <v>1405/02/19</v>
          </cell>
          <cell r="AD413" t="str">
            <v>11:30الی12:30</v>
          </cell>
          <cell r="AF413">
            <v>1</v>
          </cell>
        </row>
        <row r="414">
          <cell r="D414" t="str">
            <v>فراهی</v>
          </cell>
          <cell r="N414" t="str">
            <v>فرز</v>
          </cell>
          <cell r="O414">
            <v>7103</v>
          </cell>
          <cell r="AC414" t="str">
            <v>1405/02/19</v>
          </cell>
          <cell r="AD414" t="str">
            <v>12:30الی14:00</v>
          </cell>
          <cell r="AF414">
            <v>1.5</v>
          </cell>
        </row>
        <row r="415">
          <cell r="D415" t="str">
            <v>قیطاسوند</v>
          </cell>
          <cell r="N415" t="str">
            <v>فرز</v>
          </cell>
          <cell r="O415">
            <v>7102</v>
          </cell>
          <cell r="AC415" t="str">
            <v>1405/02/19</v>
          </cell>
          <cell r="AD415" t="str">
            <v>6:00الی11:00</v>
          </cell>
          <cell r="AF415">
            <v>4.5</v>
          </cell>
        </row>
        <row r="416">
          <cell r="D416" t="str">
            <v>قیطاسوند</v>
          </cell>
          <cell r="N416" t="str">
            <v>فرز</v>
          </cell>
          <cell r="O416">
            <v>7102</v>
          </cell>
          <cell r="AC416" t="str">
            <v>1405/02/19</v>
          </cell>
          <cell r="AD416" t="str">
            <v>11:00الی18:00</v>
          </cell>
          <cell r="AF416">
            <v>6.5</v>
          </cell>
        </row>
        <row r="417">
          <cell r="D417" t="str">
            <v>کریم پرست</v>
          </cell>
          <cell r="N417" t="str">
            <v>تراش</v>
          </cell>
          <cell r="O417">
            <v>7301</v>
          </cell>
          <cell r="AC417" t="str">
            <v>1405/02/19</v>
          </cell>
          <cell r="AD417" t="str">
            <v>6:00الی18:00</v>
          </cell>
          <cell r="AF417">
            <v>5</v>
          </cell>
        </row>
        <row r="418">
          <cell r="D418" t="str">
            <v>کریم پرست</v>
          </cell>
          <cell r="N418" t="str">
            <v>تراش</v>
          </cell>
          <cell r="O418">
            <v>7301</v>
          </cell>
          <cell r="AC418" t="str">
            <v>1405/02/19</v>
          </cell>
          <cell r="AD418" t="str">
            <v>6:00الی18:00</v>
          </cell>
          <cell r="AF418">
            <v>5</v>
          </cell>
        </row>
        <row r="419">
          <cell r="D419" t="str">
            <v>کریم پرست</v>
          </cell>
          <cell r="N419" t="str">
            <v>تراش</v>
          </cell>
          <cell r="O419">
            <v>7301</v>
          </cell>
          <cell r="AC419" t="str">
            <v>1405/02/19</v>
          </cell>
          <cell r="AD419" t="str">
            <v>6:00الی18:00</v>
          </cell>
          <cell r="AF419">
            <v>1</v>
          </cell>
        </row>
        <row r="420">
          <cell r="D420" t="str">
            <v>کاظمی</v>
          </cell>
          <cell r="N420" t="str">
            <v>CNC</v>
          </cell>
          <cell r="O420">
            <v>7202</v>
          </cell>
          <cell r="AC420" t="str">
            <v>1405/02/19</v>
          </cell>
          <cell r="AD420" t="str">
            <v>6:30الی15:30</v>
          </cell>
          <cell r="AF420">
            <v>8.1666666666666661</v>
          </cell>
        </row>
        <row r="421">
          <cell r="D421" t="str">
            <v>کاظمی</v>
          </cell>
          <cell r="N421" t="str">
            <v>CNC</v>
          </cell>
          <cell r="O421">
            <v>7202</v>
          </cell>
          <cell r="AC421" t="str">
            <v>1405/02/19</v>
          </cell>
          <cell r="AD421" t="str">
            <v>15:30الی18:00</v>
          </cell>
          <cell r="AF421">
            <v>2.5</v>
          </cell>
        </row>
        <row r="422">
          <cell r="D422" t="str">
            <v>یاراحمدی</v>
          </cell>
          <cell r="N422" t="str">
            <v>سنگ زنی</v>
          </cell>
          <cell r="O422">
            <v>7502</v>
          </cell>
          <cell r="AC422" t="str">
            <v>1405/02/19</v>
          </cell>
          <cell r="AD422" t="str">
            <v>6:00الی18:00</v>
          </cell>
          <cell r="AF422">
            <v>6</v>
          </cell>
        </row>
        <row r="423">
          <cell r="D423" t="str">
            <v>یاراحمدی</v>
          </cell>
          <cell r="N423" t="str">
            <v>سنگ زنی</v>
          </cell>
          <cell r="O423">
            <v>7502</v>
          </cell>
          <cell r="AC423" t="str">
            <v>1405/02/19</v>
          </cell>
          <cell r="AD423" t="str">
            <v>6:00الی18:00</v>
          </cell>
          <cell r="AF423">
            <v>3</v>
          </cell>
        </row>
        <row r="424">
          <cell r="D424" t="str">
            <v>یاراحمدی</v>
          </cell>
          <cell r="N424" t="str">
            <v>سنگ زنی</v>
          </cell>
          <cell r="O424">
            <v>7502</v>
          </cell>
          <cell r="AC424" t="str">
            <v>1405/02/19</v>
          </cell>
          <cell r="AD424" t="str">
            <v>6:00الی18:00</v>
          </cell>
          <cell r="AF424">
            <v>2</v>
          </cell>
        </row>
        <row r="425">
          <cell r="D425" t="str">
            <v>هاشم زاده</v>
          </cell>
          <cell r="N425" t="str">
            <v>مونتاژ</v>
          </cell>
          <cell r="O425" t="str">
            <v>دمونتاژ</v>
          </cell>
          <cell r="AC425" t="str">
            <v>1405/02/19</v>
          </cell>
          <cell r="AD425" t="str">
            <v>6:00الی18:00</v>
          </cell>
          <cell r="AF425">
            <v>2</v>
          </cell>
        </row>
        <row r="426">
          <cell r="D426" t="str">
            <v>هاشم زاده</v>
          </cell>
          <cell r="N426" t="str">
            <v>مونتاژ</v>
          </cell>
          <cell r="O426" t="str">
            <v>مونتاژ</v>
          </cell>
          <cell r="AC426" t="str">
            <v>1405/02/19</v>
          </cell>
          <cell r="AD426" t="str">
            <v>6:00الی18:00</v>
          </cell>
          <cell r="AF426">
            <v>4</v>
          </cell>
        </row>
        <row r="427">
          <cell r="D427" t="str">
            <v>هاشم زاده</v>
          </cell>
          <cell r="N427" t="str">
            <v>مونتاژ</v>
          </cell>
          <cell r="O427" t="str">
            <v>دمونتاژ</v>
          </cell>
          <cell r="AC427" t="str">
            <v>1405/02/19</v>
          </cell>
          <cell r="AD427" t="str">
            <v>6:00الی18:00</v>
          </cell>
          <cell r="AF427">
            <v>4</v>
          </cell>
        </row>
        <row r="428">
          <cell r="D428" t="str">
            <v>موسوی</v>
          </cell>
          <cell r="N428" t="str">
            <v>تراش</v>
          </cell>
          <cell r="O428">
            <v>7302</v>
          </cell>
          <cell r="AC428" t="str">
            <v>1405/02/19</v>
          </cell>
          <cell r="AD428" t="str">
            <v>6:00الی18:00</v>
          </cell>
          <cell r="AF428">
            <v>3</v>
          </cell>
        </row>
        <row r="429">
          <cell r="D429" t="str">
            <v>موسوی</v>
          </cell>
          <cell r="N429" t="str">
            <v>تراش</v>
          </cell>
          <cell r="O429">
            <v>7302</v>
          </cell>
          <cell r="AC429" t="str">
            <v>1405/02/19</v>
          </cell>
          <cell r="AD429" t="str">
            <v>6:00الی18:00</v>
          </cell>
          <cell r="AF429">
            <v>2</v>
          </cell>
        </row>
        <row r="430">
          <cell r="D430" t="str">
            <v>موسوی</v>
          </cell>
          <cell r="N430" t="str">
            <v>تراش</v>
          </cell>
          <cell r="O430">
            <v>7302</v>
          </cell>
          <cell r="AC430" t="str">
            <v>1405/02/19</v>
          </cell>
          <cell r="AD430" t="str">
            <v>6:00الی18:00</v>
          </cell>
          <cell r="AF430">
            <v>2</v>
          </cell>
        </row>
        <row r="431">
          <cell r="D431" t="str">
            <v>موسوی</v>
          </cell>
          <cell r="N431" t="str">
            <v>تراش</v>
          </cell>
          <cell r="O431">
            <v>7302</v>
          </cell>
          <cell r="AC431" t="str">
            <v>1405/02/19</v>
          </cell>
          <cell r="AD431" t="str">
            <v>6:00الی18:00</v>
          </cell>
          <cell r="AF431">
            <v>2</v>
          </cell>
        </row>
        <row r="432">
          <cell r="D432" t="str">
            <v>خیرخواه</v>
          </cell>
          <cell r="N432" t="str">
            <v>دریل رادیال</v>
          </cell>
          <cell r="O432">
            <v>7401</v>
          </cell>
          <cell r="AC432" t="str">
            <v>1405/02/19</v>
          </cell>
          <cell r="AD432" t="str">
            <v>6:00الی18:00</v>
          </cell>
          <cell r="AF432">
            <v>1</v>
          </cell>
        </row>
        <row r="433">
          <cell r="D433" t="str">
            <v>خیرخواه</v>
          </cell>
          <cell r="N433" t="str">
            <v>مونتاژ</v>
          </cell>
          <cell r="O433" t="str">
            <v>دمونتاژ</v>
          </cell>
          <cell r="AC433" t="str">
            <v>1405/02/19</v>
          </cell>
          <cell r="AD433" t="str">
            <v>6:00الی18:00</v>
          </cell>
          <cell r="AF433">
            <v>1</v>
          </cell>
        </row>
        <row r="434">
          <cell r="D434" t="str">
            <v>خیرخواه</v>
          </cell>
          <cell r="N434" t="str">
            <v>مونتاژ</v>
          </cell>
          <cell r="O434" t="str">
            <v>دمونتاژ</v>
          </cell>
          <cell r="AC434" t="str">
            <v>1405/02/19</v>
          </cell>
          <cell r="AD434" t="str">
            <v>6:00الی18:00</v>
          </cell>
          <cell r="AF434">
            <v>4</v>
          </cell>
        </row>
        <row r="435">
          <cell r="D435" t="str">
            <v>خیرخواه</v>
          </cell>
          <cell r="N435" t="str">
            <v>دریل رادیال</v>
          </cell>
          <cell r="O435">
            <v>7401</v>
          </cell>
          <cell r="AC435" t="str">
            <v>1405/02/19</v>
          </cell>
          <cell r="AD435" t="str">
            <v>6:00الی18:00</v>
          </cell>
          <cell r="AF435">
            <v>1</v>
          </cell>
        </row>
        <row r="436">
          <cell r="D436" t="str">
            <v>خیرخواه</v>
          </cell>
          <cell r="N436" t="str">
            <v>دریل رادیال</v>
          </cell>
          <cell r="O436">
            <v>7401</v>
          </cell>
          <cell r="AC436" t="str">
            <v>1405/02/19</v>
          </cell>
          <cell r="AD436" t="str">
            <v>6:00الی18:00</v>
          </cell>
          <cell r="AF436">
            <v>1</v>
          </cell>
        </row>
        <row r="437">
          <cell r="D437" t="str">
            <v>خیرخواه</v>
          </cell>
          <cell r="N437" t="str">
            <v>مونتاژ</v>
          </cell>
          <cell r="O437" t="str">
            <v>دمونتاژ</v>
          </cell>
          <cell r="AC437" t="str">
            <v>1405/02/19</v>
          </cell>
          <cell r="AD437" t="str">
            <v>6:00الی18:00</v>
          </cell>
          <cell r="AF437">
            <v>1</v>
          </cell>
        </row>
        <row r="438">
          <cell r="D438" t="str">
            <v>صلواتی</v>
          </cell>
          <cell r="N438" t="str">
            <v>وایر</v>
          </cell>
          <cell r="O438">
            <v>7601</v>
          </cell>
          <cell r="AC438" t="str">
            <v>1405/02/19</v>
          </cell>
          <cell r="AD438" t="str">
            <v>6:00الی18:00</v>
          </cell>
          <cell r="AF438">
            <v>11</v>
          </cell>
        </row>
        <row r="439">
          <cell r="D439" t="str">
            <v>صلواتی</v>
          </cell>
          <cell r="N439" t="str">
            <v>وایر</v>
          </cell>
          <cell r="O439">
            <v>7602</v>
          </cell>
          <cell r="AC439" t="str">
            <v>1405/02/19</v>
          </cell>
          <cell r="AD439" t="str">
            <v>6:00الی18:00</v>
          </cell>
          <cell r="AF439">
            <v>11</v>
          </cell>
        </row>
        <row r="440">
          <cell r="D440" t="str">
            <v>صلواتی</v>
          </cell>
          <cell r="N440" t="str">
            <v>وایر</v>
          </cell>
          <cell r="O440">
            <v>7605</v>
          </cell>
          <cell r="AC440" t="str">
            <v>1405/02/19</v>
          </cell>
          <cell r="AD440" t="str">
            <v>6:00الی18:00</v>
          </cell>
          <cell r="AF440">
            <v>11</v>
          </cell>
        </row>
        <row r="441">
          <cell r="D441" t="str">
            <v>صلواتی</v>
          </cell>
          <cell r="N441" t="str">
            <v>وایر</v>
          </cell>
          <cell r="O441">
            <v>7603</v>
          </cell>
          <cell r="AC441" t="str">
            <v>1405/02/19</v>
          </cell>
          <cell r="AD441" t="str">
            <v>6:00الی8:00</v>
          </cell>
          <cell r="AF441">
            <v>2</v>
          </cell>
        </row>
        <row r="442">
          <cell r="D442" t="str">
            <v>صلواتی</v>
          </cell>
          <cell r="N442" t="str">
            <v>وایر</v>
          </cell>
          <cell r="O442">
            <v>7603</v>
          </cell>
          <cell r="AC442" t="str">
            <v>1405/02/19</v>
          </cell>
          <cell r="AD442" t="str">
            <v>8:00الی11:00</v>
          </cell>
          <cell r="AF442">
            <v>2</v>
          </cell>
        </row>
        <row r="443">
          <cell r="D443" t="str">
            <v>صلواتی</v>
          </cell>
          <cell r="N443" t="str">
            <v>وایر</v>
          </cell>
          <cell r="O443">
            <v>7603</v>
          </cell>
          <cell r="AC443" t="str">
            <v>1405/02/19</v>
          </cell>
          <cell r="AD443" t="str">
            <v>11:00الی12:00</v>
          </cell>
          <cell r="AF443">
            <v>1</v>
          </cell>
        </row>
        <row r="444">
          <cell r="D444" t="str">
            <v>صلواتی</v>
          </cell>
          <cell r="N444" t="str">
            <v>وایر</v>
          </cell>
          <cell r="O444">
            <v>7603</v>
          </cell>
          <cell r="AC444" t="str">
            <v>1405/02/19</v>
          </cell>
          <cell r="AD444" t="str">
            <v>12:00الی18:00</v>
          </cell>
          <cell r="AF444">
            <v>6</v>
          </cell>
        </row>
        <row r="445">
          <cell r="D445" t="str">
            <v>کاظمی</v>
          </cell>
          <cell r="N445" t="str">
            <v>CNC</v>
          </cell>
          <cell r="O445">
            <v>7202</v>
          </cell>
          <cell r="AC445" t="str">
            <v>1405/02/20</v>
          </cell>
          <cell r="AD445" t="str">
            <v>6:00الی14:00</v>
          </cell>
          <cell r="AF445">
            <v>7.5</v>
          </cell>
        </row>
        <row r="446">
          <cell r="D446" t="str">
            <v>فراهی</v>
          </cell>
          <cell r="N446" t="str">
            <v>فرز</v>
          </cell>
          <cell r="O446">
            <v>7103</v>
          </cell>
          <cell r="AC446" t="str">
            <v>1405/02/20</v>
          </cell>
          <cell r="AD446" t="str">
            <v>7:00الی13:50</v>
          </cell>
          <cell r="AF446">
            <v>6.333333333333333</v>
          </cell>
        </row>
        <row r="447">
          <cell r="D447" t="str">
            <v>یاراحمدی</v>
          </cell>
          <cell r="N447" t="str">
            <v>سنگ زنی</v>
          </cell>
          <cell r="O447">
            <v>7502</v>
          </cell>
          <cell r="AC447" t="str">
            <v>1405/02/20</v>
          </cell>
          <cell r="AD447" t="str">
            <v>6:00الی16:00</v>
          </cell>
          <cell r="AF447">
            <v>9</v>
          </cell>
        </row>
        <row r="448">
          <cell r="D448" t="str">
            <v>قیطاسوند</v>
          </cell>
          <cell r="N448" t="str">
            <v>فرز</v>
          </cell>
          <cell r="O448">
            <v>7102</v>
          </cell>
          <cell r="AC448" t="str">
            <v>1405/02/20</v>
          </cell>
          <cell r="AD448" t="str">
            <v>6:00الی12:00</v>
          </cell>
          <cell r="AF448">
            <v>5.5</v>
          </cell>
        </row>
        <row r="449">
          <cell r="D449" t="str">
            <v>قیطاسوند</v>
          </cell>
          <cell r="N449" t="str">
            <v>فرز</v>
          </cell>
          <cell r="O449">
            <v>7102</v>
          </cell>
          <cell r="AC449" t="str">
            <v>1405/02/20</v>
          </cell>
          <cell r="AD449" t="str">
            <v>12:00الی18:00</v>
          </cell>
          <cell r="AF449">
            <v>5.5</v>
          </cell>
        </row>
        <row r="450">
          <cell r="D450" t="str">
            <v>موسوی</v>
          </cell>
          <cell r="N450" t="str">
            <v>تراش</v>
          </cell>
          <cell r="O450">
            <v>7302</v>
          </cell>
          <cell r="AC450" t="str">
            <v>1405/02/20</v>
          </cell>
          <cell r="AD450" t="str">
            <v>6:00الی18:00</v>
          </cell>
          <cell r="AF450">
            <v>8</v>
          </cell>
        </row>
        <row r="451">
          <cell r="D451" t="str">
            <v>موسوی</v>
          </cell>
          <cell r="N451" t="str">
            <v>تراش</v>
          </cell>
          <cell r="O451">
            <v>7302</v>
          </cell>
          <cell r="AC451" t="str">
            <v>1405/02/20</v>
          </cell>
          <cell r="AD451" t="str">
            <v>6:00الی18:00</v>
          </cell>
          <cell r="AF451">
            <v>3</v>
          </cell>
        </row>
        <row r="452">
          <cell r="D452" t="str">
            <v>زیلویی</v>
          </cell>
          <cell r="N452" t="str">
            <v>CNC</v>
          </cell>
          <cell r="O452">
            <v>7203</v>
          </cell>
          <cell r="AC452" t="str">
            <v>1405/02/19</v>
          </cell>
          <cell r="AD452" t="str">
            <v>6:00الی18:00</v>
          </cell>
          <cell r="AF452">
            <v>11</v>
          </cell>
        </row>
        <row r="453">
          <cell r="D453" t="str">
            <v>زیلویی</v>
          </cell>
          <cell r="N453" t="str">
            <v>CNC</v>
          </cell>
          <cell r="O453">
            <v>7203</v>
          </cell>
          <cell r="AC453" t="str">
            <v>1405/02/20</v>
          </cell>
          <cell r="AD453" t="str">
            <v>6:00الی12:00</v>
          </cell>
          <cell r="AF453">
            <v>5.5</v>
          </cell>
        </row>
        <row r="454">
          <cell r="D454" t="str">
            <v>زیلویی</v>
          </cell>
          <cell r="N454" t="str">
            <v>CNC</v>
          </cell>
          <cell r="O454">
            <v>7203</v>
          </cell>
          <cell r="AC454" t="str">
            <v>1405/02/20</v>
          </cell>
          <cell r="AD454" t="str">
            <v>12:00الی18:00</v>
          </cell>
          <cell r="AF454">
            <v>5.5</v>
          </cell>
        </row>
        <row r="455">
          <cell r="D455" t="str">
            <v>زیلویی</v>
          </cell>
          <cell r="N455" t="str">
            <v>CNC</v>
          </cell>
          <cell r="O455">
            <v>7204</v>
          </cell>
          <cell r="AC455" t="str">
            <v>1405/02/20</v>
          </cell>
          <cell r="AD455" t="str">
            <v>12:00الی18:00</v>
          </cell>
          <cell r="AF455">
            <v>5.5</v>
          </cell>
        </row>
        <row r="456">
          <cell r="D456" t="str">
            <v>صحرایی</v>
          </cell>
          <cell r="N456" t="str">
            <v>تراش</v>
          </cell>
          <cell r="O456">
            <v>7303</v>
          </cell>
          <cell r="AC456" t="str">
            <v>1405/02/19</v>
          </cell>
          <cell r="AD456" t="str">
            <v>8:00الی14:00</v>
          </cell>
          <cell r="AF456">
            <v>5.5</v>
          </cell>
        </row>
        <row r="457">
          <cell r="D457" t="str">
            <v>صحرایی</v>
          </cell>
          <cell r="N457" t="str">
            <v>سری تراش</v>
          </cell>
          <cell r="O457">
            <v>8002</v>
          </cell>
          <cell r="AC457" t="str">
            <v>1405/02/19</v>
          </cell>
          <cell r="AD457" t="str">
            <v>6:00الی14:00</v>
          </cell>
          <cell r="AF457">
            <v>7.5</v>
          </cell>
        </row>
        <row r="458">
          <cell r="D458" t="str">
            <v>صحرایی</v>
          </cell>
          <cell r="N458" t="str">
            <v>تراش</v>
          </cell>
          <cell r="O458">
            <v>7303</v>
          </cell>
          <cell r="AC458" t="str">
            <v>1405/02/20</v>
          </cell>
          <cell r="AD458" t="str">
            <v>6:00الی14:00</v>
          </cell>
          <cell r="AF458">
            <v>3.5</v>
          </cell>
        </row>
        <row r="459">
          <cell r="D459" t="str">
            <v>صحرایی</v>
          </cell>
          <cell r="N459" t="str">
            <v>سری تراش</v>
          </cell>
          <cell r="O459">
            <v>8002</v>
          </cell>
          <cell r="AC459" t="str">
            <v>1405/02/20</v>
          </cell>
          <cell r="AD459" t="str">
            <v>6:00الی14:00</v>
          </cell>
          <cell r="AF459">
            <v>3.5</v>
          </cell>
        </row>
        <row r="460">
          <cell r="D460" t="str">
            <v>کریم پرست</v>
          </cell>
          <cell r="N460" t="str">
            <v>تراش</v>
          </cell>
          <cell r="O460">
            <v>7301</v>
          </cell>
          <cell r="AC460" t="str">
            <v>1405/02/20</v>
          </cell>
          <cell r="AD460" t="str">
            <v>6:00الی18:00</v>
          </cell>
          <cell r="AF460">
            <v>2</v>
          </cell>
        </row>
        <row r="461">
          <cell r="D461" t="str">
            <v>کریم پرست</v>
          </cell>
          <cell r="N461" t="str">
            <v>تراش</v>
          </cell>
          <cell r="O461">
            <v>7301</v>
          </cell>
          <cell r="AC461" t="str">
            <v>1405/02/20</v>
          </cell>
          <cell r="AD461" t="str">
            <v>6:00الی18:00</v>
          </cell>
          <cell r="AF461">
            <v>1.5</v>
          </cell>
        </row>
        <row r="462">
          <cell r="D462" t="str">
            <v>کریم پرست</v>
          </cell>
          <cell r="N462" t="str">
            <v>تراش</v>
          </cell>
          <cell r="O462">
            <v>7301</v>
          </cell>
          <cell r="AC462" t="str">
            <v>1405/02/20</v>
          </cell>
          <cell r="AD462" t="str">
            <v>6:00الی18:00</v>
          </cell>
          <cell r="AF462">
            <v>1.5</v>
          </cell>
        </row>
        <row r="463">
          <cell r="D463" t="str">
            <v>کریم پرست</v>
          </cell>
          <cell r="N463" t="str">
            <v>تراش</v>
          </cell>
          <cell r="O463">
            <v>7301</v>
          </cell>
          <cell r="AC463" t="str">
            <v>1405/02/20</v>
          </cell>
          <cell r="AD463" t="str">
            <v>6:00الی18:00</v>
          </cell>
          <cell r="AF463">
            <v>1.5</v>
          </cell>
        </row>
        <row r="464">
          <cell r="D464" t="str">
            <v>کریم پرست</v>
          </cell>
          <cell r="N464" t="str">
            <v>تراش</v>
          </cell>
          <cell r="O464">
            <v>7301</v>
          </cell>
          <cell r="AC464" t="str">
            <v>1405/02/20</v>
          </cell>
          <cell r="AD464" t="str">
            <v>6:00الی18:00</v>
          </cell>
          <cell r="AF464">
            <v>2</v>
          </cell>
        </row>
        <row r="465">
          <cell r="D465" t="str">
            <v>کریم پرست</v>
          </cell>
          <cell r="N465" t="str">
            <v>تراش</v>
          </cell>
          <cell r="O465">
            <v>7301</v>
          </cell>
          <cell r="AC465" t="str">
            <v>1405/02/20</v>
          </cell>
          <cell r="AD465" t="str">
            <v>6:00الی18:00</v>
          </cell>
          <cell r="AF465">
            <v>2</v>
          </cell>
        </row>
        <row r="466">
          <cell r="D466" t="str">
            <v>هاشم زاده</v>
          </cell>
          <cell r="N466" t="str">
            <v>مونتاژ</v>
          </cell>
          <cell r="O466" t="str">
            <v>مونتاژ</v>
          </cell>
          <cell r="AC466" t="str">
            <v>1405/02/20</v>
          </cell>
          <cell r="AD466" t="str">
            <v>6:00الی18:00</v>
          </cell>
          <cell r="AF466">
            <v>1</v>
          </cell>
        </row>
        <row r="467">
          <cell r="D467" t="str">
            <v>هاشم زاده</v>
          </cell>
          <cell r="N467" t="str">
            <v>مونتاژ</v>
          </cell>
          <cell r="O467" t="str">
            <v>مونتاژ</v>
          </cell>
          <cell r="AC467" t="str">
            <v>1405/02/20</v>
          </cell>
          <cell r="AD467" t="str">
            <v>6:00الی18:00</v>
          </cell>
          <cell r="AF467">
            <v>2</v>
          </cell>
        </row>
        <row r="468">
          <cell r="D468" t="str">
            <v>هاشم زاده</v>
          </cell>
          <cell r="N468" t="str">
            <v>مونتاژ</v>
          </cell>
          <cell r="O468" t="str">
            <v>مونتاژ</v>
          </cell>
          <cell r="AC468" t="str">
            <v>1405/02/20</v>
          </cell>
          <cell r="AD468" t="str">
            <v>6:00الی18:00</v>
          </cell>
          <cell r="AF468">
            <v>2</v>
          </cell>
        </row>
        <row r="469">
          <cell r="D469" t="str">
            <v>هاشم زاده</v>
          </cell>
          <cell r="N469" t="str">
            <v>سنگ زنی</v>
          </cell>
          <cell r="O469">
            <v>7502</v>
          </cell>
          <cell r="AC469" t="str">
            <v>1405/02/20</v>
          </cell>
          <cell r="AD469" t="str">
            <v>6:00الی18:00</v>
          </cell>
          <cell r="AF469">
            <v>3</v>
          </cell>
        </row>
        <row r="470">
          <cell r="D470" t="str">
            <v>هاشم زاده</v>
          </cell>
          <cell r="N470" t="str">
            <v>مونتاژ</v>
          </cell>
          <cell r="O470" t="str">
            <v>دمونتاژ</v>
          </cell>
          <cell r="AC470" t="str">
            <v>1405/02/20</v>
          </cell>
          <cell r="AD470" t="str">
            <v>6:00الی18:00</v>
          </cell>
          <cell r="AF470">
            <v>2</v>
          </cell>
        </row>
        <row r="471">
          <cell r="D471" t="str">
            <v>خیرخواه</v>
          </cell>
          <cell r="N471" t="str">
            <v>مونتاژ</v>
          </cell>
          <cell r="O471" t="str">
            <v>مونتاژ</v>
          </cell>
          <cell r="AC471" t="str">
            <v>1405/02/20</v>
          </cell>
          <cell r="AD471" t="str">
            <v>6:00الی18:00</v>
          </cell>
          <cell r="AF471">
            <v>2</v>
          </cell>
        </row>
        <row r="472">
          <cell r="D472" t="str">
            <v>خیرخواه</v>
          </cell>
          <cell r="N472" t="str">
            <v>مونتاژ</v>
          </cell>
          <cell r="O472" t="str">
            <v>مونتاژ</v>
          </cell>
          <cell r="AC472" t="str">
            <v>1405/02/20</v>
          </cell>
          <cell r="AD472" t="str">
            <v>6:00الی18:00</v>
          </cell>
          <cell r="AF472">
            <v>2</v>
          </cell>
        </row>
        <row r="473">
          <cell r="D473" t="str">
            <v>خیرخواه</v>
          </cell>
          <cell r="N473" t="str">
            <v>دریل رادیال</v>
          </cell>
          <cell r="O473">
            <v>7401</v>
          </cell>
          <cell r="AC473" t="str">
            <v>1405/02/20</v>
          </cell>
          <cell r="AD473" t="str">
            <v>6:00الی18:00</v>
          </cell>
          <cell r="AF473">
            <v>1.5</v>
          </cell>
        </row>
        <row r="474">
          <cell r="D474" t="str">
            <v>خیرخواه</v>
          </cell>
          <cell r="N474" t="str">
            <v>دریل رادیال</v>
          </cell>
          <cell r="O474">
            <v>7401</v>
          </cell>
          <cell r="AC474" t="str">
            <v>1405/02/20</v>
          </cell>
          <cell r="AD474" t="str">
            <v>6:00الی18:00</v>
          </cell>
          <cell r="AF474">
            <v>1</v>
          </cell>
        </row>
        <row r="475">
          <cell r="D475" t="str">
            <v>خیرخواه</v>
          </cell>
          <cell r="N475" t="str">
            <v>مونتاژ</v>
          </cell>
          <cell r="O475" t="str">
            <v>مونتاژ</v>
          </cell>
          <cell r="AC475" t="str">
            <v>1405/02/20</v>
          </cell>
          <cell r="AD475" t="str">
            <v>6:00الی18:00</v>
          </cell>
          <cell r="AF475">
            <v>1</v>
          </cell>
        </row>
        <row r="476">
          <cell r="D476" t="str">
            <v>خیرخواه</v>
          </cell>
          <cell r="N476" t="str">
            <v>دریل رادیال</v>
          </cell>
          <cell r="O476">
            <v>7401</v>
          </cell>
          <cell r="AC476" t="str">
            <v>1405/02/20</v>
          </cell>
          <cell r="AD476" t="str">
            <v>6:00الی18:00</v>
          </cell>
          <cell r="AF476">
            <v>1</v>
          </cell>
        </row>
        <row r="477">
          <cell r="D477" t="str">
            <v>صلواتی</v>
          </cell>
          <cell r="N477" t="str">
            <v>وایر</v>
          </cell>
          <cell r="O477">
            <v>7601</v>
          </cell>
          <cell r="AC477" t="str">
            <v>1405/02/20</v>
          </cell>
          <cell r="AD477" t="str">
            <v>6:00الی18:00</v>
          </cell>
          <cell r="AF477">
            <v>12</v>
          </cell>
        </row>
        <row r="478">
          <cell r="D478" t="str">
            <v>صلواتی</v>
          </cell>
          <cell r="N478" t="str">
            <v>وایر</v>
          </cell>
          <cell r="O478">
            <v>7602</v>
          </cell>
          <cell r="AC478" t="str">
            <v>1405/02/20</v>
          </cell>
          <cell r="AD478" t="str">
            <v>6:00الی18:00</v>
          </cell>
          <cell r="AF478">
            <v>12</v>
          </cell>
        </row>
        <row r="479">
          <cell r="D479" t="str">
            <v>صلواتی</v>
          </cell>
          <cell r="N479" t="str">
            <v>وایر</v>
          </cell>
          <cell r="O479">
            <v>7605</v>
          </cell>
          <cell r="AC479" t="str">
            <v>1405/02/20</v>
          </cell>
          <cell r="AD479" t="str">
            <v>6:00الی18:00</v>
          </cell>
          <cell r="AF479">
            <v>12</v>
          </cell>
        </row>
        <row r="480">
          <cell r="D480" t="str">
            <v>صلواتی</v>
          </cell>
          <cell r="N480" t="str">
            <v>وایر</v>
          </cell>
          <cell r="O480">
            <v>7603</v>
          </cell>
          <cell r="AC480" t="str">
            <v>1405/02/20</v>
          </cell>
          <cell r="AD480" t="str">
            <v>6:00الی14:00</v>
          </cell>
          <cell r="AF480">
            <v>8</v>
          </cell>
        </row>
        <row r="481">
          <cell r="D481" t="str">
            <v>صلواتی</v>
          </cell>
          <cell r="N481" t="str">
            <v>وایر</v>
          </cell>
          <cell r="O481">
            <v>7603</v>
          </cell>
          <cell r="AC481" t="str">
            <v>1405/02/20</v>
          </cell>
          <cell r="AD481" t="str">
            <v>14:00الی18:00</v>
          </cell>
          <cell r="AF481">
            <v>4</v>
          </cell>
        </row>
        <row r="482">
          <cell r="D482" t="str">
            <v>کریم پرست</v>
          </cell>
          <cell r="N482" t="str">
            <v>تراش</v>
          </cell>
          <cell r="O482">
            <v>7301</v>
          </cell>
          <cell r="AC482" t="str">
            <v>1405/02/21</v>
          </cell>
          <cell r="AD482" t="str">
            <v>6:00الی18:00</v>
          </cell>
          <cell r="AF482">
            <v>3.6666666666666665</v>
          </cell>
        </row>
        <row r="483">
          <cell r="D483" t="str">
            <v>کریم پرست</v>
          </cell>
          <cell r="N483" t="str">
            <v>تراش</v>
          </cell>
          <cell r="O483">
            <v>7301</v>
          </cell>
          <cell r="AC483" t="str">
            <v>1405/02/21</v>
          </cell>
          <cell r="AD483" t="str">
            <v>6:00الی18:00</v>
          </cell>
          <cell r="AF483">
            <v>3.6666666666666665</v>
          </cell>
        </row>
        <row r="484">
          <cell r="D484" t="str">
            <v>کریم پرست</v>
          </cell>
          <cell r="N484" t="str">
            <v>تراش</v>
          </cell>
          <cell r="O484">
            <v>7301</v>
          </cell>
          <cell r="AC484" t="str">
            <v>1405/02/21</v>
          </cell>
          <cell r="AD484" t="str">
            <v>6:00الی18:00</v>
          </cell>
          <cell r="AF484">
            <v>3.6666666666666665</v>
          </cell>
        </row>
        <row r="485">
          <cell r="D485" t="str">
            <v>کاظمی</v>
          </cell>
          <cell r="N485" t="str">
            <v>CNC</v>
          </cell>
          <cell r="O485">
            <v>7202</v>
          </cell>
          <cell r="AC485" t="str">
            <v>1405/02/21</v>
          </cell>
          <cell r="AD485" t="str">
            <v>6:30الی13:00</v>
          </cell>
          <cell r="AF485">
            <v>6</v>
          </cell>
        </row>
        <row r="486">
          <cell r="D486" t="str">
            <v>کاظمی</v>
          </cell>
          <cell r="N486" t="str">
            <v>CNC</v>
          </cell>
          <cell r="O486">
            <v>7202</v>
          </cell>
          <cell r="AC486" t="str">
            <v>1405/02/21</v>
          </cell>
          <cell r="AD486" t="str">
            <v>13:00الی18:00</v>
          </cell>
          <cell r="AF486">
            <v>4.5</v>
          </cell>
        </row>
        <row r="487">
          <cell r="D487" t="str">
            <v>زیلویی</v>
          </cell>
          <cell r="N487" t="str">
            <v>CNC</v>
          </cell>
          <cell r="O487">
            <v>7203</v>
          </cell>
          <cell r="AC487" t="str">
            <v>1405/02/21</v>
          </cell>
          <cell r="AD487" t="str">
            <v>6:00الی9:00</v>
          </cell>
          <cell r="AF487">
            <v>2.5</v>
          </cell>
        </row>
        <row r="488">
          <cell r="D488" t="str">
            <v>زیلویی</v>
          </cell>
          <cell r="N488" t="str">
            <v>CNC</v>
          </cell>
          <cell r="O488">
            <v>7203</v>
          </cell>
          <cell r="AC488" t="str">
            <v>1405/02/21</v>
          </cell>
          <cell r="AD488" t="str">
            <v>12:40الی18:00</v>
          </cell>
          <cell r="AF488">
            <v>4.833333333333333</v>
          </cell>
        </row>
        <row r="489">
          <cell r="D489" t="str">
            <v>حیدری</v>
          </cell>
          <cell r="N489" t="str">
            <v>فرز</v>
          </cell>
          <cell r="O489">
            <v>7101</v>
          </cell>
          <cell r="AC489" t="str">
            <v>1405/02/21</v>
          </cell>
          <cell r="AD489" t="str">
            <v>6:00الی10:00</v>
          </cell>
          <cell r="AF489">
            <v>3.5</v>
          </cell>
        </row>
        <row r="490">
          <cell r="D490" t="str">
            <v>حیدری</v>
          </cell>
          <cell r="N490" t="str">
            <v>فرز</v>
          </cell>
          <cell r="O490">
            <v>7101</v>
          </cell>
          <cell r="AC490" t="str">
            <v>1405/02/21</v>
          </cell>
          <cell r="AD490" t="str">
            <v>10:00الی17:00</v>
          </cell>
          <cell r="AF490">
            <v>6.5</v>
          </cell>
        </row>
        <row r="491">
          <cell r="D491" t="str">
            <v>قیطاسوند</v>
          </cell>
          <cell r="N491" t="str">
            <v>فرز</v>
          </cell>
          <cell r="O491">
            <v>7102</v>
          </cell>
          <cell r="AC491" t="str">
            <v>1405/02/21</v>
          </cell>
          <cell r="AD491" t="str">
            <v>6:00الی11:00</v>
          </cell>
          <cell r="AF491">
            <v>4.5</v>
          </cell>
        </row>
        <row r="492">
          <cell r="D492" t="str">
            <v>قیطاسوند</v>
          </cell>
          <cell r="N492" t="str">
            <v>فرز</v>
          </cell>
          <cell r="O492">
            <v>7102</v>
          </cell>
          <cell r="AC492" t="str">
            <v>1405/02/21</v>
          </cell>
          <cell r="AD492" t="str">
            <v>11:00الی18:00</v>
          </cell>
          <cell r="AF492">
            <v>6.5</v>
          </cell>
        </row>
        <row r="493">
          <cell r="D493" t="str">
            <v>فراهی</v>
          </cell>
          <cell r="N493" t="str">
            <v>فرز</v>
          </cell>
          <cell r="O493">
            <v>7103</v>
          </cell>
          <cell r="AC493" t="str">
            <v>1405/02/21</v>
          </cell>
          <cell r="AD493" t="str">
            <v>7:00الی13:50</v>
          </cell>
          <cell r="AF493">
            <v>6.333333333333333</v>
          </cell>
        </row>
        <row r="494">
          <cell r="D494" t="str">
            <v>موسوی</v>
          </cell>
          <cell r="N494" t="str">
            <v>تراش</v>
          </cell>
          <cell r="O494">
            <v>7302</v>
          </cell>
          <cell r="AC494" t="str">
            <v>1405/02/21</v>
          </cell>
          <cell r="AD494" t="str">
            <v>6:00الی18:00</v>
          </cell>
          <cell r="AF494">
            <v>2</v>
          </cell>
        </row>
        <row r="495">
          <cell r="D495" t="str">
            <v>موسوی</v>
          </cell>
          <cell r="N495" t="str">
            <v>تراش</v>
          </cell>
          <cell r="O495">
            <v>7302</v>
          </cell>
          <cell r="AC495" t="str">
            <v>1405/02/21</v>
          </cell>
          <cell r="AD495" t="str">
            <v>6:00الی18:00</v>
          </cell>
          <cell r="AF495">
            <v>8</v>
          </cell>
        </row>
        <row r="496">
          <cell r="D496" t="str">
            <v>حیدری</v>
          </cell>
          <cell r="N496" t="str">
            <v>فرز</v>
          </cell>
          <cell r="O496">
            <v>7101</v>
          </cell>
          <cell r="AC496" t="str">
            <v>1405/02/21</v>
          </cell>
          <cell r="AD496" t="str">
            <v>6:00الی10:00</v>
          </cell>
          <cell r="AF496">
            <v>3.5</v>
          </cell>
        </row>
        <row r="497">
          <cell r="D497" t="str">
            <v>حیدری</v>
          </cell>
          <cell r="N497" t="str">
            <v>فرز</v>
          </cell>
          <cell r="O497">
            <v>7101</v>
          </cell>
          <cell r="AC497" t="str">
            <v>1405/02/21</v>
          </cell>
          <cell r="AD497" t="str">
            <v>10:00الی15:00</v>
          </cell>
          <cell r="AF497">
            <v>4.5</v>
          </cell>
        </row>
        <row r="498">
          <cell r="D498" t="str">
            <v>خیرخواه</v>
          </cell>
          <cell r="N498" t="str">
            <v>مونتاژ</v>
          </cell>
          <cell r="O498" t="str">
            <v>مونتاژ</v>
          </cell>
          <cell r="AC498" t="str">
            <v>1405/02/21</v>
          </cell>
          <cell r="AD498" t="str">
            <v>6:00الی18:00</v>
          </cell>
          <cell r="AF498">
            <v>3</v>
          </cell>
        </row>
        <row r="499">
          <cell r="D499" t="str">
            <v>خیرخواه</v>
          </cell>
          <cell r="N499" t="str">
            <v>دریل رادیال</v>
          </cell>
          <cell r="O499">
            <v>7401</v>
          </cell>
          <cell r="AC499" t="str">
            <v>1405/02/21</v>
          </cell>
          <cell r="AD499" t="str">
            <v>6:00الی18:00</v>
          </cell>
          <cell r="AF499">
            <v>2</v>
          </cell>
        </row>
        <row r="500">
          <cell r="D500" t="str">
            <v>خیرخواه</v>
          </cell>
          <cell r="N500" t="str">
            <v>مونتاژ</v>
          </cell>
          <cell r="O500" t="str">
            <v>مونتاژ</v>
          </cell>
          <cell r="AC500" t="str">
            <v>1405/02/21</v>
          </cell>
          <cell r="AD500" t="str">
            <v>6:00الی18:00</v>
          </cell>
          <cell r="AF500">
            <v>6</v>
          </cell>
        </row>
        <row r="501">
          <cell r="D501" t="str">
            <v>یاراحمدی</v>
          </cell>
          <cell r="N501" t="str">
            <v>سنگ زنی</v>
          </cell>
          <cell r="O501">
            <v>7502</v>
          </cell>
          <cell r="AC501" t="str">
            <v>1405/02/21</v>
          </cell>
          <cell r="AD501" t="str">
            <v>6:00الی18:00</v>
          </cell>
          <cell r="AF501">
            <v>5</v>
          </cell>
        </row>
        <row r="502">
          <cell r="D502" t="str">
            <v>یاراحمدی</v>
          </cell>
          <cell r="N502" t="str">
            <v>سنگ زنی</v>
          </cell>
          <cell r="O502">
            <v>7502</v>
          </cell>
          <cell r="AC502" t="str">
            <v>1405/02/21</v>
          </cell>
          <cell r="AD502" t="str">
            <v>6:00الی18:00</v>
          </cell>
          <cell r="AF502">
            <v>1</v>
          </cell>
        </row>
        <row r="503">
          <cell r="D503" t="str">
            <v>یاراحمدی</v>
          </cell>
          <cell r="N503" t="str">
            <v>سنگ زنی</v>
          </cell>
          <cell r="O503">
            <v>7502</v>
          </cell>
          <cell r="AC503" t="str">
            <v>1405/02/21</v>
          </cell>
          <cell r="AD503" t="str">
            <v>6:00الی18:00</v>
          </cell>
          <cell r="AF503">
            <v>1</v>
          </cell>
        </row>
        <row r="504">
          <cell r="D504" t="str">
            <v>یاراحمدی</v>
          </cell>
          <cell r="N504" t="str">
            <v>سنگ زنی</v>
          </cell>
          <cell r="O504">
            <v>7502</v>
          </cell>
          <cell r="AC504" t="str">
            <v>1405/02/21</v>
          </cell>
          <cell r="AD504" t="str">
            <v>6:00الی18:00</v>
          </cell>
          <cell r="AF504">
            <v>1</v>
          </cell>
        </row>
        <row r="505">
          <cell r="D505" t="str">
            <v>یاراحمدی</v>
          </cell>
          <cell r="N505" t="str">
            <v>سنگ زنی</v>
          </cell>
          <cell r="O505">
            <v>7502</v>
          </cell>
          <cell r="AC505" t="str">
            <v>1405/02/21</v>
          </cell>
          <cell r="AD505" t="str">
            <v>6:00الی18:00</v>
          </cell>
          <cell r="AF505">
            <v>3</v>
          </cell>
        </row>
        <row r="506">
          <cell r="D506" t="str">
            <v>هاشم زاده</v>
          </cell>
          <cell r="N506" t="str">
            <v>مونتاژ</v>
          </cell>
          <cell r="O506" t="str">
            <v>مونتاژ</v>
          </cell>
          <cell r="AC506" t="str">
            <v>1405/02/21</v>
          </cell>
          <cell r="AD506" t="str">
            <v>6:00الی18:00</v>
          </cell>
          <cell r="AF506">
            <v>3</v>
          </cell>
        </row>
        <row r="507">
          <cell r="D507" t="str">
            <v>هاشم زاده</v>
          </cell>
          <cell r="N507" t="str">
            <v>مونتاژ</v>
          </cell>
          <cell r="O507" t="str">
            <v>دمونتاژ</v>
          </cell>
          <cell r="AC507" t="str">
            <v>1405/02/21</v>
          </cell>
          <cell r="AD507" t="str">
            <v>6:00الی18:00</v>
          </cell>
          <cell r="AF507">
            <v>2</v>
          </cell>
        </row>
        <row r="508">
          <cell r="D508" t="str">
            <v>هاشم زاده</v>
          </cell>
          <cell r="N508" t="str">
            <v>مونتاژ</v>
          </cell>
          <cell r="O508" t="str">
            <v>مونتاژ</v>
          </cell>
          <cell r="AC508" t="str">
            <v>1405/02/21</v>
          </cell>
          <cell r="AD508" t="str">
            <v>6:00الی18:00</v>
          </cell>
          <cell r="AF508">
            <v>3</v>
          </cell>
        </row>
        <row r="509">
          <cell r="D509" t="str">
            <v>هاشم زاده</v>
          </cell>
          <cell r="N509" t="str">
            <v>دریل رادیال</v>
          </cell>
          <cell r="O509">
            <v>7401</v>
          </cell>
          <cell r="AC509" t="str">
            <v>1405/02/21</v>
          </cell>
          <cell r="AD509" t="str">
            <v>6:00الی18:00</v>
          </cell>
          <cell r="AF509">
            <v>3</v>
          </cell>
        </row>
        <row r="510">
          <cell r="D510" t="str">
            <v>صلواتی</v>
          </cell>
          <cell r="N510" t="str">
            <v>وایر</v>
          </cell>
          <cell r="O510">
            <v>7605</v>
          </cell>
          <cell r="AC510" t="str">
            <v>1405/02/21</v>
          </cell>
          <cell r="AD510" t="str">
            <v>6:00الی18:00</v>
          </cell>
          <cell r="AF510">
            <v>12</v>
          </cell>
        </row>
        <row r="511">
          <cell r="D511" t="str">
            <v>صلواتی</v>
          </cell>
          <cell r="N511" t="str">
            <v>وایر</v>
          </cell>
          <cell r="O511">
            <v>7601</v>
          </cell>
          <cell r="AC511" t="str">
            <v>1405/02/21</v>
          </cell>
          <cell r="AD511" t="str">
            <v>6:00الی18:00</v>
          </cell>
          <cell r="AF511">
            <v>12</v>
          </cell>
        </row>
        <row r="512">
          <cell r="D512" t="str">
            <v>صلواتی</v>
          </cell>
          <cell r="N512" t="str">
            <v>وایر</v>
          </cell>
          <cell r="O512">
            <v>7602</v>
          </cell>
          <cell r="AC512" t="str">
            <v>1405/02/21</v>
          </cell>
          <cell r="AD512" t="str">
            <v>6:00الی18:00</v>
          </cell>
          <cell r="AF512">
            <v>12</v>
          </cell>
        </row>
        <row r="513">
          <cell r="D513" t="str">
            <v>صلواتی</v>
          </cell>
          <cell r="N513" t="str">
            <v>وایر</v>
          </cell>
          <cell r="O513">
            <v>7603</v>
          </cell>
          <cell r="AC513" t="str">
            <v>1405/02/21</v>
          </cell>
          <cell r="AD513" t="str">
            <v>6:00الی11:00</v>
          </cell>
          <cell r="AF513">
            <v>5</v>
          </cell>
        </row>
        <row r="514">
          <cell r="D514" t="str">
            <v>صلواتی</v>
          </cell>
          <cell r="N514" t="str">
            <v>وایر</v>
          </cell>
          <cell r="O514">
            <v>7603</v>
          </cell>
          <cell r="AC514" t="str">
            <v>1405/02/21</v>
          </cell>
          <cell r="AD514" t="str">
            <v>11:00الی15:00</v>
          </cell>
          <cell r="AF514">
            <v>4</v>
          </cell>
        </row>
        <row r="515">
          <cell r="D515" t="str">
            <v>صلواتی</v>
          </cell>
          <cell r="N515" t="str">
            <v>وایر</v>
          </cell>
          <cell r="O515">
            <v>7603</v>
          </cell>
          <cell r="AC515" t="str">
            <v>1405/02/21</v>
          </cell>
          <cell r="AD515" t="str">
            <v>15:00الی17:00</v>
          </cell>
          <cell r="AF515">
            <v>2</v>
          </cell>
        </row>
        <row r="516">
          <cell r="D516" t="str">
            <v>صلواتی</v>
          </cell>
          <cell r="N516" t="str">
            <v>وایر</v>
          </cell>
          <cell r="O516">
            <v>7603</v>
          </cell>
          <cell r="AC516" t="str">
            <v>1405/02/21</v>
          </cell>
          <cell r="AD516" t="str">
            <v>17:00الی18:00</v>
          </cell>
          <cell r="AF516">
            <v>1</v>
          </cell>
        </row>
        <row r="517">
          <cell r="D517" t="str">
            <v>صحرایی</v>
          </cell>
          <cell r="N517" t="str">
            <v>تراش</v>
          </cell>
          <cell r="O517">
            <v>7303</v>
          </cell>
          <cell r="AC517" t="str">
            <v>1405/02/21</v>
          </cell>
          <cell r="AD517" t="str">
            <v>6:00الی14:00</v>
          </cell>
          <cell r="AF517">
            <v>7.5</v>
          </cell>
        </row>
        <row r="518">
          <cell r="D518" t="str">
            <v>صحرایی</v>
          </cell>
          <cell r="N518" t="str">
            <v>تراش</v>
          </cell>
          <cell r="O518">
            <v>7303</v>
          </cell>
          <cell r="AC518" t="str">
            <v>1405/02/22</v>
          </cell>
          <cell r="AD518" t="str">
            <v>6:00الی14:00</v>
          </cell>
          <cell r="AF518">
            <v>4.95</v>
          </cell>
        </row>
        <row r="519">
          <cell r="D519" t="str">
            <v>کریم پرست</v>
          </cell>
          <cell r="N519" t="str">
            <v>تراش</v>
          </cell>
          <cell r="O519">
            <v>7301</v>
          </cell>
          <cell r="AC519" t="str">
            <v>1405/02/22</v>
          </cell>
          <cell r="AD519" t="str">
            <v>6:00الی18:00</v>
          </cell>
          <cell r="AF519">
            <v>2.75</v>
          </cell>
        </row>
        <row r="520">
          <cell r="D520" t="str">
            <v>کریم پرست</v>
          </cell>
          <cell r="N520" t="str">
            <v>تراش</v>
          </cell>
          <cell r="O520">
            <v>7301</v>
          </cell>
          <cell r="AC520" t="str">
            <v>1405/02/22</v>
          </cell>
          <cell r="AD520" t="str">
            <v>6:00الی18:00</v>
          </cell>
          <cell r="AF520">
            <v>2.75</v>
          </cell>
        </row>
        <row r="521">
          <cell r="D521" t="str">
            <v>کریم پرست</v>
          </cell>
          <cell r="N521" t="str">
            <v>تراش</v>
          </cell>
          <cell r="O521">
            <v>7301</v>
          </cell>
          <cell r="AC521" t="str">
            <v>1405/02/22</v>
          </cell>
          <cell r="AD521" t="str">
            <v>6:00الی18:00</v>
          </cell>
          <cell r="AF521">
            <v>2.75</v>
          </cell>
        </row>
        <row r="522">
          <cell r="D522" t="str">
            <v>کریم پرست</v>
          </cell>
          <cell r="N522" t="str">
            <v>تراش</v>
          </cell>
          <cell r="O522">
            <v>7301</v>
          </cell>
          <cell r="AC522" t="str">
            <v>1405/02/22</v>
          </cell>
          <cell r="AD522" t="str">
            <v>6:00الی18:00</v>
          </cell>
          <cell r="AF522">
            <v>2.75</v>
          </cell>
        </row>
        <row r="523">
          <cell r="D523" t="str">
            <v>قیطاسوند</v>
          </cell>
          <cell r="N523" t="str">
            <v>فرز</v>
          </cell>
          <cell r="O523">
            <v>7102</v>
          </cell>
          <cell r="AC523" t="str">
            <v>1405/02/22</v>
          </cell>
          <cell r="AD523" t="str">
            <v>6:00الی18:00</v>
          </cell>
          <cell r="AF523">
            <v>11</v>
          </cell>
        </row>
        <row r="524">
          <cell r="D524" t="str">
            <v>فراهی</v>
          </cell>
          <cell r="N524" t="str">
            <v>فرز</v>
          </cell>
          <cell r="O524">
            <v>7103</v>
          </cell>
          <cell r="AC524" t="str">
            <v>1405/02/22</v>
          </cell>
          <cell r="AD524" t="str">
            <v>7:00الی10:30</v>
          </cell>
          <cell r="AF524">
            <v>4</v>
          </cell>
        </row>
        <row r="525">
          <cell r="D525" t="str">
            <v>فراهی</v>
          </cell>
          <cell r="N525" t="str">
            <v>فرز</v>
          </cell>
          <cell r="O525">
            <v>7103</v>
          </cell>
          <cell r="AC525" t="str">
            <v>1405/02/22</v>
          </cell>
          <cell r="AD525" t="str">
            <v>10:30الی13:50</v>
          </cell>
          <cell r="AF525">
            <v>3.3333333333333335</v>
          </cell>
        </row>
        <row r="526">
          <cell r="D526" t="str">
            <v>یاراحمدی</v>
          </cell>
          <cell r="N526" t="str">
            <v>سنگ زنی</v>
          </cell>
          <cell r="O526">
            <v>7502</v>
          </cell>
          <cell r="AC526" t="str">
            <v>1405/02/22</v>
          </cell>
          <cell r="AD526" t="str">
            <v>6:00الی18:00</v>
          </cell>
          <cell r="AF526">
            <v>7</v>
          </cell>
        </row>
        <row r="527">
          <cell r="D527" t="str">
            <v>یاراحمدی</v>
          </cell>
          <cell r="N527" t="str">
            <v>سنگ زنی</v>
          </cell>
          <cell r="O527">
            <v>7502</v>
          </cell>
          <cell r="AC527" t="str">
            <v>1405/02/22</v>
          </cell>
          <cell r="AD527" t="str">
            <v>6:00الی18:00</v>
          </cell>
          <cell r="AF527">
            <v>4</v>
          </cell>
        </row>
        <row r="528">
          <cell r="D528" t="str">
            <v>حیدری</v>
          </cell>
          <cell r="N528" t="str">
            <v>فرز</v>
          </cell>
          <cell r="O528">
            <v>7101</v>
          </cell>
          <cell r="AC528" t="str">
            <v>1405/02/22</v>
          </cell>
          <cell r="AD528" t="str">
            <v>6:00الی11:00</v>
          </cell>
          <cell r="AF528">
            <v>4.5</v>
          </cell>
        </row>
        <row r="529">
          <cell r="D529" t="str">
            <v>حیدری</v>
          </cell>
          <cell r="N529" t="str">
            <v>فرز</v>
          </cell>
          <cell r="O529">
            <v>7101</v>
          </cell>
          <cell r="AC529" t="str">
            <v>1405/02/22</v>
          </cell>
          <cell r="AD529" t="str">
            <v>11:00الی16:00</v>
          </cell>
          <cell r="AF529">
            <v>4.5</v>
          </cell>
        </row>
        <row r="530">
          <cell r="D530" t="str">
            <v>حیدری</v>
          </cell>
          <cell r="N530" t="str">
            <v>فرز</v>
          </cell>
          <cell r="O530">
            <v>7101</v>
          </cell>
          <cell r="AC530" t="str">
            <v>1405/02/22</v>
          </cell>
          <cell r="AD530" t="str">
            <v>16:00الی18:00</v>
          </cell>
          <cell r="AF530">
            <v>2</v>
          </cell>
        </row>
        <row r="531">
          <cell r="D531" t="str">
            <v>موسوی</v>
          </cell>
          <cell r="N531" t="str">
            <v>تراش</v>
          </cell>
          <cell r="O531">
            <v>7302</v>
          </cell>
          <cell r="AC531" t="str">
            <v>1405/02/22</v>
          </cell>
          <cell r="AD531" t="str">
            <v>6:00الی18:00</v>
          </cell>
          <cell r="AF531">
            <v>5</v>
          </cell>
        </row>
        <row r="532">
          <cell r="D532" t="str">
            <v>موسوی</v>
          </cell>
          <cell r="N532" t="str">
            <v>تراش</v>
          </cell>
          <cell r="O532">
            <v>7302</v>
          </cell>
          <cell r="AC532" t="str">
            <v>1405/02/22</v>
          </cell>
          <cell r="AD532" t="str">
            <v>6:00الی18:00</v>
          </cell>
          <cell r="AF532">
            <v>2</v>
          </cell>
        </row>
        <row r="533">
          <cell r="D533" t="str">
            <v>موسوی</v>
          </cell>
          <cell r="N533" t="str">
            <v>تراش</v>
          </cell>
          <cell r="O533">
            <v>7302</v>
          </cell>
          <cell r="AC533" t="str">
            <v>1405/02/22</v>
          </cell>
          <cell r="AD533" t="str">
            <v>6:00الی18:00</v>
          </cell>
          <cell r="AF533">
            <v>4</v>
          </cell>
        </row>
        <row r="534">
          <cell r="D534" t="str">
            <v>صلواتی</v>
          </cell>
          <cell r="N534" t="str">
            <v>وایر</v>
          </cell>
          <cell r="O534">
            <v>7601</v>
          </cell>
          <cell r="AC534" t="str">
            <v>1405/02/22</v>
          </cell>
          <cell r="AD534" t="str">
            <v>6:00الی18:00</v>
          </cell>
          <cell r="AF534">
            <v>12</v>
          </cell>
        </row>
        <row r="535">
          <cell r="D535" t="str">
            <v>صلواتی</v>
          </cell>
          <cell r="N535" t="str">
            <v>وایر</v>
          </cell>
          <cell r="O535">
            <v>7602</v>
          </cell>
          <cell r="AC535" t="str">
            <v>1405/02/22</v>
          </cell>
          <cell r="AD535" t="str">
            <v>6:00الی18:00</v>
          </cell>
          <cell r="AF535">
            <v>12</v>
          </cell>
        </row>
        <row r="536">
          <cell r="D536" t="str">
            <v>صلواتی</v>
          </cell>
          <cell r="N536" t="str">
            <v>وایر</v>
          </cell>
          <cell r="O536">
            <v>7603</v>
          </cell>
          <cell r="AC536" t="str">
            <v>1405/02/22</v>
          </cell>
          <cell r="AD536" t="str">
            <v>6:00الی18:00</v>
          </cell>
          <cell r="AF536">
            <v>12</v>
          </cell>
        </row>
        <row r="537">
          <cell r="D537" t="str">
            <v>صلواتی</v>
          </cell>
          <cell r="N537" t="str">
            <v>وایر</v>
          </cell>
          <cell r="O537">
            <v>7605</v>
          </cell>
          <cell r="AC537" t="str">
            <v>1405/02/22</v>
          </cell>
          <cell r="AD537" t="str">
            <v>6:00الی18:00</v>
          </cell>
          <cell r="AF537">
            <v>12</v>
          </cell>
        </row>
        <row r="538">
          <cell r="D538" t="str">
            <v>صلواتی</v>
          </cell>
          <cell r="N538" t="str">
            <v>سوپر دریل</v>
          </cell>
          <cell r="O538">
            <v>7701</v>
          </cell>
          <cell r="AC538" t="str">
            <v>1405/02/20</v>
          </cell>
          <cell r="AD538" t="str">
            <v>6:00الی18:00</v>
          </cell>
          <cell r="AF538">
            <v>11</v>
          </cell>
        </row>
        <row r="539">
          <cell r="D539" t="str">
            <v>صلواتی</v>
          </cell>
          <cell r="N539" t="str">
            <v>سوپر دریل</v>
          </cell>
          <cell r="O539">
            <v>7701</v>
          </cell>
          <cell r="AC539" t="str">
            <v>1405/02/21</v>
          </cell>
          <cell r="AD539" t="str">
            <v>6:00الی18:00</v>
          </cell>
          <cell r="AF539">
            <v>11</v>
          </cell>
        </row>
        <row r="540">
          <cell r="D540" t="str">
            <v>صلواتی</v>
          </cell>
          <cell r="N540" t="str">
            <v>سوپر دریل</v>
          </cell>
          <cell r="O540">
            <v>7701</v>
          </cell>
          <cell r="AC540" t="str">
            <v>1405/02/22</v>
          </cell>
          <cell r="AD540" t="str">
            <v>6:00الی18:00</v>
          </cell>
          <cell r="AF540">
            <v>11</v>
          </cell>
        </row>
        <row r="541">
          <cell r="D541" t="str">
            <v>هاشم زاده</v>
          </cell>
          <cell r="N541" t="str">
            <v>مونتاژ</v>
          </cell>
          <cell r="O541" t="str">
            <v>مونتاژ</v>
          </cell>
          <cell r="AC541" t="str">
            <v>1405/02/22</v>
          </cell>
          <cell r="AD541" t="str">
            <v>6:00الی18:00</v>
          </cell>
          <cell r="AF541">
            <v>3</v>
          </cell>
        </row>
        <row r="542">
          <cell r="D542" t="str">
            <v>هاشم زاده</v>
          </cell>
          <cell r="N542" t="str">
            <v>مونتاژ</v>
          </cell>
          <cell r="O542" t="str">
            <v>مونتاژ</v>
          </cell>
          <cell r="AC542" t="str">
            <v>1405/02/22</v>
          </cell>
          <cell r="AD542" t="str">
            <v>6:00الی18:00</v>
          </cell>
          <cell r="AF542">
            <v>3</v>
          </cell>
        </row>
        <row r="543">
          <cell r="D543" t="str">
            <v>هاشم زاده</v>
          </cell>
          <cell r="N543" t="str">
            <v>مونتاژ</v>
          </cell>
          <cell r="O543" t="str">
            <v>مونتاژ</v>
          </cell>
          <cell r="AC543" t="str">
            <v>1405/02/22</v>
          </cell>
          <cell r="AD543" t="str">
            <v>6:00الی18:00</v>
          </cell>
          <cell r="AF543">
            <v>3</v>
          </cell>
        </row>
        <row r="544">
          <cell r="D544" t="str">
            <v>خیرخواه</v>
          </cell>
          <cell r="N544" t="str">
            <v>دریل رادیال</v>
          </cell>
          <cell r="O544">
            <v>7401</v>
          </cell>
          <cell r="AC544" t="str">
            <v>1405/02/22</v>
          </cell>
          <cell r="AD544" t="str">
            <v>6:00الی18:00</v>
          </cell>
          <cell r="AF544">
            <v>1.5</v>
          </cell>
        </row>
        <row r="545">
          <cell r="D545" t="str">
            <v>خیرخواه</v>
          </cell>
          <cell r="N545" t="str">
            <v>مونتاژ</v>
          </cell>
          <cell r="O545" t="str">
            <v>مونتاژ</v>
          </cell>
          <cell r="AC545" t="str">
            <v>1405/02/22</v>
          </cell>
          <cell r="AD545" t="str">
            <v>6:00الی18:00</v>
          </cell>
          <cell r="AF545">
            <v>1.5</v>
          </cell>
        </row>
        <row r="546">
          <cell r="D546" t="str">
            <v>خیرخواه</v>
          </cell>
          <cell r="N546" t="str">
            <v>مونتاژ</v>
          </cell>
          <cell r="O546" t="str">
            <v>مونتاژ</v>
          </cell>
          <cell r="AC546" t="str">
            <v>1405/02/22</v>
          </cell>
          <cell r="AD546" t="str">
            <v>6:00الی18:00</v>
          </cell>
          <cell r="AF546">
            <v>5</v>
          </cell>
        </row>
        <row r="547">
          <cell r="D547" t="str">
            <v>خیرخواه</v>
          </cell>
          <cell r="N547" t="str">
            <v>دریل رادیال</v>
          </cell>
          <cell r="O547">
            <v>7401</v>
          </cell>
          <cell r="AC547" t="str">
            <v>1405/02/22</v>
          </cell>
          <cell r="AD547" t="str">
            <v>6:00الی18:00</v>
          </cell>
          <cell r="AF547">
            <v>2</v>
          </cell>
        </row>
        <row r="548">
          <cell r="D548" t="str">
            <v>زیلویی</v>
          </cell>
          <cell r="N548" t="str">
            <v>CNC</v>
          </cell>
          <cell r="O548">
            <v>7203</v>
          </cell>
          <cell r="AC548" t="str">
            <v>1405/02/22</v>
          </cell>
          <cell r="AD548" t="str">
            <v>6:00الی18:00</v>
          </cell>
          <cell r="AF548">
            <v>11</v>
          </cell>
        </row>
        <row r="549">
          <cell r="D549" t="str">
            <v>زیلویی</v>
          </cell>
          <cell r="N549" t="str">
            <v>CNC</v>
          </cell>
          <cell r="O549">
            <v>7203</v>
          </cell>
          <cell r="AC549" t="str">
            <v>1405/02/23</v>
          </cell>
          <cell r="AD549" t="str">
            <v>6:00الی18:00</v>
          </cell>
          <cell r="AF549">
            <v>11</v>
          </cell>
        </row>
        <row r="550">
          <cell r="D550" t="str">
            <v>قیطاسوند</v>
          </cell>
          <cell r="N550" t="str">
            <v>فرز</v>
          </cell>
          <cell r="O550">
            <v>7102</v>
          </cell>
          <cell r="AC550" t="str">
            <v>1405/02/23</v>
          </cell>
          <cell r="AD550" t="str">
            <v>6:00الی18:00</v>
          </cell>
          <cell r="AF550">
            <v>11</v>
          </cell>
        </row>
        <row r="551">
          <cell r="D551" t="str">
            <v>فراهی</v>
          </cell>
          <cell r="N551" t="str">
            <v>فرز</v>
          </cell>
          <cell r="O551">
            <v>7103</v>
          </cell>
          <cell r="AC551" t="str">
            <v>1405/02/23</v>
          </cell>
          <cell r="AD551" t="str">
            <v>7:00الی10:20</v>
          </cell>
          <cell r="AF551">
            <v>2.8333333333333335</v>
          </cell>
        </row>
        <row r="552">
          <cell r="D552" t="str">
            <v>فراهی</v>
          </cell>
          <cell r="N552" t="str">
            <v>فرز</v>
          </cell>
          <cell r="O552">
            <v>7103</v>
          </cell>
          <cell r="AC552" t="str">
            <v>1405/02/23</v>
          </cell>
          <cell r="AD552" t="str">
            <v>10:20الی13:50</v>
          </cell>
          <cell r="AF552">
            <v>3.5</v>
          </cell>
        </row>
        <row r="553">
          <cell r="D553" t="str">
            <v>کاظمی</v>
          </cell>
          <cell r="N553" t="str">
            <v>فرز</v>
          </cell>
          <cell r="O553">
            <v>7202</v>
          </cell>
          <cell r="AC553" t="str">
            <v>1405/02/23</v>
          </cell>
          <cell r="AD553" t="str">
            <v>6:00الی10:00</v>
          </cell>
          <cell r="AF553">
            <v>3.5</v>
          </cell>
        </row>
        <row r="554">
          <cell r="D554" t="str">
            <v>کاظمی</v>
          </cell>
          <cell r="N554" t="str">
            <v>فرز</v>
          </cell>
          <cell r="O554">
            <v>7202</v>
          </cell>
          <cell r="AC554" t="str">
            <v>1405/02/23</v>
          </cell>
          <cell r="AD554" t="str">
            <v>10:00الی18:00</v>
          </cell>
          <cell r="AF554">
            <v>7.5</v>
          </cell>
        </row>
        <row r="555">
          <cell r="D555" t="str">
            <v>حیدری</v>
          </cell>
          <cell r="N555" t="str">
            <v>فرز</v>
          </cell>
          <cell r="O555">
            <v>7101</v>
          </cell>
          <cell r="AC555" t="str">
            <v>1405/02/23</v>
          </cell>
          <cell r="AD555" t="str">
            <v>6:00الی9:00</v>
          </cell>
          <cell r="AF555">
            <v>2.5</v>
          </cell>
        </row>
        <row r="556">
          <cell r="D556" t="str">
            <v>حیدری</v>
          </cell>
          <cell r="N556" t="str">
            <v>فرز</v>
          </cell>
          <cell r="O556">
            <v>7101</v>
          </cell>
          <cell r="AC556" t="str">
            <v>1405/02/23</v>
          </cell>
          <cell r="AD556" t="str">
            <v>9:00الی18:00</v>
          </cell>
          <cell r="AF556">
            <v>8.5</v>
          </cell>
        </row>
        <row r="557">
          <cell r="D557" t="str">
            <v>یاراحمدی</v>
          </cell>
          <cell r="N557" t="str">
            <v>سنگ زنی</v>
          </cell>
          <cell r="O557">
            <v>7502</v>
          </cell>
          <cell r="AC557" t="str">
            <v>1405/02/23</v>
          </cell>
          <cell r="AD557" t="str">
            <v>6:00الی18:00</v>
          </cell>
          <cell r="AF557">
            <v>7</v>
          </cell>
        </row>
        <row r="558">
          <cell r="D558" t="str">
            <v>یاراحمدی</v>
          </cell>
          <cell r="N558" t="str">
            <v>سنگ زنی</v>
          </cell>
          <cell r="O558">
            <v>7502</v>
          </cell>
          <cell r="AC558" t="str">
            <v>1405/02/23</v>
          </cell>
          <cell r="AD558" t="str">
            <v>6:00الی18:00</v>
          </cell>
          <cell r="AF558">
            <v>3</v>
          </cell>
        </row>
        <row r="559">
          <cell r="D559" t="str">
            <v>یاراحمدی</v>
          </cell>
          <cell r="N559" t="str">
            <v>سنگ زنی</v>
          </cell>
          <cell r="O559">
            <v>7502</v>
          </cell>
          <cell r="AC559" t="str">
            <v>1405/02/23</v>
          </cell>
          <cell r="AD559" t="str">
            <v>6:00الی18:00</v>
          </cell>
          <cell r="AF559">
            <v>1</v>
          </cell>
        </row>
        <row r="560">
          <cell r="D560" t="str">
            <v>کریم پرست</v>
          </cell>
          <cell r="N560" t="str">
            <v>تراش</v>
          </cell>
          <cell r="O560">
            <v>7301</v>
          </cell>
          <cell r="AC560" t="str">
            <v>1405/02/23</v>
          </cell>
          <cell r="AD560" t="str">
            <v>6:00الی18:00</v>
          </cell>
          <cell r="AF560">
            <v>2</v>
          </cell>
        </row>
        <row r="561">
          <cell r="D561" t="str">
            <v>کریم پرست</v>
          </cell>
          <cell r="N561" t="str">
            <v>تراش</v>
          </cell>
          <cell r="O561">
            <v>7301</v>
          </cell>
          <cell r="AC561" t="str">
            <v>1405/02/23</v>
          </cell>
          <cell r="AD561" t="str">
            <v>6:00الی18:00</v>
          </cell>
          <cell r="AF561">
            <v>4</v>
          </cell>
        </row>
        <row r="562">
          <cell r="D562" t="str">
            <v>کریم پرست</v>
          </cell>
          <cell r="N562" t="str">
            <v>تراش</v>
          </cell>
          <cell r="O562">
            <v>7301</v>
          </cell>
          <cell r="AC562" t="str">
            <v>1405/02/23</v>
          </cell>
          <cell r="AD562" t="str">
            <v>6:00الی18:00</v>
          </cell>
          <cell r="AF562">
            <v>2.5</v>
          </cell>
        </row>
        <row r="563">
          <cell r="D563" t="str">
            <v>کریم پرست</v>
          </cell>
          <cell r="N563" t="str">
            <v>تراش</v>
          </cell>
          <cell r="O563">
            <v>7301</v>
          </cell>
          <cell r="AC563" t="str">
            <v>1405/02/23</v>
          </cell>
          <cell r="AD563" t="str">
            <v>6:00الی18:00</v>
          </cell>
          <cell r="AF563">
            <v>2.5</v>
          </cell>
        </row>
        <row r="564">
          <cell r="D564" t="str">
            <v>صلواتی</v>
          </cell>
          <cell r="N564" t="str">
            <v>وایر</v>
          </cell>
          <cell r="O564">
            <v>7601</v>
          </cell>
          <cell r="AC564" t="str">
            <v>1405/02/23</v>
          </cell>
          <cell r="AD564" t="str">
            <v>6:00الی18:00</v>
          </cell>
          <cell r="AF564">
            <v>12</v>
          </cell>
        </row>
        <row r="565">
          <cell r="D565" t="str">
            <v>صلواتی</v>
          </cell>
          <cell r="N565" t="str">
            <v>وایر</v>
          </cell>
          <cell r="O565">
            <v>7602</v>
          </cell>
          <cell r="AC565" t="str">
            <v>1405/02/23</v>
          </cell>
          <cell r="AD565" t="str">
            <v>6:00الی18:00</v>
          </cell>
          <cell r="AF565">
            <v>12</v>
          </cell>
        </row>
        <row r="566">
          <cell r="D566" t="str">
            <v>صلواتی</v>
          </cell>
          <cell r="N566" t="str">
            <v>وایر</v>
          </cell>
          <cell r="O566">
            <v>7603</v>
          </cell>
          <cell r="AC566" t="str">
            <v>1405/02/23</v>
          </cell>
          <cell r="AD566" t="str">
            <v>6:00الی14:00</v>
          </cell>
          <cell r="AF566">
            <v>8</v>
          </cell>
        </row>
        <row r="567">
          <cell r="D567" t="str">
            <v>صلواتی</v>
          </cell>
          <cell r="N567" t="str">
            <v>وایر</v>
          </cell>
          <cell r="O567">
            <v>7603</v>
          </cell>
          <cell r="AC567" t="str">
            <v>1405/02/23</v>
          </cell>
          <cell r="AD567" t="str">
            <v>14:00الی15:00</v>
          </cell>
          <cell r="AF567">
            <v>1</v>
          </cell>
        </row>
        <row r="568">
          <cell r="D568" t="str">
            <v>صلواتی</v>
          </cell>
          <cell r="N568" t="str">
            <v>وایر</v>
          </cell>
          <cell r="O568">
            <v>7603</v>
          </cell>
          <cell r="AC568" t="str">
            <v>1405/02/23</v>
          </cell>
          <cell r="AD568" t="str">
            <v>15:00الی16:00</v>
          </cell>
          <cell r="AF568">
            <v>1</v>
          </cell>
        </row>
        <row r="569">
          <cell r="D569" t="str">
            <v>صلواتی</v>
          </cell>
          <cell r="N569" t="str">
            <v>وایر</v>
          </cell>
          <cell r="O569">
            <v>7603</v>
          </cell>
          <cell r="AC569" t="str">
            <v>1405/02/23</v>
          </cell>
          <cell r="AD569" t="str">
            <v>16:00الی17:00</v>
          </cell>
          <cell r="AF569">
            <v>1</v>
          </cell>
        </row>
        <row r="570">
          <cell r="D570" t="str">
            <v>صلواتی</v>
          </cell>
          <cell r="N570" t="str">
            <v>وایر</v>
          </cell>
          <cell r="O570">
            <v>7605</v>
          </cell>
          <cell r="AC570" t="str">
            <v>1405/02/23</v>
          </cell>
          <cell r="AD570" t="str">
            <v>6:00الی18:00</v>
          </cell>
          <cell r="AF570">
            <v>12</v>
          </cell>
        </row>
        <row r="571">
          <cell r="D571" t="str">
            <v>صلواتی</v>
          </cell>
          <cell r="N571" t="str">
            <v>سوپر دریل</v>
          </cell>
          <cell r="O571">
            <v>7701</v>
          </cell>
          <cell r="AC571" t="str">
            <v>1405/02/23</v>
          </cell>
          <cell r="AD571" t="str">
            <v>6:00الی18:00</v>
          </cell>
          <cell r="AF571">
            <v>11</v>
          </cell>
        </row>
        <row r="572">
          <cell r="D572" t="str">
            <v>موسوی</v>
          </cell>
          <cell r="N572" t="str">
            <v>تراش</v>
          </cell>
          <cell r="O572">
            <v>7302</v>
          </cell>
          <cell r="AC572" t="str">
            <v>1405/02/23</v>
          </cell>
          <cell r="AD572" t="str">
            <v>6:00الی18:00</v>
          </cell>
          <cell r="AF572">
            <v>2</v>
          </cell>
        </row>
        <row r="573">
          <cell r="D573" t="str">
            <v>موسوی</v>
          </cell>
          <cell r="N573" t="str">
            <v>تراش</v>
          </cell>
          <cell r="O573">
            <v>7302</v>
          </cell>
          <cell r="AC573" t="str">
            <v>1405/02/23</v>
          </cell>
          <cell r="AD573" t="str">
            <v>6:00الی18:00</v>
          </cell>
          <cell r="AF573">
            <v>2</v>
          </cell>
        </row>
        <row r="574">
          <cell r="D574" t="str">
            <v>موسوی</v>
          </cell>
          <cell r="N574" t="str">
            <v>مونتاژ</v>
          </cell>
          <cell r="O574" t="str">
            <v>مونتاژ</v>
          </cell>
          <cell r="AC574" t="str">
            <v>1405/02/23</v>
          </cell>
          <cell r="AD574" t="str">
            <v>6:00الی18:00</v>
          </cell>
          <cell r="AF574">
            <v>2</v>
          </cell>
        </row>
        <row r="575">
          <cell r="D575" t="str">
            <v>موسوی</v>
          </cell>
          <cell r="N575" t="str">
            <v>تراش</v>
          </cell>
          <cell r="O575">
            <v>7302</v>
          </cell>
          <cell r="AC575" t="str">
            <v>1405/02/23</v>
          </cell>
          <cell r="AD575" t="str">
            <v>6:00الی18:00</v>
          </cell>
          <cell r="AF575">
            <v>2</v>
          </cell>
        </row>
        <row r="576">
          <cell r="D576" t="str">
            <v>موسوی</v>
          </cell>
          <cell r="N576" t="str">
            <v>تراش</v>
          </cell>
          <cell r="O576">
            <v>7302</v>
          </cell>
          <cell r="AC576" t="str">
            <v>1405/02/23</v>
          </cell>
          <cell r="AD576" t="str">
            <v>6:00الی18:00</v>
          </cell>
          <cell r="AF576">
            <v>2</v>
          </cell>
        </row>
        <row r="577">
          <cell r="D577" t="str">
            <v>موسوی</v>
          </cell>
          <cell r="N577" t="str">
            <v>تراش</v>
          </cell>
          <cell r="O577">
            <v>7302</v>
          </cell>
          <cell r="AC577" t="str">
            <v>1405/02/23</v>
          </cell>
          <cell r="AD577" t="str">
            <v>6:00الی18:00</v>
          </cell>
          <cell r="AF577">
            <v>2</v>
          </cell>
        </row>
        <row r="578">
          <cell r="D578" t="str">
            <v>خیرخواه</v>
          </cell>
          <cell r="N578" t="str">
            <v>مونتاژ</v>
          </cell>
          <cell r="O578" t="str">
            <v>مونتاژ</v>
          </cell>
          <cell r="AC578" t="str">
            <v>1405/02/23</v>
          </cell>
          <cell r="AD578" t="str">
            <v>6:00الی18:00</v>
          </cell>
          <cell r="AF578">
            <v>1</v>
          </cell>
        </row>
        <row r="579">
          <cell r="D579" t="str">
            <v>خیرخواه</v>
          </cell>
          <cell r="N579" t="str">
            <v>مونتاژ</v>
          </cell>
          <cell r="O579" t="str">
            <v>مونتاژ</v>
          </cell>
          <cell r="AC579" t="str">
            <v>1405/02/23</v>
          </cell>
          <cell r="AD579" t="str">
            <v>6:00الی18:00</v>
          </cell>
          <cell r="AF579">
            <v>5</v>
          </cell>
        </row>
        <row r="580">
          <cell r="D580" t="str">
            <v>خیرخواه</v>
          </cell>
          <cell r="N580" t="str">
            <v>دریل رادیال</v>
          </cell>
          <cell r="O580">
            <v>7401</v>
          </cell>
          <cell r="AC580" t="str">
            <v>1405/02/23</v>
          </cell>
          <cell r="AD580" t="str">
            <v>6:00الی18:00</v>
          </cell>
          <cell r="AF580">
            <v>1</v>
          </cell>
        </row>
        <row r="581">
          <cell r="D581" t="str">
            <v>خیرخواه</v>
          </cell>
          <cell r="N581" t="str">
            <v>دریل رادیال</v>
          </cell>
          <cell r="O581">
            <v>7401</v>
          </cell>
          <cell r="AC581" t="str">
            <v>1405/02/23</v>
          </cell>
          <cell r="AD581" t="str">
            <v>6:00الی18:00</v>
          </cell>
          <cell r="AF581">
            <v>1.5</v>
          </cell>
        </row>
        <row r="582">
          <cell r="D582" t="str">
            <v>هاشم زاده</v>
          </cell>
          <cell r="N582" t="str">
            <v>مونتاژ</v>
          </cell>
          <cell r="O582" t="str">
            <v>مونتاژ</v>
          </cell>
          <cell r="AC582" t="str">
            <v>1405/02/23</v>
          </cell>
          <cell r="AD582" t="str">
            <v>6:00الی18:00</v>
          </cell>
          <cell r="AF582">
            <v>1</v>
          </cell>
        </row>
        <row r="583">
          <cell r="D583" t="str">
            <v>هاشم زاده</v>
          </cell>
          <cell r="N583" t="str">
            <v>مونتاژ</v>
          </cell>
          <cell r="O583" t="str">
            <v>مونتاژ</v>
          </cell>
          <cell r="AC583" t="str">
            <v>1405/02/23</v>
          </cell>
          <cell r="AD583" t="str">
            <v>6:00الی18:00</v>
          </cell>
          <cell r="AF583">
            <v>5</v>
          </cell>
        </row>
        <row r="584">
          <cell r="D584" t="str">
            <v>هاشم زاده</v>
          </cell>
          <cell r="N584" t="str">
            <v>دریل رادیال</v>
          </cell>
          <cell r="O584">
            <v>7401</v>
          </cell>
          <cell r="AC584" t="str">
            <v>1405/02/23</v>
          </cell>
          <cell r="AD584" t="str">
            <v>6:00الی18:00</v>
          </cell>
          <cell r="AF584">
            <v>1</v>
          </cell>
        </row>
        <row r="585">
          <cell r="D585" t="str">
            <v>هاشم زاده</v>
          </cell>
          <cell r="N585" t="str">
            <v>دریل رادیال</v>
          </cell>
          <cell r="O585">
            <v>7401</v>
          </cell>
          <cell r="AC585" t="str">
            <v>1405/02/23</v>
          </cell>
          <cell r="AD585" t="str">
            <v>6:00الی18:00</v>
          </cell>
          <cell r="AF585">
            <v>1.5</v>
          </cell>
        </row>
        <row r="586">
          <cell r="D586" t="str">
            <v>صحرایی</v>
          </cell>
          <cell r="N586" t="str">
            <v>تراش</v>
          </cell>
          <cell r="O586">
            <v>7303</v>
          </cell>
          <cell r="AC586" t="str">
            <v>1405/02/23</v>
          </cell>
          <cell r="AD586" t="str">
            <v>6:00الی14:00</v>
          </cell>
          <cell r="AF586">
            <v>7.5</v>
          </cell>
        </row>
        <row r="587">
          <cell r="D587" t="str">
            <v>کاظمی</v>
          </cell>
          <cell r="N587" t="str">
            <v>CNC</v>
          </cell>
          <cell r="O587">
            <v>7202</v>
          </cell>
          <cell r="AC587" t="str">
            <v>1405/02/23</v>
          </cell>
          <cell r="AD587" t="str">
            <v>6:00الی14:00</v>
          </cell>
          <cell r="AF587">
            <v>7.5</v>
          </cell>
        </row>
        <row r="588">
          <cell r="D588" t="str">
            <v>زیلویی</v>
          </cell>
          <cell r="N588" t="str">
            <v>CNC</v>
          </cell>
          <cell r="O588">
            <v>7203</v>
          </cell>
          <cell r="AC588" t="str">
            <v>1405/02/23</v>
          </cell>
          <cell r="AD588" t="str">
            <v>6:00الی14:00</v>
          </cell>
          <cell r="AF588">
            <v>7.5</v>
          </cell>
        </row>
        <row r="589">
          <cell r="D589" t="str">
            <v>قیطاسوند</v>
          </cell>
          <cell r="N589" t="str">
            <v>فرز</v>
          </cell>
          <cell r="O589">
            <v>7102</v>
          </cell>
          <cell r="AC589" t="str">
            <v>1405/02/24</v>
          </cell>
          <cell r="AD589" t="str">
            <v>6:00الی14:00</v>
          </cell>
          <cell r="AF589">
            <v>6.5</v>
          </cell>
        </row>
        <row r="590">
          <cell r="D590" t="str">
            <v>قیطاسوند</v>
          </cell>
          <cell r="N590" t="str">
            <v>نظافت</v>
          </cell>
          <cell r="O590" t="str">
            <v>نظافت</v>
          </cell>
          <cell r="AC590" t="str">
            <v>1405/02/24</v>
          </cell>
          <cell r="AD590" t="str">
            <v>13:00الی14:00</v>
          </cell>
          <cell r="AF590">
            <v>1</v>
          </cell>
        </row>
        <row r="591">
          <cell r="D591" t="str">
            <v>حیدری</v>
          </cell>
          <cell r="N591" t="str">
            <v>فرز</v>
          </cell>
          <cell r="O591">
            <v>7101</v>
          </cell>
          <cell r="AC591" t="str">
            <v>1405/02/24</v>
          </cell>
          <cell r="AD591" t="str">
            <v>6:00الی14:00</v>
          </cell>
          <cell r="AF591">
            <v>6.5</v>
          </cell>
        </row>
        <row r="592">
          <cell r="D592" t="str">
            <v>حیدری</v>
          </cell>
          <cell r="N592" t="str">
            <v>نظافت</v>
          </cell>
          <cell r="O592" t="str">
            <v>نظافت</v>
          </cell>
          <cell r="AC592" t="str">
            <v>1405/02/24</v>
          </cell>
          <cell r="AD592" t="str">
            <v>13:00الی14:00</v>
          </cell>
          <cell r="AF592">
            <v>1</v>
          </cell>
        </row>
        <row r="593">
          <cell r="D593" t="str">
            <v>کریم پرست</v>
          </cell>
          <cell r="N593" t="str">
            <v>تراش</v>
          </cell>
          <cell r="O593">
            <v>7301</v>
          </cell>
          <cell r="AC593" t="str">
            <v>1405/02/24</v>
          </cell>
          <cell r="AD593" t="str">
            <v>6:00الی14:00</v>
          </cell>
          <cell r="AF593">
            <v>4</v>
          </cell>
        </row>
        <row r="594">
          <cell r="D594" t="str">
            <v>کریم پرست</v>
          </cell>
          <cell r="N594" t="str">
            <v>تراش</v>
          </cell>
          <cell r="O594">
            <v>7301</v>
          </cell>
          <cell r="AC594" t="str">
            <v>1405/02/24</v>
          </cell>
          <cell r="AD594" t="str">
            <v>6:00الی14:00</v>
          </cell>
          <cell r="AF594">
            <v>2</v>
          </cell>
        </row>
        <row r="595">
          <cell r="D595" t="str">
            <v>کریم پرست</v>
          </cell>
          <cell r="N595" t="str">
            <v>نظافت</v>
          </cell>
          <cell r="O595" t="str">
            <v>نظافت</v>
          </cell>
          <cell r="AC595" t="str">
            <v>1405/02/24</v>
          </cell>
          <cell r="AD595" t="str">
            <v>6:00الی14:00</v>
          </cell>
          <cell r="AF595">
            <v>1.5</v>
          </cell>
        </row>
        <row r="596">
          <cell r="D596" t="str">
            <v>یاراحمدی</v>
          </cell>
          <cell r="N596" t="str">
            <v>سنگ زنی</v>
          </cell>
          <cell r="O596">
            <v>7502</v>
          </cell>
          <cell r="AC596" t="str">
            <v>1405/02/24</v>
          </cell>
          <cell r="AD596" t="str">
            <v>6:00الی14:00</v>
          </cell>
          <cell r="AF596">
            <v>2</v>
          </cell>
        </row>
        <row r="597">
          <cell r="D597" t="str">
            <v>یاراحمدی</v>
          </cell>
          <cell r="N597" t="str">
            <v>سنگ زنی</v>
          </cell>
          <cell r="O597">
            <v>7502</v>
          </cell>
          <cell r="AC597" t="str">
            <v>1405/02/24</v>
          </cell>
          <cell r="AD597" t="str">
            <v>6:00الی14:00</v>
          </cell>
          <cell r="AF597">
            <v>4</v>
          </cell>
        </row>
        <row r="598">
          <cell r="D598" t="str">
            <v>یاراحمدی</v>
          </cell>
          <cell r="N598" t="str">
            <v>نظافت</v>
          </cell>
          <cell r="O598" t="str">
            <v>نظافت</v>
          </cell>
          <cell r="AC598" t="str">
            <v>1405/02/24</v>
          </cell>
          <cell r="AD598" t="str">
            <v>6:00الی14:00</v>
          </cell>
          <cell r="AF598">
            <v>1</v>
          </cell>
        </row>
        <row r="599">
          <cell r="D599" t="str">
            <v>موسوی</v>
          </cell>
          <cell r="N599" t="str">
            <v>تراش</v>
          </cell>
          <cell r="O599">
            <v>7302</v>
          </cell>
          <cell r="AC599" t="str">
            <v>1405/02/24</v>
          </cell>
          <cell r="AD599" t="str">
            <v>6:00الی14:00</v>
          </cell>
          <cell r="AF599">
            <v>2</v>
          </cell>
        </row>
        <row r="600">
          <cell r="D600" t="str">
            <v>موسوی</v>
          </cell>
          <cell r="N600" t="str">
            <v>تراش</v>
          </cell>
          <cell r="O600">
            <v>7302</v>
          </cell>
          <cell r="AC600" t="str">
            <v>1405/02/24</v>
          </cell>
          <cell r="AD600" t="str">
            <v>6:00الی14:00</v>
          </cell>
          <cell r="AF600">
            <v>4</v>
          </cell>
        </row>
        <row r="601">
          <cell r="D601" t="str">
            <v>موسوی</v>
          </cell>
          <cell r="N601" t="str">
            <v>نظافت</v>
          </cell>
          <cell r="O601" t="str">
            <v>نظافت</v>
          </cell>
          <cell r="AC601" t="str">
            <v>1405/02/24</v>
          </cell>
          <cell r="AD601" t="str">
            <v>6:00الی14:00</v>
          </cell>
          <cell r="AF601">
            <v>1</v>
          </cell>
        </row>
        <row r="602">
          <cell r="D602" t="str">
            <v>هاشم زاده</v>
          </cell>
          <cell r="N602" t="str">
            <v>مونتاژ</v>
          </cell>
          <cell r="O602" t="str">
            <v>مونتاژ</v>
          </cell>
          <cell r="AC602" t="str">
            <v>1405/02/24</v>
          </cell>
          <cell r="AD602" t="str">
            <v>6:00الی14:00</v>
          </cell>
          <cell r="AF602">
            <v>2</v>
          </cell>
        </row>
        <row r="603">
          <cell r="D603" t="str">
            <v>هاشم زاده</v>
          </cell>
          <cell r="N603" t="str">
            <v>مونتاژ</v>
          </cell>
          <cell r="O603" t="str">
            <v>مونتاژ</v>
          </cell>
          <cell r="AC603" t="str">
            <v>1405/02/24</v>
          </cell>
          <cell r="AD603" t="str">
            <v>6:00الی14:00</v>
          </cell>
          <cell r="AF603">
            <v>4</v>
          </cell>
        </row>
        <row r="604">
          <cell r="D604" t="str">
            <v>هاشم زاده</v>
          </cell>
          <cell r="N604" t="str">
            <v>نظافت</v>
          </cell>
          <cell r="O604" t="str">
            <v>نظافت</v>
          </cell>
          <cell r="AC604" t="str">
            <v>1405/02/24</v>
          </cell>
          <cell r="AD604" t="str">
            <v>6:00الی14:00</v>
          </cell>
          <cell r="AF604">
            <v>1</v>
          </cell>
        </row>
        <row r="605">
          <cell r="D605" t="str">
            <v>هاشم زاده</v>
          </cell>
          <cell r="N605" t="str">
            <v>دریل رادیال</v>
          </cell>
          <cell r="O605">
            <v>7401</v>
          </cell>
          <cell r="AC605" t="str">
            <v>1405/02/25</v>
          </cell>
          <cell r="AD605" t="str">
            <v>7:00الی14:00</v>
          </cell>
          <cell r="AF605">
            <v>2</v>
          </cell>
        </row>
        <row r="606">
          <cell r="D606" t="str">
            <v>هاشم زاده</v>
          </cell>
          <cell r="N606" t="str">
            <v>دریل رادیال</v>
          </cell>
          <cell r="O606">
            <v>7401</v>
          </cell>
          <cell r="AC606" t="str">
            <v>1405/02/25</v>
          </cell>
          <cell r="AD606" t="str">
            <v>7:00الی14:00</v>
          </cell>
          <cell r="AF606">
            <v>2</v>
          </cell>
        </row>
        <row r="607">
          <cell r="D607" t="str">
            <v>هاشم زاده</v>
          </cell>
          <cell r="N607" t="str">
            <v>مونتاژ</v>
          </cell>
          <cell r="O607" t="str">
            <v>مونتاژ</v>
          </cell>
          <cell r="AC607" t="str">
            <v>1405/02/25</v>
          </cell>
          <cell r="AD607" t="str">
            <v>7:00الی14:00</v>
          </cell>
          <cell r="AF607">
            <v>2</v>
          </cell>
        </row>
        <row r="608">
          <cell r="D608" t="str">
            <v>خیرخواه</v>
          </cell>
          <cell r="N608" t="str">
            <v>مونتاژ</v>
          </cell>
          <cell r="O608" t="str">
            <v>دمونتاژ</v>
          </cell>
          <cell r="AC608" t="str">
            <v>1405/02/24</v>
          </cell>
          <cell r="AD608" t="str">
            <v>6:00الی14:00</v>
          </cell>
          <cell r="AF608">
            <v>1.5</v>
          </cell>
        </row>
        <row r="609">
          <cell r="D609" t="str">
            <v>خیرخواه</v>
          </cell>
          <cell r="N609" t="str">
            <v>اره لنگ</v>
          </cell>
          <cell r="O609">
            <v>8001</v>
          </cell>
          <cell r="AC609" t="str">
            <v>1405/02/24</v>
          </cell>
          <cell r="AD609" t="str">
            <v>6:00الی14:00</v>
          </cell>
          <cell r="AF609">
            <v>1.5</v>
          </cell>
        </row>
        <row r="610">
          <cell r="D610" t="str">
            <v>خیرخواه</v>
          </cell>
          <cell r="N610" t="str">
            <v>مونتاژ</v>
          </cell>
          <cell r="O610" t="str">
            <v>مونتاژ</v>
          </cell>
          <cell r="AC610" t="str">
            <v>1405/02/24</v>
          </cell>
          <cell r="AD610" t="str">
            <v>6:00الی14:00</v>
          </cell>
          <cell r="AF610">
            <v>2</v>
          </cell>
        </row>
        <row r="611">
          <cell r="D611" t="str">
            <v>خیرخواه</v>
          </cell>
          <cell r="N611" t="str">
            <v>نظافت</v>
          </cell>
          <cell r="O611" t="str">
            <v>نظافت</v>
          </cell>
          <cell r="AC611" t="str">
            <v>1405/02/24</v>
          </cell>
          <cell r="AD611" t="str">
            <v>6:00الی14:00</v>
          </cell>
          <cell r="AF611">
            <v>1</v>
          </cell>
        </row>
        <row r="612">
          <cell r="D612" t="str">
            <v>خیرخواه</v>
          </cell>
          <cell r="N612" t="str">
            <v>مونتاژ</v>
          </cell>
          <cell r="O612" t="str">
            <v>مونتاژ</v>
          </cell>
          <cell r="AC612" t="str">
            <v>1405/02/25</v>
          </cell>
          <cell r="AD612" t="str">
            <v>7:00الی14:00</v>
          </cell>
          <cell r="AF612">
            <v>2.5</v>
          </cell>
        </row>
        <row r="613">
          <cell r="D613" t="str">
            <v>خیرخواه</v>
          </cell>
          <cell r="N613" t="str">
            <v>مونتاژ</v>
          </cell>
          <cell r="O613" t="str">
            <v>مونتاژ</v>
          </cell>
          <cell r="AC613" t="str">
            <v>1405/02/25</v>
          </cell>
          <cell r="AD613" t="str">
            <v>7:00الی14:00</v>
          </cell>
          <cell r="AF613">
            <v>2</v>
          </cell>
        </row>
        <row r="614">
          <cell r="D614" t="str">
            <v>خیرخواه</v>
          </cell>
          <cell r="N614" t="str">
            <v>مونتاژ</v>
          </cell>
          <cell r="O614" t="str">
            <v>مونتاژ</v>
          </cell>
          <cell r="AC614" t="str">
            <v>1405/02/25</v>
          </cell>
          <cell r="AD614" t="str">
            <v>7:00الی14:00</v>
          </cell>
          <cell r="AF614">
            <v>2</v>
          </cell>
        </row>
        <row r="615">
          <cell r="D615" t="str">
            <v>موسوی</v>
          </cell>
          <cell r="N615" t="str">
            <v>تراش</v>
          </cell>
          <cell r="O615">
            <v>7302</v>
          </cell>
          <cell r="AC615" t="str">
            <v>1405/02/25</v>
          </cell>
          <cell r="AD615" t="str">
            <v>9:00الی14:00</v>
          </cell>
          <cell r="AF615">
            <v>3</v>
          </cell>
        </row>
        <row r="616">
          <cell r="D616" t="str">
            <v>موسوی</v>
          </cell>
          <cell r="N616" t="str">
            <v>تراش</v>
          </cell>
          <cell r="O616">
            <v>7302</v>
          </cell>
          <cell r="AC616" t="str">
            <v>1405/02/25</v>
          </cell>
          <cell r="AD616" t="str">
            <v>9:00الی14:00</v>
          </cell>
          <cell r="AF616">
            <v>2</v>
          </cell>
        </row>
        <row r="617">
          <cell r="D617" t="str">
            <v>کاظمی</v>
          </cell>
          <cell r="N617" t="str">
            <v>CNC</v>
          </cell>
          <cell r="O617">
            <v>7202</v>
          </cell>
          <cell r="AC617" t="str">
            <v>1405/02/26</v>
          </cell>
          <cell r="AD617" t="str">
            <v>6:30الی18:00</v>
          </cell>
          <cell r="AF617">
            <v>10.5</v>
          </cell>
        </row>
        <row r="618">
          <cell r="D618" t="str">
            <v>کریم پرست</v>
          </cell>
          <cell r="N618" t="str">
            <v>تراش</v>
          </cell>
          <cell r="O618">
            <v>7301</v>
          </cell>
          <cell r="AC618" t="str">
            <v>1405/02/26</v>
          </cell>
          <cell r="AD618" t="str">
            <v>6:00الی18:00</v>
          </cell>
          <cell r="AF618">
            <v>11</v>
          </cell>
        </row>
        <row r="619">
          <cell r="D619" t="str">
            <v>زیلویی</v>
          </cell>
          <cell r="N619" t="str">
            <v>CNC</v>
          </cell>
          <cell r="O619">
            <v>7203</v>
          </cell>
          <cell r="AC619" t="str">
            <v>1405/02/26</v>
          </cell>
          <cell r="AD619" t="str">
            <v>6:00الی18:00</v>
          </cell>
          <cell r="AF619">
            <v>11</v>
          </cell>
        </row>
        <row r="620">
          <cell r="D620" t="str">
            <v>یاراحمدی</v>
          </cell>
          <cell r="N620" t="str">
            <v>سنگ زنی</v>
          </cell>
          <cell r="O620">
            <v>7502</v>
          </cell>
          <cell r="AC620" t="str">
            <v>1405/02/26</v>
          </cell>
          <cell r="AD620" t="str">
            <v>6:00الی18:00</v>
          </cell>
          <cell r="AF620">
            <v>2</v>
          </cell>
        </row>
        <row r="621">
          <cell r="D621" t="str">
            <v>یاراحمدی</v>
          </cell>
          <cell r="N621" t="str">
            <v>سنگ زنی</v>
          </cell>
          <cell r="O621">
            <v>7502</v>
          </cell>
          <cell r="AC621" t="str">
            <v>1405/02/26</v>
          </cell>
          <cell r="AD621" t="str">
            <v>6:00الی18:00</v>
          </cell>
          <cell r="AF621">
            <v>9</v>
          </cell>
        </row>
        <row r="622">
          <cell r="D622" t="str">
            <v>قیطاسوند</v>
          </cell>
          <cell r="N622" t="str">
            <v>فرز</v>
          </cell>
          <cell r="O622">
            <v>7102</v>
          </cell>
          <cell r="AC622" t="str">
            <v>1405/02/26</v>
          </cell>
          <cell r="AD622" t="str">
            <v>6:00الی10:00</v>
          </cell>
          <cell r="AF622">
            <v>3.5</v>
          </cell>
        </row>
        <row r="623">
          <cell r="D623" t="str">
            <v>قیطاسوند</v>
          </cell>
          <cell r="N623" t="str">
            <v>فرز</v>
          </cell>
          <cell r="O623">
            <v>7102</v>
          </cell>
          <cell r="AC623" t="str">
            <v>1405/02/26</v>
          </cell>
          <cell r="AD623" t="str">
            <v>10:00الی18:00</v>
          </cell>
          <cell r="AF623">
            <v>7.5</v>
          </cell>
        </row>
        <row r="624">
          <cell r="D624" t="str">
            <v>صحرایی</v>
          </cell>
          <cell r="N624" t="str">
            <v>تراش</v>
          </cell>
          <cell r="O624">
            <v>7303</v>
          </cell>
          <cell r="AC624" t="str">
            <v>1405/02/26</v>
          </cell>
          <cell r="AD624" t="str">
            <v>6:00الی18:00</v>
          </cell>
          <cell r="AF624">
            <v>2</v>
          </cell>
        </row>
        <row r="625">
          <cell r="D625" t="str">
            <v>صحرایی</v>
          </cell>
          <cell r="N625" t="str">
            <v>تراش</v>
          </cell>
          <cell r="O625">
            <v>7302</v>
          </cell>
          <cell r="AC625" t="str">
            <v>1405/02/26</v>
          </cell>
          <cell r="AD625" t="str">
            <v>6:00الی18:00</v>
          </cell>
          <cell r="AF625">
            <v>3</v>
          </cell>
        </row>
        <row r="626">
          <cell r="D626" t="str">
            <v>صحرایی</v>
          </cell>
          <cell r="N626" t="str">
            <v>سری تراش</v>
          </cell>
          <cell r="O626">
            <v>8002</v>
          </cell>
          <cell r="AC626" t="str">
            <v>1405/02/26</v>
          </cell>
          <cell r="AD626" t="str">
            <v>6:00الی18:00</v>
          </cell>
          <cell r="AF626">
            <v>7.5</v>
          </cell>
        </row>
        <row r="627">
          <cell r="D627" t="str">
            <v>فراهی</v>
          </cell>
          <cell r="N627" t="str">
            <v>فرز</v>
          </cell>
          <cell r="O627">
            <v>7103</v>
          </cell>
          <cell r="AC627" t="str">
            <v>1405/02/26</v>
          </cell>
          <cell r="AD627" t="str">
            <v>7:00الی10:30</v>
          </cell>
          <cell r="AF627">
            <v>3</v>
          </cell>
        </row>
        <row r="628">
          <cell r="D628" t="str">
            <v>فراهی</v>
          </cell>
          <cell r="N628" t="str">
            <v>فرز</v>
          </cell>
          <cell r="O628">
            <v>7103</v>
          </cell>
          <cell r="AC628" t="str">
            <v>1405/02/26</v>
          </cell>
          <cell r="AD628" t="str">
            <v>10:30الی11:40</v>
          </cell>
          <cell r="AF628">
            <v>1.1666666666666667</v>
          </cell>
        </row>
        <row r="629">
          <cell r="D629" t="str">
            <v>فراهی</v>
          </cell>
          <cell r="N629" t="str">
            <v>فرز</v>
          </cell>
          <cell r="O629">
            <v>7103</v>
          </cell>
          <cell r="AC629" t="str">
            <v>1405/02/26</v>
          </cell>
          <cell r="AD629" t="str">
            <v>11:40الی12:30</v>
          </cell>
          <cell r="AF629">
            <v>0.83333333333333337</v>
          </cell>
        </row>
        <row r="630">
          <cell r="D630" t="str">
            <v>فراهی</v>
          </cell>
          <cell r="N630" t="str">
            <v>فرز</v>
          </cell>
          <cell r="O630">
            <v>7103</v>
          </cell>
          <cell r="AC630" t="str">
            <v>1405/02/26</v>
          </cell>
          <cell r="AD630" t="str">
            <v>12:30الی13:50</v>
          </cell>
          <cell r="AF630">
            <v>1.3333333333333333</v>
          </cell>
        </row>
        <row r="631">
          <cell r="D631" t="str">
            <v>خیرخواه</v>
          </cell>
          <cell r="N631" t="str">
            <v>مونتاژ</v>
          </cell>
          <cell r="O631" t="str">
            <v>دمونتاژ</v>
          </cell>
          <cell r="AC631" t="str">
            <v>1405/02/26</v>
          </cell>
          <cell r="AD631" t="str">
            <v>6:00الی18:00</v>
          </cell>
          <cell r="AF631">
            <v>1</v>
          </cell>
        </row>
        <row r="632">
          <cell r="D632" t="str">
            <v>خیرخواه</v>
          </cell>
          <cell r="N632" t="str">
            <v>مونتاژ</v>
          </cell>
          <cell r="O632" t="str">
            <v>دمونتاژ</v>
          </cell>
          <cell r="AC632" t="str">
            <v>1405/02/26</v>
          </cell>
          <cell r="AD632" t="str">
            <v>6:00الی18:00</v>
          </cell>
          <cell r="AF632">
            <v>1</v>
          </cell>
        </row>
        <row r="633">
          <cell r="D633" t="str">
            <v>خیرخواه</v>
          </cell>
          <cell r="N633" t="str">
            <v>اره لنگ</v>
          </cell>
          <cell r="O633">
            <v>8001</v>
          </cell>
          <cell r="AC633" t="str">
            <v>1405/02/26</v>
          </cell>
          <cell r="AD633" t="str">
            <v>6:00الی18:00</v>
          </cell>
          <cell r="AF633">
            <v>0.5</v>
          </cell>
        </row>
        <row r="634">
          <cell r="D634" t="str">
            <v>خیرخواه</v>
          </cell>
          <cell r="N634" t="str">
            <v>اره لنگ</v>
          </cell>
          <cell r="O634">
            <v>8001</v>
          </cell>
          <cell r="AC634" t="str">
            <v>1405/02/26</v>
          </cell>
          <cell r="AD634" t="str">
            <v>6:00الی18:00</v>
          </cell>
          <cell r="AF634">
            <v>0.5</v>
          </cell>
        </row>
        <row r="635">
          <cell r="D635" t="str">
            <v>خیرخواه</v>
          </cell>
          <cell r="N635" t="str">
            <v>مونتاژ</v>
          </cell>
          <cell r="O635" t="str">
            <v>مونتاژ</v>
          </cell>
          <cell r="AC635" t="str">
            <v>1405/02/26</v>
          </cell>
          <cell r="AD635" t="str">
            <v>6:00الی18:00</v>
          </cell>
          <cell r="AF635">
            <v>1</v>
          </cell>
        </row>
        <row r="636">
          <cell r="D636" t="str">
            <v>خیرخواه</v>
          </cell>
          <cell r="N636" t="str">
            <v>مونتاژ</v>
          </cell>
          <cell r="O636" t="str">
            <v>مونتاژ</v>
          </cell>
          <cell r="AC636" t="str">
            <v>1405/02/26</v>
          </cell>
          <cell r="AD636" t="str">
            <v>6:00الی18:00</v>
          </cell>
          <cell r="AF636">
            <v>6</v>
          </cell>
        </row>
        <row r="637">
          <cell r="D637" t="str">
            <v>موسوی</v>
          </cell>
          <cell r="N637" t="str">
            <v>تراش</v>
          </cell>
          <cell r="O637">
            <v>7302</v>
          </cell>
          <cell r="AC637" t="str">
            <v>1405/02/26</v>
          </cell>
          <cell r="AD637" t="str">
            <v>6:00الی18:00</v>
          </cell>
          <cell r="AF637">
            <v>9</v>
          </cell>
        </row>
        <row r="638">
          <cell r="D638" t="str">
            <v>صلواتی</v>
          </cell>
          <cell r="N638" t="str">
            <v>وایر</v>
          </cell>
          <cell r="O638">
            <v>7601</v>
          </cell>
          <cell r="AC638" t="str">
            <v>1405/02/25</v>
          </cell>
          <cell r="AD638" t="str">
            <v>6:00الی14:00</v>
          </cell>
          <cell r="AF638">
            <v>8</v>
          </cell>
        </row>
        <row r="639">
          <cell r="D639" t="str">
            <v>صلواتی</v>
          </cell>
          <cell r="N639" t="str">
            <v>وایر</v>
          </cell>
          <cell r="O639">
            <v>7602</v>
          </cell>
          <cell r="AC639" t="str">
            <v>1405/02/25</v>
          </cell>
          <cell r="AD639" t="str">
            <v>6:00الی14:00</v>
          </cell>
          <cell r="AF639">
            <v>8</v>
          </cell>
        </row>
        <row r="640">
          <cell r="D640" t="str">
            <v>صلواتی</v>
          </cell>
          <cell r="N640" t="str">
            <v>وایر</v>
          </cell>
          <cell r="O640">
            <v>7603</v>
          </cell>
          <cell r="AC640" t="str">
            <v>1405/02/25</v>
          </cell>
          <cell r="AD640" t="str">
            <v>6:00الی14:00</v>
          </cell>
          <cell r="AF640">
            <v>8</v>
          </cell>
        </row>
        <row r="641">
          <cell r="D641" t="str">
            <v>صلواتی</v>
          </cell>
          <cell r="N641" t="str">
            <v>وایر</v>
          </cell>
          <cell r="O641">
            <v>7605</v>
          </cell>
          <cell r="AC641" t="str">
            <v>1405/02/25</v>
          </cell>
          <cell r="AD641" t="str">
            <v>6:00الی10:00</v>
          </cell>
          <cell r="AF641">
            <v>4</v>
          </cell>
        </row>
        <row r="642">
          <cell r="D642" t="str">
            <v>صلواتی</v>
          </cell>
          <cell r="N642" t="str">
            <v>وایر</v>
          </cell>
          <cell r="O642">
            <v>7605</v>
          </cell>
          <cell r="AC642" t="str">
            <v>1405/02/25</v>
          </cell>
          <cell r="AD642" t="str">
            <v>10:00الی14:00</v>
          </cell>
          <cell r="AF642">
            <v>4</v>
          </cell>
        </row>
        <row r="643">
          <cell r="D643" t="str">
            <v>صلواتی</v>
          </cell>
          <cell r="N643" t="str">
            <v>سوپر دریل</v>
          </cell>
          <cell r="O643">
            <v>7701</v>
          </cell>
          <cell r="AC643" t="str">
            <v>1405/02/25</v>
          </cell>
          <cell r="AD643" t="str">
            <v>6:00الی14:00</v>
          </cell>
          <cell r="AF643">
            <v>8</v>
          </cell>
        </row>
        <row r="644">
          <cell r="D644" t="str">
            <v>صلواتی</v>
          </cell>
          <cell r="N644" t="str">
            <v>وایر</v>
          </cell>
          <cell r="O644">
            <v>7601</v>
          </cell>
          <cell r="AC644" t="str">
            <v>1405/02/24</v>
          </cell>
          <cell r="AD644" t="str">
            <v>6:00الی18:00</v>
          </cell>
          <cell r="AF644">
            <v>12</v>
          </cell>
        </row>
        <row r="645">
          <cell r="D645" t="str">
            <v>صلواتی</v>
          </cell>
          <cell r="N645" t="str">
            <v>وایر</v>
          </cell>
          <cell r="O645">
            <v>7602</v>
          </cell>
          <cell r="AC645" t="str">
            <v>1405/02/24</v>
          </cell>
          <cell r="AD645" t="str">
            <v>6:00الی18:00</v>
          </cell>
          <cell r="AF645">
            <v>12</v>
          </cell>
        </row>
        <row r="646">
          <cell r="D646" t="str">
            <v>صلواتی</v>
          </cell>
          <cell r="N646" t="str">
            <v>وایر</v>
          </cell>
          <cell r="O646">
            <v>7603</v>
          </cell>
          <cell r="AC646" t="str">
            <v>1405/02/24</v>
          </cell>
          <cell r="AD646" t="str">
            <v>6:00الی11:00</v>
          </cell>
          <cell r="AF646">
            <v>5</v>
          </cell>
        </row>
        <row r="647">
          <cell r="D647" t="str">
            <v>صلواتی</v>
          </cell>
          <cell r="N647" t="str">
            <v>وایر</v>
          </cell>
          <cell r="O647">
            <v>7605</v>
          </cell>
          <cell r="AC647" t="str">
            <v>1405/02/24</v>
          </cell>
          <cell r="AD647" t="str">
            <v>6:00الی18:00</v>
          </cell>
          <cell r="AF647">
            <v>12</v>
          </cell>
        </row>
        <row r="648">
          <cell r="D648" t="str">
            <v>صلواتی</v>
          </cell>
          <cell r="N648" t="str">
            <v>وایر</v>
          </cell>
          <cell r="O648">
            <v>7603</v>
          </cell>
          <cell r="AC648" t="str">
            <v>1405/02/24</v>
          </cell>
          <cell r="AD648" t="str">
            <v>11:00الی18:00</v>
          </cell>
          <cell r="AF648">
            <v>7</v>
          </cell>
        </row>
        <row r="649">
          <cell r="D649" t="str">
            <v>فراهی</v>
          </cell>
          <cell r="N649" t="str">
            <v>فرز</v>
          </cell>
          <cell r="O649">
            <v>7103</v>
          </cell>
          <cell r="AC649" t="str">
            <v>1405/02/27</v>
          </cell>
          <cell r="AD649" t="str">
            <v>7:00الی13:50</v>
          </cell>
          <cell r="AF649">
            <v>6.333333333333333</v>
          </cell>
        </row>
        <row r="650">
          <cell r="D650" t="str">
            <v>قیطاسوند</v>
          </cell>
          <cell r="N650" t="str">
            <v>فرز</v>
          </cell>
          <cell r="O650">
            <v>7102</v>
          </cell>
          <cell r="AC650" t="str">
            <v>1405/02/27</v>
          </cell>
          <cell r="AD650" t="str">
            <v>6:00الی18:00</v>
          </cell>
          <cell r="AF650">
            <v>11</v>
          </cell>
        </row>
        <row r="651">
          <cell r="D651" t="str">
            <v>حیدری</v>
          </cell>
          <cell r="N651" t="str">
            <v>فرز</v>
          </cell>
          <cell r="O651">
            <v>7101</v>
          </cell>
          <cell r="AC651" t="str">
            <v>1405/02/27</v>
          </cell>
          <cell r="AD651" t="str">
            <v>12:00الی18:00</v>
          </cell>
          <cell r="AF651">
            <v>5.5</v>
          </cell>
        </row>
        <row r="652">
          <cell r="D652" t="str">
            <v>حیدری</v>
          </cell>
          <cell r="N652" t="str">
            <v>فرز</v>
          </cell>
          <cell r="O652">
            <v>7101</v>
          </cell>
          <cell r="AC652" t="str">
            <v>1405/02/26</v>
          </cell>
          <cell r="AD652" t="str">
            <v>6:00الی12:00</v>
          </cell>
          <cell r="AF652">
            <v>5.5</v>
          </cell>
        </row>
        <row r="653">
          <cell r="D653" t="str">
            <v>حیدری</v>
          </cell>
          <cell r="N653" t="str">
            <v>فرز</v>
          </cell>
          <cell r="O653">
            <v>7101</v>
          </cell>
          <cell r="AC653" t="str">
            <v>1405/02/26</v>
          </cell>
          <cell r="AD653" t="str">
            <v>12:00الی18:00</v>
          </cell>
          <cell r="AF653">
            <v>5.5</v>
          </cell>
        </row>
        <row r="654">
          <cell r="D654" t="str">
            <v>هاشم زاده</v>
          </cell>
          <cell r="N654" t="str">
            <v>مونتاژ</v>
          </cell>
          <cell r="O654" t="str">
            <v>مونتاژ</v>
          </cell>
          <cell r="AC654" t="str">
            <v>1405/02/26</v>
          </cell>
          <cell r="AD654" t="str">
            <v>6:00الی18:00</v>
          </cell>
          <cell r="AF654">
            <v>8</v>
          </cell>
        </row>
        <row r="655">
          <cell r="D655" t="str">
            <v>هاشم زاده</v>
          </cell>
          <cell r="N655" t="str">
            <v>مونتاژ</v>
          </cell>
          <cell r="O655" t="str">
            <v>مونتاژ</v>
          </cell>
          <cell r="AC655" t="str">
            <v>1405/02/26</v>
          </cell>
          <cell r="AD655" t="str">
            <v>6:00الی18:00</v>
          </cell>
          <cell r="AF655">
            <v>2</v>
          </cell>
        </row>
        <row r="656">
          <cell r="D656" t="str">
            <v>خیرخواه</v>
          </cell>
          <cell r="N656" t="str">
            <v>دریل رادیال</v>
          </cell>
          <cell r="O656">
            <v>7401</v>
          </cell>
          <cell r="AC656" t="str">
            <v>1405/02/26</v>
          </cell>
          <cell r="AD656" t="str">
            <v>6:00الی18:00</v>
          </cell>
          <cell r="AF656">
            <v>1</v>
          </cell>
        </row>
        <row r="657">
          <cell r="D657" t="str">
            <v>خیرخواه</v>
          </cell>
          <cell r="N657" t="str">
            <v>مونتاژ</v>
          </cell>
          <cell r="O657" t="str">
            <v>مونتاژ</v>
          </cell>
          <cell r="AC657" t="str">
            <v>1405/02/26</v>
          </cell>
          <cell r="AD657" t="str">
            <v>6:00الی18:00</v>
          </cell>
          <cell r="AF657">
            <v>4</v>
          </cell>
        </row>
        <row r="658">
          <cell r="D658" t="str">
            <v>خیرخواه</v>
          </cell>
          <cell r="N658" t="str">
            <v>دریل رادیال</v>
          </cell>
          <cell r="O658">
            <v>7401</v>
          </cell>
          <cell r="AC658" t="str">
            <v>1405/02/26</v>
          </cell>
          <cell r="AD658" t="str">
            <v>6:00الی18:00</v>
          </cell>
          <cell r="AF658">
            <v>2</v>
          </cell>
        </row>
        <row r="659">
          <cell r="D659" t="str">
            <v>خیرخواه</v>
          </cell>
          <cell r="N659" t="str">
            <v>مونتاژ</v>
          </cell>
          <cell r="O659" t="str">
            <v>مونتاژ</v>
          </cell>
          <cell r="AC659" t="str">
            <v>1405/02/26</v>
          </cell>
          <cell r="AD659" t="str">
            <v>6:00الی18:00</v>
          </cell>
          <cell r="AF659">
            <v>4</v>
          </cell>
        </row>
        <row r="660">
          <cell r="D660" t="str">
            <v>زیلویی</v>
          </cell>
          <cell r="N660" t="str">
            <v>CNC</v>
          </cell>
          <cell r="O660">
            <v>7203</v>
          </cell>
          <cell r="AC660" t="str">
            <v>1405/02/27</v>
          </cell>
          <cell r="AD660" t="str">
            <v>6:00الی10:00</v>
          </cell>
          <cell r="AF660">
            <v>3.5</v>
          </cell>
        </row>
        <row r="661">
          <cell r="D661" t="str">
            <v>زیلویی</v>
          </cell>
          <cell r="N661" t="str">
            <v>CNC</v>
          </cell>
          <cell r="O661">
            <v>7204</v>
          </cell>
          <cell r="AC661" t="str">
            <v>1405/02/27</v>
          </cell>
          <cell r="AD661" t="str">
            <v>17:00الی18:00</v>
          </cell>
          <cell r="AF661">
            <v>1</v>
          </cell>
        </row>
        <row r="662">
          <cell r="D662" t="str">
            <v>زیلویی</v>
          </cell>
          <cell r="N662" t="str">
            <v>CNC</v>
          </cell>
          <cell r="O662">
            <v>7203</v>
          </cell>
          <cell r="AC662" t="str">
            <v>1405/02/27</v>
          </cell>
          <cell r="AD662" t="str">
            <v>10:00الی17:00</v>
          </cell>
          <cell r="AF662">
            <v>6.5</v>
          </cell>
        </row>
        <row r="663">
          <cell r="D663" t="str">
            <v>کاظمی</v>
          </cell>
          <cell r="N663" t="str">
            <v>CNC</v>
          </cell>
          <cell r="O663">
            <v>7202</v>
          </cell>
          <cell r="AC663" t="str">
            <v>1405/02/27</v>
          </cell>
          <cell r="AD663" t="str">
            <v>6:00الی11:30</v>
          </cell>
          <cell r="AF663">
            <v>5</v>
          </cell>
        </row>
        <row r="664">
          <cell r="D664" t="str">
            <v>کاظمی</v>
          </cell>
          <cell r="N664" t="str">
            <v>CNC</v>
          </cell>
          <cell r="O664">
            <v>7202</v>
          </cell>
          <cell r="AC664" t="str">
            <v>1405/02/27</v>
          </cell>
          <cell r="AD664" t="str">
            <v>11:30الی14:00</v>
          </cell>
          <cell r="AF664">
            <v>2</v>
          </cell>
        </row>
        <row r="665">
          <cell r="D665" t="str">
            <v>صحرایی</v>
          </cell>
          <cell r="N665" t="str">
            <v>تراش</v>
          </cell>
          <cell r="O665">
            <v>7303</v>
          </cell>
          <cell r="AC665" t="str">
            <v>1405/02/27</v>
          </cell>
          <cell r="AD665" t="str">
            <v>6:00الی12:00</v>
          </cell>
          <cell r="AF665">
            <v>3.5</v>
          </cell>
        </row>
        <row r="666">
          <cell r="D666" t="str">
            <v>صحرایی</v>
          </cell>
          <cell r="N666" t="str">
            <v>مونتاژ</v>
          </cell>
          <cell r="O666" t="str">
            <v>مونتاژ</v>
          </cell>
          <cell r="AC666" t="str">
            <v>1405/02/27</v>
          </cell>
          <cell r="AD666" t="str">
            <v>12:00الی14:00</v>
          </cell>
          <cell r="AF666">
            <v>2</v>
          </cell>
        </row>
        <row r="667">
          <cell r="D667" t="str">
            <v>صحرایی</v>
          </cell>
          <cell r="N667" t="str">
            <v>سری تراش</v>
          </cell>
          <cell r="O667">
            <v>8002</v>
          </cell>
          <cell r="AC667" t="str">
            <v>1405/02/27</v>
          </cell>
          <cell r="AD667" t="str">
            <v>6:00الی14:00</v>
          </cell>
          <cell r="AF667">
            <v>5.5</v>
          </cell>
        </row>
        <row r="668">
          <cell r="D668" t="str">
            <v>موسوی</v>
          </cell>
          <cell r="N668" t="str">
            <v>تراش</v>
          </cell>
          <cell r="O668">
            <v>7302</v>
          </cell>
          <cell r="AC668" t="str">
            <v>1405/02/27</v>
          </cell>
          <cell r="AD668" t="str">
            <v>6:00الی18:00</v>
          </cell>
          <cell r="AF668">
            <v>5</v>
          </cell>
        </row>
        <row r="669">
          <cell r="D669" t="str">
            <v>موسوی</v>
          </cell>
          <cell r="N669" t="str">
            <v>تراش</v>
          </cell>
          <cell r="O669">
            <v>7302</v>
          </cell>
          <cell r="AC669" t="str">
            <v>1405/02/27</v>
          </cell>
          <cell r="AD669" t="str">
            <v>6:00الی18:00</v>
          </cell>
          <cell r="AF669">
            <v>2</v>
          </cell>
        </row>
        <row r="670">
          <cell r="D670" t="str">
            <v>موسوی</v>
          </cell>
          <cell r="N670" t="str">
            <v>تراش</v>
          </cell>
          <cell r="O670">
            <v>7302</v>
          </cell>
          <cell r="AC670" t="str">
            <v>1405/02/27</v>
          </cell>
          <cell r="AD670" t="str">
            <v>6:00الی18:00</v>
          </cell>
          <cell r="AF670">
            <v>2</v>
          </cell>
        </row>
        <row r="671">
          <cell r="D671" t="str">
            <v>موسوی</v>
          </cell>
          <cell r="N671" t="str">
            <v>تراش</v>
          </cell>
          <cell r="O671">
            <v>7302</v>
          </cell>
          <cell r="AC671" t="str">
            <v>1405/02/27</v>
          </cell>
          <cell r="AD671" t="str">
            <v>6:00الی18:00</v>
          </cell>
          <cell r="AF671">
            <v>2</v>
          </cell>
        </row>
        <row r="672">
          <cell r="D672" t="str">
            <v>یاراحمدی</v>
          </cell>
          <cell r="N672" t="str">
            <v>سنگ زنی</v>
          </cell>
          <cell r="O672">
            <v>7502</v>
          </cell>
          <cell r="AC672" t="str">
            <v>1405/02/27</v>
          </cell>
          <cell r="AD672" t="str">
            <v>6:00الی18:00</v>
          </cell>
          <cell r="AF672">
            <v>6</v>
          </cell>
        </row>
        <row r="673">
          <cell r="D673" t="str">
            <v>یاراحمدی</v>
          </cell>
          <cell r="N673" t="str">
            <v>مونتاژ</v>
          </cell>
          <cell r="O673" t="str">
            <v>مونتاژ</v>
          </cell>
          <cell r="AC673" t="str">
            <v>1405/02/27</v>
          </cell>
          <cell r="AD673" t="str">
            <v>6:00الی18:00</v>
          </cell>
          <cell r="AF673">
            <v>2</v>
          </cell>
        </row>
        <row r="674">
          <cell r="D674" t="str">
            <v>یاراحمدی</v>
          </cell>
          <cell r="N674" t="str">
            <v>مونتاژ</v>
          </cell>
          <cell r="O674" t="str">
            <v>مونتاژ</v>
          </cell>
          <cell r="AC674" t="str">
            <v>1405/02/27</v>
          </cell>
          <cell r="AD674" t="str">
            <v>6:00الی18:00</v>
          </cell>
          <cell r="AF674">
            <v>2</v>
          </cell>
        </row>
        <row r="675">
          <cell r="D675" t="str">
            <v>صلواتی</v>
          </cell>
          <cell r="N675" t="str">
            <v>وایر</v>
          </cell>
          <cell r="O675">
            <v>7602</v>
          </cell>
          <cell r="AC675" t="str">
            <v>1405/02/27</v>
          </cell>
          <cell r="AD675" t="str">
            <v>10:00الی18:00</v>
          </cell>
          <cell r="AF675">
            <v>8</v>
          </cell>
        </row>
        <row r="676">
          <cell r="D676" t="str">
            <v>صلواتی</v>
          </cell>
          <cell r="N676" t="str">
            <v>وایر</v>
          </cell>
          <cell r="O676">
            <v>7603</v>
          </cell>
          <cell r="AC676" t="str">
            <v>1405/02/27</v>
          </cell>
          <cell r="AD676" t="str">
            <v>10:00الی15:00</v>
          </cell>
          <cell r="AF676">
            <v>5</v>
          </cell>
        </row>
        <row r="677">
          <cell r="D677" t="str">
            <v>صلواتی</v>
          </cell>
          <cell r="N677" t="str">
            <v>وایر</v>
          </cell>
          <cell r="O677">
            <v>7603</v>
          </cell>
          <cell r="AC677" t="str">
            <v>1405/02/27</v>
          </cell>
          <cell r="AD677" t="str">
            <v>15:00الی18:00</v>
          </cell>
          <cell r="AF677">
            <v>3</v>
          </cell>
        </row>
        <row r="678">
          <cell r="D678" t="str">
            <v>صلواتی</v>
          </cell>
          <cell r="N678" t="str">
            <v>وایر</v>
          </cell>
          <cell r="O678">
            <v>7605</v>
          </cell>
          <cell r="AC678" t="str">
            <v>1405/02/27</v>
          </cell>
          <cell r="AD678" t="str">
            <v>10:00الی18:00</v>
          </cell>
          <cell r="AF678">
            <v>8</v>
          </cell>
        </row>
        <row r="679">
          <cell r="D679" t="str">
            <v>کریم پرست</v>
          </cell>
          <cell r="N679" t="str">
            <v>تراش</v>
          </cell>
          <cell r="O679">
            <v>7301</v>
          </cell>
          <cell r="AC679" t="str">
            <v>1405/02/27</v>
          </cell>
          <cell r="AD679" t="str">
            <v>6:00الی18:00</v>
          </cell>
          <cell r="AF679">
            <v>4</v>
          </cell>
        </row>
        <row r="680">
          <cell r="D680" t="str">
            <v>کریم پرست</v>
          </cell>
          <cell r="N680" t="str">
            <v>تراش</v>
          </cell>
          <cell r="O680">
            <v>7301</v>
          </cell>
          <cell r="AC680" t="str">
            <v>1405/02/27</v>
          </cell>
          <cell r="AD680" t="str">
            <v>6:00الی18:00</v>
          </cell>
          <cell r="AF680">
            <v>4</v>
          </cell>
        </row>
        <row r="681">
          <cell r="D681" t="str">
            <v>کریم پرست</v>
          </cell>
          <cell r="N681" t="str">
            <v>تراش</v>
          </cell>
          <cell r="O681">
            <v>7301</v>
          </cell>
          <cell r="AC681" t="str">
            <v>1405/02/27</v>
          </cell>
          <cell r="AD681" t="str">
            <v>6:00الی18:00</v>
          </cell>
          <cell r="AF681">
            <v>2</v>
          </cell>
        </row>
        <row r="682">
          <cell r="D682" t="str">
            <v>هاشم زاده</v>
          </cell>
          <cell r="N682" t="str">
            <v>مونتاژ</v>
          </cell>
          <cell r="O682" t="str">
            <v>مونتاژ</v>
          </cell>
          <cell r="AC682" t="str">
            <v>1405/02/27</v>
          </cell>
          <cell r="AD682" t="str">
            <v>6:00الی18:00</v>
          </cell>
          <cell r="AF682">
            <v>2</v>
          </cell>
        </row>
        <row r="683">
          <cell r="D683" t="str">
            <v>هاشم زاده</v>
          </cell>
          <cell r="N683" t="str">
            <v>مونتاژ</v>
          </cell>
          <cell r="O683" t="str">
            <v>مونتاژ</v>
          </cell>
          <cell r="AC683" t="str">
            <v>1405/02/27</v>
          </cell>
          <cell r="AD683" t="str">
            <v>6:00الی18:00</v>
          </cell>
          <cell r="AF683">
            <v>2</v>
          </cell>
        </row>
        <row r="684">
          <cell r="D684" t="str">
            <v>هاشم زاده</v>
          </cell>
          <cell r="N684" t="str">
            <v>مونتاژ</v>
          </cell>
          <cell r="O684" t="str">
            <v>مونتاژ</v>
          </cell>
          <cell r="AC684" t="str">
            <v>1405/02/27</v>
          </cell>
          <cell r="AD684" t="str">
            <v>6:00الی18:00</v>
          </cell>
          <cell r="AF684">
            <v>2</v>
          </cell>
        </row>
        <row r="685">
          <cell r="D685" t="str">
            <v>هاشم زاده</v>
          </cell>
          <cell r="N685" t="str">
            <v>مونتاژ</v>
          </cell>
          <cell r="O685" t="str">
            <v>مونتاژ</v>
          </cell>
          <cell r="AC685" t="str">
            <v>1405/02/27</v>
          </cell>
          <cell r="AD685" t="str">
            <v>6:00الی18:00</v>
          </cell>
          <cell r="AF685">
            <v>2</v>
          </cell>
        </row>
        <row r="686">
          <cell r="D686" t="str">
            <v>خیرخواه</v>
          </cell>
          <cell r="N686" t="str">
            <v>مونتاژ</v>
          </cell>
          <cell r="O686" t="str">
            <v>مونتاژ</v>
          </cell>
          <cell r="AC686" t="str">
            <v>1405/02/27</v>
          </cell>
          <cell r="AD686" t="str">
            <v>6:00الی18:00</v>
          </cell>
          <cell r="AF686">
            <v>2</v>
          </cell>
        </row>
        <row r="687">
          <cell r="D687" t="str">
            <v>خیرخواه</v>
          </cell>
          <cell r="N687" t="str">
            <v>مونتاژ</v>
          </cell>
          <cell r="O687" t="str">
            <v>مونتاژ</v>
          </cell>
          <cell r="AC687" t="str">
            <v>1405/02/27</v>
          </cell>
          <cell r="AD687" t="str">
            <v>6:00الی18:00</v>
          </cell>
          <cell r="AF687">
            <v>2</v>
          </cell>
        </row>
        <row r="688">
          <cell r="D688" t="str">
            <v>خیرخواه</v>
          </cell>
          <cell r="N688" t="str">
            <v>مونتاژ</v>
          </cell>
          <cell r="O688" t="str">
            <v>مونتاژ</v>
          </cell>
          <cell r="AC688" t="str">
            <v>1405/02/27</v>
          </cell>
          <cell r="AD688" t="str">
            <v>6:00الی18:00</v>
          </cell>
          <cell r="AF688">
            <v>2</v>
          </cell>
        </row>
        <row r="689">
          <cell r="D689" t="str">
            <v>خیرخواه</v>
          </cell>
          <cell r="N689" t="str">
            <v>مونتاژ</v>
          </cell>
          <cell r="O689" t="str">
            <v>مونتاژ</v>
          </cell>
          <cell r="AC689" t="str">
            <v>1405/02/27</v>
          </cell>
          <cell r="AD689" t="str">
            <v>6:00الی18:00</v>
          </cell>
          <cell r="AF689">
            <v>2</v>
          </cell>
        </row>
        <row r="690">
          <cell r="D690" t="str">
            <v>کاظمی</v>
          </cell>
          <cell r="N690" t="str">
            <v>CNC</v>
          </cell>
          <cell r="O690">
            <v>7202</v>
          </cell>
          <cell r="AC690" t="str">
            <v>1405/02/28</v>
          </cell>
          <cell r="AD690" t="str">
            <v>6:00الی18:00</v>
          </cell>
          <cell r="AF690">
            <v>11</v>
          </cell>
        </row>
        <row r="691">
          <cell r="D691" t="str">
            <v>فراهی</v>
          </cell>
          <cell r="N691" t="str">
            <v>فرز</v>
          </cell>
          <cell r="O691">
            <v>7103</v>
          </cell>
          <cell r="AC691" t="str">
            <v>1405/02/28</v>
          </cell>
          <cell r="AD691" t="str">
            <v>7:00الی13:50</v>
          </cell>
          <cell r="AF691">
            <v>6.333333333333333</v>
          </cell>
        </row>
        <row r="692">
          <cell r="D692" t="str">
            <v>قیطاسوند</v>
          </cell>
          <cell r="N692" t="str">
            <v>فرز</v>
          </cell>
          <cell r="O692">
            <v>7102</v>
          </cell>
          <cell r="AC692" t="str">
            <v>1405/02/28</v>
          </cell>
          <cell r="AD692" t="str">
            <v>6:00الی18:00</v>
          </cell>
          <cell r="AF692">
            <v>11</v>
          </cell>
        </row>
        <row r="693">
          <cell r="D693" t="str">
            <v>حیدری</v>
          </cell>
          <cell r="N693" t="str">
            <v>فرز</v>
          </cell>
          <cell r="O693">
            <v>7101</v>
          </cell>
          <cell r="AC693" t="str">
            <v>1405/02/28</v>
          </cell>
          <cell r="AD693" t="str">
            <v>6:00الی12:00</v>
          </cell>
          <cell r="AF693">
            <v>5.5</v>
          </cell>
        </row>
        <row r="694">
          <cell r="D694" t="str">
            <v>حیدری</v>
          </cell>
          <cell r="N694" t="str">
            <v>فرز</v>
          </cell>
          <cell r="O694">
            <v>7101</v>
          </cell>
          <cell r="AC694" t="str">
            <v>1405/02/28</v>
          </cell>
          <cell r="AD694" t="str">
            <v>12:00الی18:00</v>
          </cell>
          <cell r="AF694">
            <v>5.5</v>
          </cell>
        </row>
        <row r="695">
          <cell r="D695" t="str">
            <v>یاراحمدی</v>
          </cell>
          <cell r="N695" t="str">
            <v>مونتاژ</v>
          </cell>
          <cell r="O695" t="str">
            <v>مونتاژ</v>
          </cell>
          <cell r="AC695" t="str">
            <v>1405/02/28</v>
          </cell>
          <cell r="AD695" t="str">
            <v>6:00الی18:00</v>
          </cell>
          <cell r="AF695">
            <v>2</v>
          </cell>
        </row>
        <row r="696">
          <cell r="D696" t="str">
            <v>یاراحمدی</v>
          </cell>
          <cell r="N696" t="str">
            <v>سنگ زنی</v>
          </cell>
          <cell r="O696">
            <v>7502</v>
          </cell>
          <cell r="AC696" t="str">
            <v>1405/02/28</v>
          </cell>
          <cell r="AD696" t="str">
            <v>6:00الی18:00</v>
          </cell>
          <cell r="AF696">
            <v>8</v>
          </cell>
        </row>
        <row r="697">
          <cell r="D697" t="str">
            <v>صحرایی</v>
          </cell>
          <cell r="N697" t="str">
            <v>مونتاژ</v>
          </cell>
          <cell r="O697" t="str">
            <v>مونتاژ</v>
          </cell>
          <cell r="AC697" t="str">
            <v>1405/02/28</v>
          </cell>
          <cell r="AD697" t="str">
            <v>6:00الی14:00</v>
          </cell>
          <cell r="AF697">
            <v>2</v>
          </cell>
        </row>
        <row r="698">
          <cell r="D698" t="str">
            <v>صحرایی</v>
          </cell>
          <cell r="N698" t="str">
            <v>مونتاژ</v>
          </cell>
          <cell r="O698" t="str">
            <v>مونتاژ</v>
          </cell>
          <cell r="AC698" t="str">
            <v>1405/02/28</v>
          </cell>
          <cell r="AD698" t="str">
            <v>6:00الی14:00</v>
          </cell>
          <cell r="AF698">
            <v>1</v>
          </cell>
        </row>
        <row r="699">
          <cell r="D699" t="str">
            <v>صحرایی</v>
          </cell>
          <cell r="N699" t="str">
            <v>سری تراش</v>
          </cell>
          <cell r="O699">
            <v>8002</v>
          </cell>
          <cell r="AC699" t="str">
            <v>1405/02/28</v>
          </cell>
          <cell r="AD699" t="str">
            <v>6:00الی14:00</v>
          </cell>
          <cell r="AF699">
            <v>7.5</v>
          </cell>
        </row>
        <row r="700">
          <cell r="D700" t="str">
            <v>کریم پرست</v>
          </cell>
          <cell r="N700" t="str">
            <v>تراش</v>
          </cell>
          <cell r="O700">
            <v>7301</v>
          </cell>
          <cell r="AC700" t="str">
            <v>1405/02/28</v>
          </cell>
          <cell r="AD700" t="str">
            <v>6:00الی18:00</v>
          </cell>
          <cell r="AF700">
            <v>4</v>
          </cell>
        </row>
        <row r="701">
          <cell r="D701" t="str">
            <v>کریم پرست</v>
          </cell>
          <cell r="N701" t="str">
            <v>تراش</v>
          </cell>
          <cell r="O701">
            <v>7301</v>
          </cell>
          <cell r="AC701" t="str">
            <v>1405/02/28</v>
          </cell>
          <cell r="AD701" t="str">
            <v>6:00الی18:00</v>
          </cell>
          <cell r="AF701">
            <v>4</v>
          </cell>
        </row>
        <row r="702">
          <cell r="D702" t="str">
            <v>کریم پرست</v>
          </cell>
          <cell r="N702" t="str">
            <v>تراش</v>
          </cell>
          <cell r="O702">
            <v>7301</v>
          </cell>
          <cell r="AC702" t="str">
            <v>1405/02/28</v>
          </cell>
          <cell r="AD702" t="str">
            <v>6:00الی18:00</v>
          </cell>
          <cell r="AF702">
            <v>2</v>
          </cell>
        </row>
        <row r="703">
          <cell r="D703" t="str">
            <v>هاشم زاده</v>
          </cell>
          <cell r="N703" t="str">
            <v>مونتاژ</v>
          </cell>
          <cell r="O703" t="str">
            <v>مونتاژ</v>
          </cell>
          <cell r="AC703" t="str">
            <v>1405/02/28</v>
          </cell>
          <cell r="AD703" t="str">
            <v>6:00الی18:00</v>
          </cell>
          <cell r="AF703">
            <v>4</v>
          </cell>
        </row>
        <row r="704">
          <cell r="D704" t="str">
            <v>هاشم زاده</v>
          </cell>
          <cell r="N704" t="str">
            <v>مونتاژ</v>
          </cell>
          <cell r="O704" t="str">
            <v>مونتاژ</v>
          </cell>
          <cell r="AC704" t="str">
            <v>1405/02/28</v>
          </cell>
          <cell r="AD704" t="str">
            <v>6:00الی18:00</v>
          </cell>
          <cell r="AF704">
            <v>4</v>
          </cell>
        </row>
        <row r="705">
          <cell r="D705" t="str">
            <v>موسوی</v>
          </cell>
          <cell r="N705" t="str">
            <v>تراش</v>
          </cell>
          <cell r="O705">
            <v>7302</v>
          </cell>
          <cell r="AC705" t="str">
            <v>1405/02/28</v>
          </cell>
          <cell r="AD705" t="str">
            <v>6:00الی18:00</v>
          </cell>
          <cell r="AF705">
            <v>2.5</v>
          </cell>
        </row>
        <row r="706">
          <cell r="D706" t="str">
            <v>موسوی</v>
          </cell>
          <cell r="N706" t="str">
            <v>تراش</v>
          </cell>
          <cell r="O706">
            <v>7302</v>
          </cell>
          <cell r="AC706" t="str">
            <v>1405/02/28</v>
          </cell>
          <cell r="AD706" t="str">
            <v>6:00الی18:00</v>
          </cell>
          <cell r="AF706">
            <v>2.5</v>
          </cell>
        </row>
        <row r="707">
          <cell r="D707" t="str">
            <v>موسوی</v>
          </cell>
          <cell r="N707" t="str">
            <v>تراش</v>
          </cell>
          <cell r="O707">
            <v>7302</v>
          </cell>
          <cell r="AC707" t="str">
            <v>1405/02/28</v>
          </cell>
          <cell r="AD707" t="str">
            <v>6:00الی18:00</v>
          </cell>
          <cell r="AF707">
            <v>2</v>
          </cell>
        </row>
        <row r="708">
          <cell r="D708" t="str">
            <v>موسوی</v>
          </cell>
          <cell r="N708" t="str">
            <v>مونتاژ</v>
          </cell>
          <cell r="O708" t="str">
            <v>مونتاژ</v>
          </cell>
          <cell r="AC708" t="str">
            <v>1405/02/28</v>
          </cell>
          <cell r="AD708" t="str">
            <v>6:00الی18:00</v>
          </cell>
          <cell r="AF708">
            <v>2</v>
          </cell>
        </row>
        <row r="709">
          <cell r="D709" t="str">
            <v>موسوی</v>
          </cell>
          <cell r="N709" t="str">
            <v>تراش</v>
          </cell>
          <cell r="O709">
            <v>7302</v>
          </cell>
          <cell r="AC709" t="str">
            <v>1405/02/28</v>
          </cell>
          <cell r="AD709" t="str">
            <v>6:00الی18:00</v>
          </cell>
          <cell r="AF709">
            <v>2</v>
          </cell>
        </row>
        <row r="710">
          <cell r="D710" t="str">
            <v>زیلویی</v>
          </cell>
          <cell r="N710" t="str">
            <v>CNC</v>
          </cell>
          <cell r="O710">
            <v>7203</v>
          </cell>
          <cell r="AC710" t="str">
            <v>1405/02/28</v>
          </cell>
          <cell r="AD710" t="str">
            <v>6:00الی14:00</v>
          </cell>
          <cell r="AF710">
            <v>7.5</v>
          </cell>
        </row>
        <row r="711">
          <cell r="D711" t="str">
            <v>زیلویی</v>
          </cell>
          <cell r="N711" t="str">
            <v>CNC</v>
          </cell>
          <cell r="O711">
            <v>7203</v>
          </cell>
          <cell r="AC711" t="str">
            <v>1405/02/28</v>
          </cell>
          <cell r="AD711" t="str">
            <v>14:00الی18:00</v>
          </cell>
          <cell r="AF711">
            <v>3.5</v>
          </cell>
        </row>
        <row r="712">
          <cell r="D712" t="str">
            <v>زیلویی</v>
          </cell>
          <cell r="N712" t="str">
            <v>CNC</v>
          </cell>
          <cell r="O712">
            <v>7204</v>
          </cell>
          <cell r="AC712" t="str">
            <v>1405/02/28</v>
          </cell>
          <cell r="AD712" t="str">
            <v>6:00الی18:00</v>
          </cell>
          <cell r="AF712">
            <v>11</v>
          </cell>
        </row>
        <row r="713">
          <cell r="D713" t="str">
            <v>صلواتی</v>
          </cell>
          <cell r="N713" t="str">
            <v>وایر</v>
          </cell>
          <cell r="O713">
            <v>7601</v>
          </cell>
          <cell r="AC713" t="str">
            <v>1405/02/28</v>
          </cell>
          <cell r="AD713" t="str">
            <v>6:00الی18:00</v>
          </cell>
          <cell r="AF713">
            <v>12</v>
          </cell>
        </row>
        <row r="714">
          <cell r="D714" t="str">
            <v>صلواتی</v>
          </cell>
          <cell r="N714" t="str">
            <v>وایر</v>
          </cell>
          <cell r="O714">
            <v>7602</v>
          </cell>
          <cell r="AC714" t="str">
            <v>1405/02/28</v>
          </cell>
          <cell r="AD714" t="str">
            <v>6:00الی18:00</v>
          </cell>
          <cell r="AF714">
            <v>12</v>
          </cell>
        </row>
        <row r="715">
          <cell r="D715" t="str">
            <v>صلواتی</v>
          </cell>
          <cell r="N715" t="str">
            <v>وایر</v>
          </cell>
          <cell r="O715">
            <v>7603</v>
          </cell>
          <cell r="AC715" t="str">
            <v>1405/02/28</v>
          </cell>
          <cell r="AD715" t="str">
            <v>6:00الی10:00</v>
          </cell>
          <cell r="AF715">
            <v>4</v>
          </cell>
        </row>
        <row r="716">
          <cell r="D716" t="str">
            <v>صلواتی</v>
          </cell>
          <cell r="N716" t="str">
            <v>وایر</v>
          </cell>
          <cell r="O716">
            <v>7603</v>
          </cell>
          <cell r="AC716" t="str">
            <v>1405/02/28</v>
          </cell>
          <cell r="AD716" t="str">
            <v>10:00الی18:00</v>
          </cell>
          <cell r="AF716">
            <v>8</v>
          </cell>
        </row>
        <row r="717">
          <cell r="D717" t="str">
            <v>صلواتی</v>
          </cell>
          <cell r="N717" t="str">
            <v>وایر</v>
          </cell>
          <cell r="O717">
            <v>7605</v>
          </cell>
          <cell r="AC717" t="str">
            <v>1405/02/28</v>
          </cell>
          <cell r="AD717" t="str">
            <v>6:00الی18:00</v>
          </cell>
          <cell r="AF717">
            <v>12</v>
          </cell>
        </row>
        <row r="718">
          <cell r="D718" t="str">
            <v>قیطاسوند</v>
          </cell>
          <cell r="N718" t="str">
            <v>فرز</v>
          </cell>
          <cell r="O718">
            <v>7102</v>
          </cell>
          <cell r="AC718" t="str">
            <v>1405/02/29</v>
          </cell>
          <cell r="AD718" t="str">
            <v>6:00الی18:00</v>
          </cell>
          <cell r="AF718">
            <v>11</v>
          </cell>
        </row>
        <row r="719">
          <cell r="D719" t="str">
            <v>کاظمی</v>
          </cell>
          <cell r="N719" t="str">
            <v>CNC</v>
          </cell>
          <cell r="O719">
            <v>7202</v>
          </cell>
          <cell r="AC719" t="str">
            <v>1405/02/29</v>
          </cell>
          <cell r="AD719" t="str">
            <v>6:00الی14:00</v>
          </cell>
          <cell r="AF719">
            <v>7.5</v>
          </cell>
        </row>
        <row r="720">
          <cell r="D720" t="str">
            <v>کریم پرست</v>
          </cell>
          <cell r="N720" t="str">
            <v>تراش</v>
          </cell>
          <cell r="O720">
            <v>7301</v>
          </cell>
          <cell r="AC720" t="str">
            <v>1405/02/29</v>
          </cell>
          <cell r="AD720" t="str">
            <v>6:00الی16:00</v>
          </cell>
          <cell r="AF720">
            <v>2</v>
          </cell>
        </row>
        <row r="721">
          <cell r="D721" t="str">
            <v>کریم پرست</v>
          </cell>
          <cell r="N721" t="str">
            <v>تراش</v>
          </cell>
          <cell r="O721">
            <v>7301</v>
          </cell>
          <cell r="AC721" t="str">
            <v>1405/02/29</v>
          </cell>
          <cell r="AD721" t="str">
            <v>6:00الی16:00</v>
          </cell>
          <cell r="AF721">
            <v>7</v>
          </cell>
        </row>
        <row r="722">
          <cell r="D722" t="str">
            <v>زیلویی</v>
          </cell>
          <cell r="N722" t="str">
            <v>CNC</v>
          </cell>
          <cell r="O722">
            <v>7203</v>
          </cell>
          <cell r="AC722" t="str">
            <v>1405/02/29</v>
          </cell>
          <cell r="AD722" t="str">
            <v>6:00الی18:00</v>
          </cell>
          <cell r="AF722">
            <v>11</v>
          </cell>
        </row>
        <row r="723">
          <cell r="D723" t="str">
            <v>زیلویی</v>
          </cell>
          <cell r="N723" t="str">
            <v>CNC</v>
          </cell>
          <cell r="O723">
            <v>7204</v>
          </cell>
          <cell r="AC723" t="str">
            <v>1405/02/29</v>
          </cell>
          <cell r="AD723" t="str">
            <v>6:00الی14:00</v>
          </cell>
          <cell r="AF723">
            <v>7.5</v>
          </cell>
        </row>
        <row r="724">
          <cell r="D724" t="str">
            <v>حیدری</v>
          </cell>
          <cell r="N724" t="str">
            <v>فرز</v>
          </cell>
          <cell r="O724">
            <v>7101</v>
          </cell>
          <cell r="AC724" t="str">
            <v>1405/02/29</v>
          </cell>
          <cell r="AD724" t="str">
            <v>6:00الی10:00</v>
          </cell>
          <cell r="AF724">
            <v>4</v>
          </cell>
        </row>
        <row r="725">
          <cell r="D725" t="str">
            <v>حیدری</v>
          </cell>
          <cell r="N725" t="str">
            <v>فرز</v>
          </cell>
          <cell r="O725">
            <v>7101</v>
          </cell>
          <cell r="AC725" t="str">
            <v>1405/02/29</v>
          </cell>
          <cell r="AD725" t="str">
            <v>14:00الی18:00</v>
          </cell>
          <cell r="AF725">
            <v>4</v>
          </cell>
        </row>
        <row r="726">
          <cell r="D726" t="str">
            <v>فراهی</v>
          </cell>
          <cell r="N726" t="str">
            <v>فرز</v>
          </cell>
          <cell r="O726">
            <v>7103</v>
          </cell>
          <cell r="AC726" t="str">
            <v>1405/02/29</v>
          </cell>
          <cell r="AD726" t="str">
            <v>7:00الی10:15</v>
          </cell>
          <cell r="AF726">
            <v>3</v>
          </cell>
        </row>
        <row r="727">
          <cell r="D727" t="str">
            <v>فراهی</v>
          </cell>
          <cell r="N727" t="str">
            <v>فرز</v>
          </cell>
          <cell r="O727">
            <v>7103</v>
          </cell>
          <cell r="AC727" t="str">
            <v>1405/02/29</v>
          </cell>
          <cell r="AD727" t="str">
            <v>10:15الی11:30</v>
          </cell>
          <cell r="AF727">
            <v>1</v>
          </cell>
        </row>
        <row r="728">
          <cell r="D728" t="str">
            <v>فراهی</v>
          </cell>
          <cell r="N728" t="str">
            <v>فرز</v>
          </cell>
          <cell r="O728">
            <v>7103</v>
          </cell>
          <cell r="AC728" t="str">
            <v>1405/02/29</v>
          </cell>
          <cell r="AD728" t="str">
            <v>11:30الی13:50</v>
          </cell>
          <cell r="AF728">
            <v>2.3333333333333335</v>
          </cell>
        </row>
        <row r="729">
          <cell r="D729" t="str">
            <v>یاراحمدی</v>
          </cell>
          <cell r="N729" t="str">
            <v>سنگ زنی</v>
          </cell>
          <cell r="O729">
            <v>7502</v>
          </cell>
          <cell r="AC729" t="str">
            <v>1405/02/29</v>
          </cell>
          <cell r="AD729" t="str">
            <v>6:00الی18:00</v>
          </cell>
          <cell r="AF729">
            <v>4</v>
          </cell>
        </row>
        <row r="730">
          <cell r="D730" t="str">
            <v>یاراحمدی</v>
          </cell>
          <cell r="N730" t="str">
            <v>سنگ زنی</v>
          </cell>
          <cell r="O730">
            <v>7502</v>
          </cell>
          <cell r="AC730" t="str">
            <v>1405/02/29</v>
          </cell>
          <cell r="AD730" t="str">
            <v>6:00الی18:00</v>
          </cell>
          <cell r="AF730">
            <v>5</v>
          </cell>
        </row>
        <row r="731">
          <cell r="D731" t="str">
            <v>یاراحمدی</v>
          </cell>
          <cell r="N731" t="str">
            <v>سنگ زنی</v>
          </cell>
          <cell r="O731">
            <v>7502</v>
          </cell>
          <cell r="AC731" t="str">
            <v>1405/02/29</v>
          </cell>
          <cell r="AD731" t="str">
            <v>6:00الی18:00</v>
          </cell>
          <cell r="AF731">
            <v>2</v>
          </cell>
        </row>
        <row r="732">
          <cell r="D732" t="str">
            <v>صحرایی</v>
          </cell>
          <cell r="N732" t="str">
            <v>مونتاژ</v>
          </cell>
          <cell r="O732" t="str">
            <v>مونتاژ</v>
          </cell>
          <cell r="AC732" t="str">
            <v>1405/02/29</v>
          </cell>
          <cell r="AD732" t="str">
            <v>6:00الی8:00</v>
          </cell>
          <cell r="AF732">
            <v>2</v>
          </cell>
        </row>
        <row r="733">
          <cell r="D733" t="str">
            <v>صحرایی</v>
          </cell>
          <cell r="N733" t="str">
            <v>سری تراش</v>
          </cell>
          <cell r="O733">
            <v>8002</v>
          </cell>
          <cell r="AC733" t="str">
            <v>1405/02/29</v>
          </cell>
          <cell r="AD733" t="str">
            <v>6:00الی12:00</v>
          </cell>
          <cell r="AF733">
            <v>5.5</v>
          </cell>
        </row>
        <row r="734">
          <cell r="D734" t="str">
            <v>صحرایی</v>
          </cell>
          <cell r="N734" t="str">
            <v>مونتاژ</v>
          </cell>
          <cell r="O734" t="str">
            <v>مونتاژ</v>
          </cell>
          <cell r="AC734" t="str">
            <v>1405/02/29</v>
          </cell>
          <cell r="AD734" t="str">
            <v>12:00الی14:00</v>
          </cell>
          <cell r="AF734">
            <v>2</v>
          </cell>
        </row>
        <row r="735">
          <cell r="D735" t="str">
            <v>هاشم زاده</v>
          </cell>
          <cell r="N735" t="str">
            <v>اره لنگ</v>
          </cell>
          <cell r="O735">
            <v>8001</v>
          </cell>
          <cell r="AC735" t="str">
            <v>1405/02/29</v>
          </cell>
          <cell r="AD735" t="str">
            <v>6:00الی18:00</v>
          </cell>
          <cell r="AF735">
            <v>2</v>
          </cell>
        </row>
        <row r="736">
          <cell r="D736" t="str">
            <v>هاشم زاده</v>
          </cell>
          <cell r="N736" t="str">
            <v>اره لنگ</v>
          </cell>
          <cell r="O736">
            <v>8001</v>
          </cell>
          <cell r="AC736" t="str">
            <v>1405/02/29</v>
          </cell>
          <cell r="AD736" t="str">
            <v>6:00الی18:00</v>
          </cell>
          <cell r="AF736">
            <v>2</v>
          </cell>
        </row>
        <row r="737">
          <cell r="D737" t="str">
            <v>هاشم زاده</v>
          </cell>
          <cell r="N737" t="str">
            <v>مونتاژ</v>
          </cell>
          <cell r="O737" t="str">
            <v>مونتاژ</v>
          </cell>
          <cell r="AC737" t="str">
            <v>1405/02/29</v>
          </cell>
          <cell r="AD737" t="str">
            <v>6:00الی18:00</v>
          </cell>
          <cell r="AF737">
            <v>3</v>
          </cell>
        </row>
        <row r="738">
          <cell r="D738" t="str">
            <v>هاشم زاده</v>
          </cell>
          <cell r="N738" t="str">
            <v>اره لنگ</v>
          </cell>
          <cell r="O738">
            <v>8001</v>
          </cell>
          <cell r="AC738" t="str">
            <v>1405/02/29</v>
          </cell>
          <cell r="AD738" t="str">
            <v>6:00الی18:00</v>
          </cell>
          <cell r="AF738">
            <v>2</v>
          </cell>
        </row>
        <row r="739">
          <cell r="D739" t="str">
            <v>هاشم زاده</v>
          </cell>
          <cell r="N739" t="str">
            <v>مونتاژ</v>
          </cell>
          <cell r="O739" t="str">
            <v>مونتاژ</v>
          </cell>
          <cell r="AC739" t="str">
            <v>1405/02/29</v>
          </cell>
          <cell r="AD739" t="str">
            <v>6:00الی18:00</v>
          </cell>
          <cell r="AF739">
            <v>2</v>
          </cell>
        </row>
        <row r="740">
          <cell r="D740" t="str">
            <v>موسوی</v>
          </cell>
          <cell r="N740" t="str">
            <v>تراش</v>
          </cell>
          <cell r="O740">
            <v>7302</v>
          </cell>
          <cell r="AC740" t="str">
            <v>1405/02/29</v>
          </cell>
          <cell r="AD740" t="str">
            <v>6:00الی18:00</v>
          </cell>
          <cell r="AF740">
            <v>3</v>
          </cell>
        </row>
        <row r="741">
          <cell r="D741" t="str">
            <v>موسوی</v>
          </cell>
          <cell r="N741" t="str">
            <v>تراش</v>
          </cell>
          <cell r="O741">
            <v>7302</v>
          </cell>
          <cell r="AC741" t="str">
            <v>1405/02/29</v>
          </cell>
          <cell r="AD741" t="str">
            <v>6:00الی18:00</v>
          </cell>
          <cell r="AF741">
            <v>3</v>
          </cell>
        </row>
        <row r="742">
          <cell r="D742" t="str">
            <v>موسوی</v>
          </cell>
          <cell r="N742" t="str">
            <v>تراش</v>
          </cell>
          <cell r="O742">
            <v>7302</v>
          </cell>
          <cell r="AC742" t="str">
            <v>1405/02/29</v>
          </cell>
          <cell r="AD742" t="str">
            <v>6:00الی18:00</v>
          </cell>
          <cell r="AF742">
            <v>2.5</v>
          </cell>
        </row>
        <row r="743">
          <cell r="D743" t="str">
            <v>موسوی</v>
          </cell>
          <cell r="N743" t="str">
            <v>تراش</v>
          </cell>
          <cell r="O743">
            <v>7302</v>
          </cell>
          <cell r="AC743" t="str">
            <v>1405/02/29</v>
          </cell>
          <cell r="AD743" t="str">
            <v>6:00الی18:00</v>
          </cell>
          <cell r="AF743">
            <v>1</v>
          </cell>
        </row>
        <row r="744">
          <cell r="D744" t="str">
            <v>موسوی</v>
          </cell>
          <cell r="N744" t="str">
            <v>تراش</v>
          </cell>
          <cell r="O744">
            <v>7302</v>
          </cell>
          <cell r="AC744" t="str">
            <v>1405/02/29</v>
          </cell>
          <cell r="AD744" t="str">
            <v>6:00الی18:00</v>
          </cell>
          <cell r="AF744">
            <v>1.5</v>
          </cell>
        </row>
        <row r="745">
          <cell r="D745" t="str">
            <v>صلواتی</v>
          </cell>
          <cell r="N745" t="str">
            <v>وایر</v>
          </cell>
          <cell r="O745">
            <v>7601</v>
          </cell>
          <cell r="AC745" t="str">
            <v>1405/02/29</v>
          </cell>
          <cell r="AD745" t="str">
            <v>6:00الی18:00</v>
          </cell>
          <cell r="AF745">
            <v>12</v>
          </cell>
        </row>
        <row r="746">
          <cell r="D746" t="str">
            <v>صلواتی</v>
          </cell>
          <cell r="N746" t="str">
            <v>وایر</v>
          </cell>
          <cell r="O746">
            <v>7602</v>
          </cell>
          <cell r="AC746" t="str">
            <v>1405/02/29</v>
          </cell>
          <cell r="AD746" t="str">
            <v>6:00الی18:00</v>
          </cell>
          <cell r="AF746">
            <v>12</v>
          </cell>
        </row>
        <row r="747">
          <cell r="D747" t="str">
            <v>صلواتی</v>
          </cell>
          <cell r="N747" t="str">
            <v>وایر</v>
          </cell>
          <cell r="O747">
            <v>7605</v>
          </cell>
          <cell r="AC747" t="str">
            <v>1405/02/29</v>
          </cell>
          <cell r="AD747" t="str">
            <v>6:00الی18:00</v>
          </cell>
          <cell r="AF747">
            <v>12</v>
          </cell>
        </row>
        <row r="748">
          <cell r="D748" t="str">
            <v>صلواتی</v>
          </cell>
          <cell r="N748" t="str">
            <v>وایر</v>
          </cell>
          <cell r="O748">
            <v>7603</v>
          </cell>
          <cell r="AC748" t="str">
            <v>1405/02/29</v>
          </cell>
          <cell r="AD748" t="str">
            <v>14:00الی18:00</v>
          </cell>
          <cell r="AF748">
            <v>4</v>
          </cell>
        </row>
        <row r="749">
          <cell r="D749" t="str">
            <v>صلواتی</v>
          </cell>
          <cell r="N749" t="str">
            <v>وایر</v>
          </cell>
          <cell r="O749">
            <v>7603</v>
          </cell>
          <cell r="AC749" t="str">
            <v>1405/02/29</v>
          </cell>
          <cell r="AD749" t="str">
            <v>6:00الی14:00</v>
          </cell>
          <cell r="AF749">
            <v>8</v>
          </cell>
        </row>
        <row r="750">
          <cell r="D750" t="str">
            <v>یاراحمدی</v>
          </cell>
          <cell r="N750" t="str">
            <v>سنگ زنی</v>
          </cell>
          <cell r="O750">
            <v>7502</v>
          </cell>
          <cell r="AC750" t="str">
            <v>1405/02/30</v>
          </cell>
          <cell r="AD750" t="str">
            <v>6:00الی18:00</v>
          </cell>
          <cell r="AF750">
            <v>11</v>
          </cell>
        </row>
        <row r="751">
          <cell r="D751" t="str">
            <v>قیطاسوند</v>
          </cell>
          <cell r="N751" t="str">
            <v>فرز</v>
          </cell>
          <cell r="O751">
            <v>7102</v>
          </cell>
          <cell r="AC751" t="str">
            <v>1405/02/30</v>
          </cell>
          <cell r="AD751" t="str">
            <v>6:00الی18:00</v>
          </cell>
          <cell r="AF751">
            <v>11</v>
          </cell>
        </row>
        <row r="752">
          <cell r="D752" t="str">
            <v>حیدری</v>
          </cell>
          <cell r="N752" t="str">
            <v>فرز</v>
          </cell>
          <cell r="O752">
            <v>7101</v>
          </cell>
          <cell r="AC752" t="str">
            <v>1405/02/30</v>
          </cell>
          <cell r="AD752" t="str">
            <v>6:00الی18:00</v>
          </cell>
          <cell r="AF752">
            <v>11</v>
          </cell>
        </row>
        <row r="753">
          <cell r="D753" t="str">
            <v>کاظمی</v>
          </cell>
          <cell r="N753" t="str">
            <v>CNC</v>
          </cell>
          <cell r="O753">
            <v>7202</v>
          </cell>
          <cell r="AC753" t="str">
            <v>1405/02/30</v>
          </cell>
          <cell r="AD753" t="str">
            <v>6:00الی18:00</v>
          </cell>
          <cell r="AF753">
            <v>11</v>
          </cell>
        </row>
        <row r="754">
          <cell r="D754" t="str">
            <v>زیلویی</v>
          </cell>
          <cell r="N754" t="str">
            <v>CNC</v>
          </cell>
          <cell r="O754">
            <v>7203</v>
          </cell>
          <cell r="AC754" t="str">
            <v>1405/02/30</v>
          </cell>
          <cell r="AD754" t="str">
            <v>6:00الی12:00</v>
          </cell>
          <cell r="AF754">
            <v>5.5</v>
          </cell>
        </row>
        <row r="755">
          <cell r="D755" t="str">
            <v>زیلویی</v>
          </cell>
          <cell r="N755" t="str">
            <v>CNC</v>
          </cell>
          <cell r="O755">
            <v>7203</v>
          </cell>
          <cell r="AC755" t="str">
            <v>1405/02/30</v>
          </cell>
          <cell r="AD755" t="str">
            <v>14:00الی16:00</v>
          </cell>
          <cell r="AF755">
            <v>2</v>
          </cell>
        </row>
        <row r="756">
          <cell r="D756" t="str">
            <v>کریم پرست</v>
          </cell>
          <cell r="N756" t="str">
            <v>تراش</v>
          </cell>
          <cell r="O756">
            <v>7301</v>
          </cell>
          <cell r="AC756" t="str">
            <v>1405/02/30</v>
          </cell>
          <cell r="AD756" t="str">
            <v>6:00الی18:00</v>
          </cell>
          <cell r="AF756">
            <v>11</v>
          </cell>
        </row>
        <row r="757">
          <cell r="D757" t="str">
            <v>صلواتی</v>
          </cell>
          <cell r="N757" t="str">
            <v>وایر</v>
          </cell>
          <cell r="O757">
            <v>7601</v>
          </cell>
          <cell r="AC757" t="str">
            <v>1405/02/30</v>
          </cell>
          <cell r="AD757" t="str">
            <v>6:00الی18:00</v>
          </cell>
          <cell r="AF757">
            <v>12</v>
          </cell>
        </row>
        <row r="758">
          <cell r="D758" t="str">
            <v>صلواتی</v>
          </cell>
          <cell r="N758" t="str">
            <v>وایر</v>
          </cell>
          <cell r="O758">
            <v>7602</v>
          </cell>
          <cell r="AC758" t="str">
            <v>1405/02/30</v>
          </cell>
          <cell r="AD758" t="str">
            <v>6:00الی18:00</v>
          </cell>
          <cell r="AF758">
            <v>12</v>
          </cell>
        </row>
        <row r="759">
          <cell r="D759" t="str">
            <v>صلواتی</v>
          </cell>
          <cell r="N759" t="str">
            <v>وایر</v>
          </cell>
          <cell r="O759">
            <v>7603</v>
          </cell>
          <cell r="AC759" t="str">
            <v>1405/02/30</v>
          </cell>
          <cell r="AD759" t="str">
            <v>6:00الی18:00</v>
          </cell>
          <cell r="AF759">
            <v>12</v>
          </cell>
        </row>
        <row r="760">
          <cell r="D760" t="str">
            <v>صلواتی</v>
          </cell>
          <cell r="N760" t="str">
            <v>وایر</v>
          </cell>
          <cell r="O760">
            <v>7605</v>
          </cell>
          <cell r="AC760" t="str">
            <v>1405/02/30</v>
          </cell>
          <cell r="AD760" t="str">
            <v>6:00الی18:00</v>
          </cell>
          <cell r="AF760">
            <v>12</v>
          </cell>
        </row>
        <row r="761">
          <cell r="D761" t="str">
            <v>موسوی</v>
          </cell>
          <cell r="N761" t="str">
            <v>تراش</v>
          </cell>
          <cell r="O761">
            <v>7302</v>
          </cell>
          <cell r="AC761" t="str">
            <v>1405/02/30</v>
          </cell>
          <cell r="AD761" t="str">
            <v>6:00الی18:00</v>
          </cell>
          <cell r="AF761">
            <v>4</v>
          </cell>
        </row>
        <row r="762">
          <cell r="D762" t="str">
            <v>موسوی</v>
          </cell>
          <cell r="N762" t="str">
            <v>تراش</v>
          </cell>
          <cell r="O762">
            <v>7302</v>
          </cell>
          <cell r="AC762" t="str">
            <v>1405/02/30</v>
          </cell>
          <cell r="AD762" t="str">
            <v>6:00الی18:00</v>
          </cell>
          <cell r="AF762">
            <v>2</v>
          </cell>
        </row>
        <row r="763">
          <cell r="D763" t="str">
            <v>موسوی</v>
          </cell>
          <cell r="N763" t="str">
            <v>مونتاژ</v>
          </cell>
          <cell r="O763" t="str">
            <v>مونتاژ</v>
          </cell>
          <cell r="AC763" t="str">
            <v>1405/02/30</v>
          </cell>
          <cell r="AD763" t="str">
            <v>6:00الی18:00</v>
          </cell>
          <cell r="AF763">
            <v>5</v>
          </cell>
        </row>
        <row r="764">
          <cell r="D764" t="str">
            <v>هاشم زاده</v>
          </cell>
          <cell r="N764" t="str">
            <v>مونتاژ</v>
          </cell>
          <cell r="O764" t="str">
            <v>مونتاژ</v>
          </cell>
          <cell r="AC764" t="str">
            <v>1405/02/30</v>
          </cell>
          <cell r="AD764" t="str">
            <v>6:00الی18:00</v>
          </cell>
          <cell r="AF764">
            <v>3</v>
          </cell>
        </row>
        <row r="765">
          <cell r="D765" t="str">
            <v>هاشم زاده</v>
          </cell>
          <cell r="N765" t="str">
            <v>اره لنگ</v>
          </cell>
          <cell r="O765">
            <v>8001</v>
          </cell>
          <cell r="AC765" t="str">
            <v>1405/02/30</v>
          </cell>
          <cell r="AD765" t="str">
            <v>6:00الی18:00</v>
          </cell>
          <cell r="AF765">
            <v>2</v>
          </cell>
        </row>
        <row r="766">
          <cell r="D766" t="str">
            <v>هاشم زاده</v>
          </cell>
          <cell r="N766" t="str">
            <v>اره لنگ</v>
          </cell>
          <cell r="O766">
            <v>8001</v>
          </cell>
          <cell r="AC766" t="str">
            <v>1405/02/30</v>
          </cell>
          <cell r="AD766" t="str">
            <v>6:00الی18:00</v>
          </cell>
          <cell r="AF766">
            <v>2</v>
          </cell>
        </row>
        <row r="767">
          <cell r="D767" t="str">
            <v>هاشم زاده</v>
          </cell>
          <cell r="N767" t="str">
            <v>مونتاژ</v>
          </cell>
          <cell r="O767" t="str">
            <v>دمونتاژ</v>
          </cell>
          <cell r="AC767" t="str">
            <v>1405/02/30</v>
          </cell>
          <cell r="AD767" t="str">
            <v>6:00الی18:00</v>
          </cell>
          <cell r="AF767">
            <v>4</v>
          </cell>
        </row>
        <row r="768">
          <cell r="D768" t="str">
            <v>فراهی</v>
          </cell>
          <cell r="N768" t="str">
            <v>تراش</v>
          </cell>
          <cell r="O768">
            <v>7103</v>
          </cell>
          <cell r="AC768" t="str">
            <v>1405/02/30</v>
          </cell>
          <cell r="AD768" t="str">
            <v>7:00الی13:50</v>
          </cell>
          <cell r="AF768">
            <v>6.5</v>
          </cell>
        </row>
        <row r="769">
          <cell r="D769" t="str">
            <v>صحرایی</v>
          </cell>
          <cell r="N769" t="str">
            <v>تراش</v>
          </cell>
          <cell r="O769">
            <v>7303</v>
          </cell>
          <cell r="AC769" t="str">
            <v>1405/02/30</v>
          </cell>
          <cell r="AD769" t="str">
            <v>6:00الی14:00</v>
          </cell>
          <cell r="AF769">
            <v>7.5</v>
          </cell>
        </row>
        <row r="770">
          <cell r="D770" t="str">
            <v>حیدری</v>
          </cell>
          <cell r="N770" t="str">
            <v>فرز</v>
          </cell>
          <cell r="O770">
            <v>7101</v>
          </cell>
          <cell r="AC770" t="str">
            <v>1405/02/31</v>
          </cell>
          <cell r="AD770" t="str">
            <v>6:00الی10:00</v>
          </cell>
          <cell r="AF770">
            <v>3.5</v>
          </cell>
        </row>
        <row r="771">
          <cell r="D771" t="str">
            <v>حیدری</v>
          </cell>
          <cell r="N771" t="str">
            <v>فرز</v>
          </cell>
          <cell r="O771">
            <v>7101</v>
          </cell>
          <cell r="AC771" t="str">
            <v>1405/02/31</v>
          </cell>
          <cell r="AD771" t="str">
            <v>10:00لی13:30</v>
          </cell>
          <cell r="AF771">
            <v>3.5</v>
          </cell>
        </row>
        <row r="772">
          <cell r="D772" t="str">
            <v>صلواتی</v>
          </cell>
          <cell r="N772" t="str">
            <v>وایر</v>
          </cell>
          <cell r="O772">
            <v>7601</v>
          </cell>
          <cell r="AC772" t="str">
            <v>1405/02/31</v>
          </cell>
          <cell r="AD772" t="str">
            <v>6:00الی14:00</v>
          </cell>
          <cell r="AF772">
            <v>8</v>
          </cell>
        </row>
        <row r="773">
          <cell r="D773" t="str">
            <v>صلواتی</v>
          </cell>
          <cell r="N773" t="str">
            <v>وایر</v>
          </cell>
          <cell r="O773">
            <v>7602</v>
          </cell>
          <cell r="AC773" t="str">
            <v>1405/02/31</v>
          </cell>
          <cell r="AD773" t="str">
            <v>6:00الی10:00</v>
          </cell>
          <cell r="AF773">
            <v>4</v>
          </cell>
        </row>
        <row r="774">
          <cell r="D774" t="str">
            <v>صلواتی</v>
          </cell>
          <cell r="N774" t="str">
            <v>وایر</v>
          </cell>
          <cell r="O774">
            <v>7602</v>
          </cell>
          <cell r="AC774" t="str">
            <v>1405/02/31</v>
          </cell>
          <cell r="AD774" t="str">
            <v>10:00الی14:00</v>
          </cell>
          <cell r="AF774">
            <v>4</v>
          </cell>
        </row>
        <row r="775">
          <cell r="D775" t="str">
            <v>صلواتی</v>
          </cell>
          <cell r="N775" t="str">
            <v>وایر</v>
          </cell>
          <cell r="O775">
            <v>7605</v>
          </cell>
          <cell r="AC775" t="str">
            <v>1405/02/31</v>
          </cell>
          <cell r="AD775" t="str">
            <v>6:00الی11:00</v>
          </cell>
          <cell r="AF775">
            <v>5</v>
          </cell>
        </row>
        <row r="776">
          <cell r="D776" t="str">
            <v>صلواتی</v>
          </cell>
          <cell r="N776" t="str">
            <v>وایر</v>
          </cell>
          <cell r="O776">
            <v>7605</v>
          </cell>
          <cell r="AC776" t="str">
            <v>1405/02/31</v>
          </cell>
          <cell r="AD776" t="str">
            <v>11:00الی14:00</v>
          </cell>
          <cell r="AF776">
            <v>3</v>
          </cell>
        </row>
        <row r="777">
          <cell r="D777" t="str">
            <v>صلواتی</v>
          </cell>
          <cell r="N777" t="str">
            <v>وایر</v>
          </cell>
          <cell r="O777">
            <v>7603</v>
          </cell>
          <cell r="AC777" t="str">
            <v>1405/02/31</v>
          </cell>
          <cell r="AD777" t="str">
            <v>6:00الی10:00</v>
          </cell>
          <cell r="AF777">
            <v>4</v>
          </cell>
        </row>
        <row r="778">
          <cell r="D778" t="str">
            <v>صلواتی</v>
          </cell>
          <cell r="N778" t="str">
            <v>وایر</v>
          </cell>
          <cell r="O778">
            <v>7603</v>
          </cell>
          <cell r="AC778" t="str">
            <v>1405/02/31</v>
          </cell>
          <cell r="AD778" t="str">
            <v>10:00الی14:00</v>
          </cell>
          <cell r="AF778">
            <v>4</v>
          </cell>
        </row>
        <row r="779">
          <cell r="D779" t="str">
            <v>کریم پرست</v>
          </cell>
          <cell r="N779" t="str">
            <v>تراش</v>
          </cell>
          <cell r="O779">
            <v>7301</v>
          </cell>
          <cell r="AC779" t="str">
            <v>1405/02/31</v>
          </cell>
          <cell r="AD779" t="str">
            <v>6:00الی13:30</v>
          </cell>
          <cell r="AF779">
            <v>4.666666666666667</v>
          </cell>
        </row>
        <row r="780">
          <cell r="D780" t="str">
            <v>کریم پرست</v>
          </cell>
          <cell r="N780" t="str">
            <v>نظافت</v>
          </cell>
          <cell r="O780" t="str">
            <v>نظافت</v>
          </cell>
          <cell r="AC780" t="str">
            <v>1405/02/31</v>
          </cell>
          <cell r="AD780" t="str">
            <v>6:00الی13:30</v>
          </cell>
          <cell r="AF780">
            <v>2.3333333333333335</v>
          </cell>
        </row>
        <row r="781">
          <cell r="D781" t="str">
            <v>یاراحمدی</v>
          </cell>
          <cell r="N781" t="str">
            <v>سنگ زنی</v>
          </cell>
          <cell r="O781">
            <v>7502</v>
          </cell>
          <cell r="AC781" t="str">
            <v>1405/02/31</v>
          </cell>
          <cell r="AD781" t="str">
            <v>6:00الی13:00</v>
          </cell>
          <cell r="AF781">
            <v>6.5</v>
          </cell>
        </row>
        <row r="782">
          <cell r="D782" t="str">
            <v>یاراحمدی</v>
          </cell>
          <cell r="N782" t="str">
            <v>نظافت</v>
          </cell>
          <cell r="O782" t="str">
            <v>نظافت</v>
          </cell>
          <cell r="AC782" t="str">
            <v>1405/02/31</v>
          </cell>
          <cell r="AD782" t="str">
            <v>13:00الی14:00</v>
          </cell>
          <cell r="AF782">
            <v>1</v>
          </cell>
        </row>
        <row r="783">
          <cell r="D783" t="str">
            <v>هاشم زاده</v>
          </cell>
          <cell r="N783" t="str">
            <v>مونتاژ</v>
          </cell>
          <cell r="O783" t="str">
            <v>دمونتاژ</v>
          </cell>
          <cell r="AC783" t="str">
            <v>1405/02/31</v>
          </cell>
          <cell r="AD783" t="str">
            <v>6:00الی14:00</v>
          </cell>
          <cell r="AF783">
            <v>2</v>
          </cell>
        </row>
        <row r="784">
          <cell r="D784" t="str">
            <v>هاشم زاده</v>
          </cell>
          <cell r="N784" t="str">
            <v>مونتاژ</v>
          </cell>
          <cell r="O784" t="str">
            <v>مونتاژ</v>
          </cell>
          <cell r="AC784" t="str">
            <v>1405/02/31</v>
          </cell>
          <cell r="AD784" t="str">
            <v>6:00الی14:00</v>
          </cell>
          <cell r="AF784">
            <v>2</v>
          </cell>
        </row>
        <row r="785">
          <cell r="D785" t="str">
            <v>هاشم زاده</v>
          </cell>
          <cell r="N785" t="str">
            <v>نظافت</v>
          </cell>
          <cell r="O785" t="str">
            <v>نظافت</v>
          </cell>
          <cell r="AC785" t="str">
            <v>1405/02/31</v>
          </cell>
          <cell r="AD785" t="str">
            <v>6:00الی14:00</v>
          </cell>
          <cell r="AF785">
            <v>1</v>
          </cell>
        </row>
        <row r="786">
          <cell r="D786" t="str">
            <v>قیطاسوند</v>
          </cell>
          <cell r="N786" t="str">
            <v>فرز</v>
          </cell>
          <cell r="O786">
            <v>7102</v>
          </cell>
          <cell r="AC786" t="str">
            <v>1405/02/31</v>
          </cell>
          <cell r="AD786" t="str">
            <v>6:00الی14:00</v>
          </cell>
          <cell r="AF786">
            <v>5</v>
          </cell>
        </row>
        <row r="787">
          <cell r="D787" t="str">
            <v>قیطاسوند</v>
          </cell>
          <cell r="N787" t="str">
            <v>نظافت</v>
          </cell>
          <cell r="O787" t="str">
            <v>نظافت</v>
          </cell>
          <cell r="AC787" t="str">
            <v>1405/02/31</v>
          </cell>
          <cell r="AD787" t="str">
            <v>6:00الی14:00</v>
          </cell>
          <cell r="AF787">
            <v>2.5</v>
          </cell>
        </row>
        <row r="788">
          <cell r="D788" t="str">
            <v>موسوی</v>
          </cell>
          <cell r="N788" t="str">
            <v>تراش</v>
          </cell>
          <cell r="O788">
            <v>7302</v>
          </cell>
          <cell r="AC788" t="str">
            <v>1405/02/31</v>
          </cell>
          <cell r="AD788" t="str">
            <v>6:00الی13:00</v>
          </cell>
          <cell r="AF788">
            <v>2</v>
          </cell>
        </row>
        <row r="789">
          <cell r="D789" t="str">
            <v>موسوی</v>
          </cell>
          <cell r="N789" t="str">
            <v>تراش</v>
          </cell>
          <cell r="O789">
            <v>7302</v>
          </cell>
          <cell r="AC789" t="str">
            <v>1405/02/31</v>
          </cell>
          <cell r="AD789" t="str">
            <v>6:00الی13:00</v>
          </cell>
          <cell r="AF789">
            <v>2</v>
          </cell>
        </row>
        <row r="790">
          <cell r="D790" t="str">
            <v>موسوی</v>
          </cell>
          <cell r="N790" t="str">
            <v>تراش</v>
          </cell>
          <cell r="O790">
            <v>7302</v>
          </cell>
          <cell r="AC790" t="str">
            <v>1405/02/31</v>
          </cell>
          <cell r="AD790" t="str">
            <v>6:00الی13:00</v>
          </cell>
          <cell r="AF790">
            <v>1.5</v>
          </cell>
        </row>
        <row r="791">
          <cell r="D791" t="str">
            <v>کاظمی</v>
          </cell>
          <cell r="N791" t="str">
            <v>CNC</v>
          </cell>
          <cell r="O791">
            <v>7202</v>
          </cell>
          <cell r="AC791" t="str">
            <v>1405/02/31</v>
          </cell>
          <cell r="AD791" t="str">
            <v>6:00الی14:00</v>
          </cell>
          <cell r="AF791">
            <v>7.5</v>
          </cell>
        </row>
        <row r="792">
          <cell r="D792" t="str">
            <v>زیلویی</v>
          </cell>
          <cell r="N792" t="str">
            <v>CNC</v>
          </cell>
          <cell r="O792">
            <v>7203</v>
          </cell>
          <cell r="AC792" t="str">
            <v>1405/02/31</v>
          </cell>
          <cell r="AD792" t="str">
            <v>6:00الی14:00</v>
          </cell>
          <cell r="AF792">
            <v>7.5</v>
          </cell>
        </row>
        <row r="793">
          <cell r="D793" t="str">
            <v>زیلویی</v>
          </cell>
          <cell r="N793" t="str">
            <v>CNC</v>
          </cell>
          <cell r="O793">
            <v>7204</v>
          </cell>
          <cell r="AC793" t="str">
            <v>1405/02/31</v>
          </cell>
          <cell r="AD793" t="str">
            <v>6:00الی14:00</v>
          </cell>
          <cell r="AF793">
            <v>7.5</v>
          </cell>
        </row>
        <row r="794">
          <cell r="D794" t="str">
            <v>خیرخواه</v>
          </cell>
          <cell r="N794" t="str">
            <v>دریل رادیال</v>
          </cell>
          <cell r="O794">
            <v>7401</v>
          </cell>
          <cell r="AC794" t="str">
            <v>1405/02/29</v>
          </cell>
          <cell r="AD794" t="str">
            <v>6:00الی18:00</v>
          </cell>
          <cell r="AF794">
            <v>1</v>
          </cell>
        </row>
        <row r="795">
          <cell r="D795" t="str">
            <v>خیرخواه</v>
          </cell>
          <cell r="N795" t="str">
            <v>مونتاژ</v>
          </cell>
          <cell r="O795" t="str">
            <v>مونتاژ</v>
          </cell>
          <cell r="AC795" t="str">
            <v>1405/02/29</v>
          </cell>
          <cell r="AD795" t="str">
            <v>6:00الی18:00</v>
          </cell>
          <cell r="AF795">
            <v>4</v>
          </cell>
        </row>
        <row r="796">
          <cell r="D796" t="str">
            <v>خیرخواه</v>
          </cell>
          <cell r="N796" t="str">
            <v>نظافت</v>
          </cell>
          <cell r="O796" t="str">
            <v>نظافت</v>
          </cell>
          <cell r="AC796" t="str">
            <v>1405/02/31</v>
          </cell>
          <cell r="AD796" t="str">
            <v>6:00الی14:00</v>
          </cell>
          <cell r="AF796">
            <v>1</v>
          </cell>
        </row>
        <row r="797">
          <cell r="D797" t="str">
            <v>خیرخواه</v>
          </cell>
          <cell r="N797" t="str">
            <v>مونتاژ</v>
          </cell>
          <cell r="O797" t="str">
            <v>دمونتاژ</v>
          </cell>
          <cell r="AC797" t="str">
            <v>1405/02/29</v>
          </cell>
          <cell r="AD797" t="str">
            <v>6:00الی18:00</v>
          </cell>
          <cell r="AF797">
            <v>4</v>
          </cell>
        </row>
        <row r="798">
          <cell r="D798" t="str">
            <v>خیرخواه</v>
          </cell>
          <cell r="N798" t="str">
            <v>مونتاژ</v>
          </cell>
          <cell r="O798" t="str">
            <v>مونتاژ</v>
          </cell>
          <cell r="AC798" t="str">
            <v>1405/02/31</v>
          </cell>
          <cell r="AD798" t="str">
            <v>6:00الی14:00</v>
          </cell>
          <cell r="AF798">
            <v>4</v>
          </cell>
        </row>
        <row r="799">
          <cell r="D799" t="str">
            <v>خیرخواه</v>
          </cell>
          <cell r="N799" t="str">
            <v>مونتاژ</v>
          </cell>
          <cell r="O799" t="str">
            <v>دمونتاژ</v>
          </cell>
          <cell r="AC799" t="str">
            <v>1405/02/31</v>
          </cell>
          <cell r="AD799" t="str">
            <v>6:00الی14:00</v>
          </cell>
          <cell r="AF799">
            <v>2</v>
          </cell>
        </row>
        <row r="800">
          <cell r="AF800">
            <v>0</v>
          </cell>
        </row>
        <row r="801">
          <cell r="AF801">
            <v>0</v>
          </cell>
        </row>
        <row r="802">
          <cell r="AF802">
            <v>0</v>
          </cell>
        </row>
        <row r="803">
          <cell r="AF803">
            <v>0</v>
          </cell>
        </row>
        <row r="804">
          <cell r="AF804">
            <v>0</v>
          </cell>
        </row>
        <row r="805">
          <cell r="AF805">
            <v>0</v>
          </cell>
        </row>
      </sheetData>
      <sheetData sheetId="2">
        <row r="2">
          <cell r="D2" t="str">
            <v>فراهی</v>
          </cell>
          <cell r="O2">
            <v>7103</v>
          </cell>
          <cell r="AC2" t="str">
            <v>1405/03/02</v>
          </cell>
          <cell r="AF2">
            <v>2.8333333333333335</v>
          </cell>
        </row>
        <row r="3">
          <cell r="D3" t="str">
            <v>فراهی</v>
          </cell>
          <cell r="O3">
            <v>7103</v>
          </cell>
          <cell r="AC3" t="str">
            <v>1405/03/02</v>
          </cell>
          <cell r="AF3">
            <v>1.75</v>
          </cell>
        </row>
        <row r="4">
          <cell r="D4" t="str">
            <v>فراهی</v>
          </cell>
          <cell r="O4">
            <v>7103</v>
          </cell>
          <cell r="AC4" t="str">
            <v>1405/03/02</v>
          </cell>
          <cell r="AF4">
            <v>1.8333333333333333</v>
          </cell>
        </row>
        <row r="5">
          <cell r="D5" t="str">
            <v>صحرایی</v>
          </cell>
          <cell r="O5">
            <v>7303</v>
          </cell>
          <cell r="AC5" t="str">
            <v>1405/03/02</v>
          </cell>
          <cell r="AF5">
            <v>4.5</v>
          </cell>
        </row>
        <row r="6">
          <cell r="D6" t="str">
            <v>صحرایی</v>
          </cell>
          <cell r="O6">
            <v>7303</v>
          </cell>
          <cell r="AC6" t="str">
            <v>1405/03/02</v>
          </cell>
          <cell r="AF6">
            <v>3</v>
          </cell>
        </row>
        <row r="7">
          <cell r="D7" t="str">
            <v>حیدری</v>
          </cell>
          <cell r="O7">
            <v>7101</v>
          </cell>
          <cell r="AC7" t="str">
            <v>1405/03/01</v>
          </cell>
          <cell r="AF7">
            <v>6.5</v>
          </cell>
        </row>
        <row r="8">
          <cell r="D8" t="str">
            <v>حیدری</v>
          </cell>
          <cell r="O8">
            <v>7101</v>
          </cell>
          <cell r="AC8" t="str">
            <v>1405/03/02</v>
          </cell>
          <cell r="AF8">
            <v>9</v>
          </cell>
        </row>
        <row r="9">
          <cell r="D9" t="str">
            <v>حیدری</v>
          </cell>
          <cell r="O9">
            <v>7101</v>
          </cell>
          <cell r="AC9" t="str">
            <v>1405/03/02</v>
          </cell>
          <cell r="AF9">
            <v>1</v>
          </cell>
        </row>
        <row r="10">
          <cell r="D10" t="str">
            <v>حیدری</v>
          </cell>
          <cell r="O10">
            <v>7101</v>
          </cell>
          <cell r="AC10" t="str">
            <v>1405/03/02</v>
          </cell>
          <cell r="AF10">
            <v>1</v>
          </cell>
        </row>
        <row r="11">
          <cell r="D11" t="str">
            <v>صلواتی</v>
          </cell>
          <cell r="O11">
            <v>7601</v>
          </cell>
          <cell r="AC11" t="str">
            <v>1405/03/01</v>
          </cell>
          <cell r="AF11">
            <v>7</v>
          </cell>
        </row>
        <row r="12">
          <cell r="D12" t="str">
            <v>صلواتی</v>
          </cell>
          <cell r="O12">
            <v>7602</v>
          </cell>
          <cell r="AC12" t="str">
            <v>1405/03/01</v>
          </cell>
          <cell r="AF12">
            <v>3</v>
          </cell>
        </row>
        <row r="13">
          <cell r="D13" t="str">
            <v>صلواتی</v>
          </cell>
          <cell r="O13">
            <v>7603</v>
          </cell>
          <cell r="AC13" t="str">
            <v>1405/03/01</v>
          </cell>
          <cell r="AF13">
            <v>7</v>
          </cell>
        </row>
        <row r="14">
          <cell r="D14" t="str">
            <v>صلواتی</v>
          </cell>
          <cell r="O14">
            <v>7605</v>
          </cell>
          <cell r="AC14" t="str">
            <v>1405/03/01</v>
          </cell>
          <cell r="AF14">
            <v>7</v>
          </cell>
        </row>
        <row r="15">
          <cell r="D15" t="str">
            <v>صلواتی</v>
          </cell>
          <cell r="O15">
            <v>7602</v>
          </cell>
          <cell r="AC15" t="str">
            <v>1405/03/01</v>
          </cell>
          <cell r="AF15">
            <v>4</v>
          </cell>
        </row>
        <row r="16">
          <cell r="D16" t="str">
            <v>صلواتی</v>
          </cell>
          <cell r="O16">
            <v>7601</v>
          </cell>
          <cell r="AC16" t="str">
            <v>1405/03/02</v>
          </cell>
          <cell r="AF16">
            <v>12</v>
          </cell>
        </row>
        <row r="17">
          <cell r="D17" t="str">
            <v>صلواتی</v>
          </cell>
          <cell r="O17">
            <v>7602</v>
          </cell>
          <cell r="AC17" t="str">
            <v>1405/03/02</v>
          </cell>
          <cell r="AF17">
            <v>5</v>
          </cell>
        </row>
        <row r="18">
          <cell r="D18" t="str">
            <v>صلواتی</v>
          </cell>
          <cell r="O18">
            <v>7603</v>
          </cell>
          <cell r="AC18" t="str">
            <v>1405/03/02</v>
          </cell>
          <cell r="AF18">
            <v>12</v>
          </cell>
        </row>
        <row r="19">
          <cell r="D19" t="str">
            <v>صلواتی</v>
          </cell>
          <cell r="O19">
            <v>7605</v>
          </cell>
          <cell r="AC19" t="str">
            <v>1405/03/02</v>
          </cell>
          <cell r="AF19">
            <v>12</v>
          </cell>
        </row>
        <row r="20">
          <cell r="D20" t="str">
            <v>صلواتی</v>
          </cell>
          <cell r="O20">
            <v>7602</v>
          </cell>
          <cell r="AC20" t="str">
            <v>1405/03/02</v>
          </cell>
          <cell r="AF20">
            <v>7</v>
          </cell>
        </row>
        <row r="21">
          <cell r="D21" t="str">
            <v>کریم پرست</v>
          </cell>
          <cell r="O21">
            <v>7301</v>
          </cell>
          <cell r="AC21" t="str">
            <v>1405/03/02</v>
          </cell>
          <cell r="AF21">
            <v>5</v>
          </cell>
        </row>
        <row r="22">
          <cell r="D22" t="str">
            <v>کریم پرست</v>
          </cell>
          <cell r="O22">
            <v>7301</v>
          </cell>
          <cell r="AC22" t="str">
            <v>1405/03/02</v>
          </cell>
          <cell r="AF22">
            <v>3.3333333333333335</v>
          </cell>
        </row>
        <row r="23">
          <cell r="D23" t="str">
            <v>کریم پرست</v>
          </cell>
          <cell r="O23">
            <v>7301</v>
          </cell>
          <cell r="AC23" t="str">
            <v>1405/03/02</v>
          </cell>
          <cell r="AF23">
            <v>2.6666666666666665</v>
          </cell>
        </row>
        <row r="24">
          <cell r="D24" t="str">
            <v>یاراحمدی</v>
          </cell>
          <cell r="O24">
            <v>7502</v>
          </cell>
          <cell r="AC24" t="str">
            <v>1405/03/01</v>
          </cell>
          <cell r="AF24">
            <v>6.5</v>
          </cell>
        </row>
        <row r="25">
          <cell r="D25" t="str">
            <v>یاراحمدی</v>
          </cell>
          <cell r="O25">
            <v>7502</v>
          </cell>
          <cell r="AC25" t="str">
            <v>1405/03/02</v>
          </cell>
          <cell r="AF25">
            <v>9</v>
          </cell>
        </row>
        <row r="26">
          <cell r="D26" t="str">
            <v>یاراحمدی</v>
          </cell>
          <cell r="O26">
            <v>7502</v>
          </cell>
          <cell r="AC26" t="str">
            <v>1405/03/02</v>
          </cell>
          <cell r="AF26">
            <v>2</v>
          </cell>
        </row>
        <row r="27">
          <cell r="D27" t="str">
            <v>هاشم زاده</v>
          </cell>
          <cell r="O27" t="str">
            <v>مونتاژ</v>
          </cell>
          <cell r="AC27" t="str">
            <v>1405/03/01</v>
          </cell>
          <cell r="AF27">
            <v>2</v>
          </cell>
        </row>
        <row r="28">
          <cell r="D28" t="str">
            <v>هاشم زاده</v>
          </cell>
          <cell r="O28" t="str">
            <v>دمونتاژ</v>
          </cell>
          <cell r="AC28" t="str">
            <v>1405/03/02</v>
          </cell>
          <cell r="AF28">
            <v>4</v>
          </cell>
        </row>
        <row r="29">
          <cell r="D29" t="str">
            <v>هاشم زاده</v>
          </cell>
          <cell r="O29" t="str">
            <v>مونتاژ</v>
          </cell>
          <cell r="AC29" t="str">
            <v>1405/03/02</v>
          </cell>
          <cell r="AF29">
            <v>4</v>
          </cell>
        </row>
        <row r="30">
          <cell r="D30" t="str">
            <v>قیطاسوند</v>
          </cell>
          <cell r="O30">
            <v>7102</v>
          </cell>
          <cell r="AC30" t="str">
            <v>1405/03/02</v>
          </cell>
          <cell r="AF30">
            <v>11</v>
          </cell>
        </row>
        <row r="31">
          <cell r="D31" t="str">
            <v>هاشم زاده</v>
          </cell>
          <cell r="O31" t="str">
            <v>مونتاژ</v>
          </cell>
          <cell r="AC31" t="str">
            <v>1405/03/01</v>
          </cell>
          <cell r="AF31">
            <v>3</v>
          </cell>
        </row>
        <row r="32">
          <cell r="D32" t="str">
            <v>هاشم زاده</v>
          </cell>
          <cell r="O32" t="str">
            <v>مونتاژ</v>
          </cell>
          <cell r="AC32" t="str">
            <v>1405/03/02</v>
          </cell>
          <cell r="AF32">
            <v>3</v>
          </cell>
        </row>
        <row r="33">
          <cell r="D33" t="str">
            <v>موسوی</v>
          </cell>
          <cell r="O33">
            <v>7302</v>
          </cell>
          <cell r="AC33" t="str">
            <v>1405/03/01</v>
          </cell>
          <cell r="AF33">
            <v>3</v>
          </cell>
        </row>
        <row r="34">
          <cell r="D34" t="str">
            <v>موسوی</v>
          </cell>
          <cell r="O34">
            <v>7302</v>
          </cell>
          <cell r="AC34" t="str">
            <v>1405/03/01</v>
          </cell>
          <cell r="AF34">
            <v>3</v>
          </cell>
        </row>
        <row r="35">
          <cell r="D35" t="str">
            <v>موسوی</v>
          </cell>
          <cell r="O35">
            <v>7302</v>
          </cell>
          <cell r="AC35" t="str">
            <v>1405/03/02</v>
          </cell>
          <cell r="AF35">
            <v>5</v>
          </cell>
        </row>
        <row r="36">
          <cell r="D36" t="str">
            <v>موسوی</v>
          </cell>
          <cell r="O36">
            <v>7302</v>
          </cell>
          <cell r="AC36" t="str">
            <v>1405/03/02</v>
          </cell>
          <cell r="AF36">
            <v>2</v>
          </cell>
        </row>
        <row r="37">
          <cell r="D37" t="str">
            <v>موسوی</v>
          </cell>
          <cell r="O37">
            <v>7302</v>
          </cell>
          <cell r="AC37" t="str">
            <v>1405/03/02</v>
          </cell>
          <cell r="AF37">
            <v>2.5</v>
          </cell>
        </row>
        <row r="38">
          <cell r="D38" t="str">
            <v>موسوی</v>
          </cell>
          <cell r="O38" t="str">
            <v>مونتاژ</v>
          </cell>
          <cell r="AC38" t="str">
            <v>1405/03/02</v>
          </cell>
          <cell r="AF38">
            <v>1.5</v>
          </cell>
        </row>
        <row r="39">
          <cell r="D39" t="str">
            <v>کاظمی</v>
          </cell>
          <cell r="O39">
            <v>7202</v>
          </cell>
          <cell r="AC39" t="str">
            <v>1405/03/02</v>
          </cell>
          <cell r="AF39">
            <v>6.5</v>
          </cell>
        </row>
        <row r="40">
          <cell r="D40" t="str">
            <v>زیلویی</v>
          </cell>
          <cell r="O40">
            <v>7203</v>
          </cell>
          <cell r="AC40" t="str">
            <v>1405/03/01</v>
          </cell>
          <cell r="AF40">
            <v>5.5</v>
          </cell>
        </row>
        <row r="41">
          <cell r="D41" t="str">
            <v>زیلویی</v>
          </cell>
          <cell r="O41">
            <v>7203</v>
          </cell>
          <cell r="AC41" t="str">
            <v>1405/03/02</v>
          </cell>
          <cell r="AF41">
            <v>10</v>
          </cell>
        </row>
        <row r="42">
          <cell r="D42" t="str">
            <v>زیلویی</v>
          </cell>
          <cell r="O42">
            <v>7204</v>
          </cell>
          <cell r="AC42" t="str">
            <v>1405/03/01</v>
          </cell>
          <cell r="AF42">
            <v>5.5</v>
          </cell>
        </row>
        <row r="43">
          <cell r="D43" t="str">
            <v>زیلویی</v>
          </cell>
          <cell r="O43">
            <v>7204</v>
          </cell>
          <cell r="AC43" t="str">
            <v>1405/03/02</v>
          </cell>
          <cell r="AF43">
            <v>3</v>
          </cell>
        </row>
        <row r="44">
          <cell r="D44" t="str">
            <v>خیرخواه</v>
          </cell>
          <cell r="O44">
            <v>7401</v>
          </cell>
          <cell r="AC44" t="str">
            <v>1405/03/01</v>
          </cell>
          <cell r="AF44">
            <v>2</v>
          </cell>
        </row>
        <row r="45">
          <cell r="D45" t="str">
            <v>خیرخواه</v>
          </cell>
          <cell r="O45" t="str">
            <v>مونتاژ</v>
          </cell>
          <cell r="AC45" t="str">
            <v>1405/03/01</v>
          </cell>
          <cell r="AF45">
            <v>2</v>
          </cell>
        </row>
        <row r="46">
          <cell r="D46" t="str">
            <v>خیرخواه</v>
          </cell>
          <cell r="O46" t="str">
            <v>دمونتاژ</v>
          </cell>
          <cell r="AC46" t="str">
            <v>1405/03/02</v>
          </cell>
          <cell r="AF46">
            <v>4</v>
          </cell>
        </row>
        <row r="47">
          <cell r="D47" t="str">
            <v>خیرخواه</v>
          </cell>
          <cell r="O47" t="str">
            <v>مونتاژ</v>
          </cell>
          <cell r="AC47" t="str">
            <v>1405/03/02</v>
          </cell>
          <cell r="AF47">
            <v>4</v>
          </cell>
        </row>
        <row r="48">
          <cell r="D48" t="str">
            <v>فراهی</v>
          </cell>
          <cell r="O48">
            <v>7303</v>
          </cell>
          <cell r="AC48" t="str">
            <v>1405/03/03</v>
          </cell>
          <cell r="AF48">
            <v>5.833333333333333</v>
          </cell>
        </row>
        <row r="49">
          <cell r="D49" t="str">
            <v>قیطاسوند</v>
          </cell>
          <cell r="O49">
            <v>7102</v>
          </cell>
          <cell r="AC49" t="str">
            <v>1405/03/03</v>
          </cell>
          <cell r="AF49">
            <v>11</v>
          </cell>
        </row>
        <row r="50">
          <cell r="D50" t="str">
            <v>صحرایی</v>
          </cell>
          <cell r="O50">
            <v>7303</v>
          </cell>
          <cell r="AC50" t="str">
            <v>1405/03/03</v>
          </cell>
          <cell r="AF50">
            <v>7.5</v>
          </cell>
        </row>
        <row r="51">
          <cell r="D51" t="str">
            <v>یاراحمدی</v>
          </cell>
          <cell r="O51">
            <v>7502</v>
          </cell>
          <cell r="AC51" t="str">
            <v>1405/03/03</v>
          </cell>
          <cell r="AF51">
            <v>5</v>
          </cell>
        </row>
        <row r="52">
          <cell r="D52" t="str">
            <v>یاراحمدی</v>
          </cell>
          <cell r="O52">
            <v>7502</v>
          </cell>
          <cell r="AC52" t="str">
            <v>1405/03/03</v>
          </cell>
          <cell r="AF52">
            <v>6</v>
          </cell>
        </row>
        <row r="53">
          <cell r="D53" t="str">
            <v>صحرایی</v>
          </cell>
          <cell r="O53">
            <v>7303</v>
          </cell>
          <cell r="AC53" t="str">
            <v>1405/03/03</v>
          </cell>
          <cell r="AF53">
            <v>6.5</v>
          </cell>
        </row>
        <row r="54">
          <cell r="D54" t="str">
            <v>کاظمی</v>
          </cell>
          <cell r="O54">
            <v>7202</v>
          </cell>
          <cell r="AC54" t="str">
            <v>1405/03/03</v>
          </cell>
          <cell r="AF54">
            <v>7.5</v>
          </cell>
        </row>
        <row r="55">
          <cell r="D55" t="str">
            <v>کاظمی</v>
          </cell>
          <cell r="O55">
            <v>7202</v>
          </cell>
          <cell r="AC55" t="str">
            <v>1405/03/03</v>
          </cell>
          <cell r="AF55">
            <v>3.5</v>
          </cell>
        </row>
        <row r="56">
          <cell r="D56" t="str">
            <v>کریم پرست</v>
          </cell>
          <cell r="O56">
            <v>7301</v>
          </cell>
          <cell r="AC56" t="str">
            <v>1405/03/03</v>
          </cell>
          <cell r="AF56">
            <v>5</v>
          </cell>
        </row>
        <row r="57">
          <cell r="D57" t="str">
            <v>کریم پرست</v>
          </cell>
          <cell r="O57">
            <v>7301</v>
          </cell>
          <cell r="AC57" t="str">
            <v>1405/03/03</v>
          </cell>
          <cell r="AF57">
            <v>1</v>
          </cell>
        </row>
        <row r="58">
          <cell r="D58" t="str">
            <v>کریم پرست</v>
          </cell>
          <cell r="O58">
            <v>7301</v>
          </cell>
          <cell r="AC58" t="str">
            <v>1405/03/03</v>
          </cell>
          <cell r="AF58">
            <v>3</v>
          </cell>
        </row>
        <row r="59">
          <cell r="D59" t="str">
            <v>موسوی</v>
          </cell>
          <cell r="O59">
            <v>7302</v>
          </cell>
          <cell r="AC59" t="str">
            <v>1405/03/03</v>
          </cell>
          <cell r="AF59">
            <v>5</v>
          </cell>
        </row>
        <row r="60">
          <cell r="D60" t="str">
            <v>موسوی</v>
          </cell>
          <cell r="O60">
            <v>7302</v>
          </cell>
          <cell r="AC60" t="str">
            <v>1405/03/03</v>
          </cell>
          <cell r="AF60">
            <v>2.5</v>
          </cell>
        </row>
        <row r="61">
          <cell r="D61" t="str">
            <v>موسوی</v>
          </cell>
          <cell r="O61">
            <v>7302</v>
          </cell>
          <cell r="AC61" t="str">
            <v>1405/03/03</v>
          </cell>
          <cell r="AF61">
            <v>2.5</v>
          </cell>
        </row>
        <row r="62">
          <cell r="D62" t="str">
            <v>صلواتی</v>
          </cell>
          <cell r="O62">
            <v>7601</v>
          </cell>
          <cell r="AC62" t="str">
            <v>1405/03/03</v>
          </cell>
          <cell r="AF62">
            <v>12</v>
          </cell>
        </row>
        <row r="63">
          <cell r="D63" t="str">
            <v>صلواتی</v>
          </cell>
          <cell r="O63">
            <v>7602</v>
          </cell>
          <cell r="AC63" t="str">
            <v>1405/03/03</v>
          </cell>
          <cell r="AF63">
            <v>12</v>
          </cell>
        </row>
        <row r="64">
          <cell r="D64" t="str">
            <v>صلواتی</v>
          </cell>
          <cell r="O64">
            <v>7603</v>
          </cell>
          <cell r="AC64" t="str">
            <v>1405/03/03</v>
          </cell>
          <cell r="AF64">
            <v>12</v>
          </cell>
        </row>
        <row r="65">
          <cell r="D65" t="str">
            <v>صلواتی</v>
          </cell>
          <cell r="O65">
            <v>7605</v>
          </cell>
          <cell r="AC65" t="str">
            <v>1405/03/03</v>
          </cell>
          <cell r="AF65">
            <v>12</v>
          </cell>
        </row>
        <row r="66">
          <cell r="D66" t="str">
            <v>هاشم زاده</v>
          </cell>
          <cell r="O66" t="str">
            <v>دمونتاژ</v>
          </cell>
          <cell r="AC66" t="str">
            <v>1405/03/03</v>
          </cell>
          <cell r="AF66">
            <v>2</v>
          </cell>
        </row>
        <row r="67">
          <cell r="D67" t="str">
            <v>هاشم زاده</v>
          </cell>
          <cell r="O67" t="str">
            <v>مونتاژ</v>
          </cell>
          <cell r="AC67" t="str">
            <v>1405/03/03</v>
          </cell>
          <cell r="AF67">
            <v>2</v>
          </cell>
        </row>
        <row r="68">
          <cell r="D68" t="str">
            <v>هاشم زاده</v>
          </cell>
          <cell r="O68">
            <v>8001</v>
          </cell>
          <cell r="AC68" t="str">
            <v>1405/03/03</v>
          </cell>
          <cell r="AF68">
            <v>2</v>
          </cell>
        </row>
        <row r="69">
          <cell r="D69" t="str">
            <v>خیرخواه</v>
          </cell>
          <cell r="O69" t="str">
            <v>دمونتاژ</v>
          </cell>
          <cell r="AC69" t="str">
            <v>1405/03/03</v>
          </cell>
          <cell r="AF69">
            <v>3</v>
          </cell>
        </row>
        <row r="70">
          <cell r="D70" t="str">
            <v>خیرخواه</v>
          </cell>
          <cell r="O70" t="str">
            <v>مونتاژ</v>
          </cell>
          <cell r="AC70" t="str">
            <v>1405/03/03</v>
          </cell>
          <cell r="AF70">
            <v>3</v>
          </cell>
        </row>
        <row r="71">
          <cell r="D71" t="str">
            <v>خیرخواه</v>
          </cell>
          <cell r="O71" t="str">
            <v>مونتاژ</v>
          </cell>
          <cell r="AC71" t="str">
            <v>1405/03/03</v>
          </cell>
          <cell r="AF71">
            <v>2.5</v>
          </cell>
        </row>
        <row r="72">
          <cell r="D72" t="str">
            <v>خیرخواه</v>
          </cell>
          <cell r="O72" t="str">
            <v>دمونتاژ</v>
          </cell>
          <cell r="AC72" t="str">
            <v>1405/03/03</v>
          </cell>
          <cell r="AF72">
            <v>3</v>
          </cell>
        </row>
        <row r="73">
          <cell r="D73" t="str">
            <v>یاراحمدی</v>
          </cell>
          <cell r="O73">
            <v>7502</v>
          </cell>
          <cell r="AC73" t="str">
            <v>1405/03/04</v>
          </cell>
          <cell r="AF73">
            <v>11</v>
          </cell>
        </row>
        <row r="74">
          <cell r="D74" t="str">
            <v>فراهی</v>
          </cell>
          <cell r="O74">
            <v>7303</v>
          </cell>
          <cell r="AC74" t="str">
            <v>1405/03/04</v>
          </cell>
          <cell r="AF74">
            <v>6.5</v>
          </cell>
        </row>
        <row r="75">
          <cell r="D75" t="str">
            <v>قیطاسوند</v>
          </cell>
          <cell r="O75">
            <v>7102</v>
          </cell>
          <cell r="AC75" t="str">
            <v>1405/03/04</v>
          </cell>
          <cell r="AF75">
            <v>5.5</v>
          </cell>
        </row>
        <row r="76">
          <cell r="D76" t="str">
            <v>قیطاسوند</v>
          </cell>
          <cell r="O76">
            <v>7102</v>
          </cell>
          <cell r="AC76" t="str">
            <v>1405/03/04</v>
          </cell>
          <cell r="AF76">
            <v>5.5</v>
          </cell>
        </row>
        <row r="77">
          <cell r="D77" t="str">
            <v>کریم پرست</v>
          </cell>
          <cell r="O77">
            <v>7301</v>
          </cell>
          <cell r="AC77" t="str">
            <v>1405/03/04</v>
          </cell>
          <cell r="AF77">
            <v>5</v>
          </cell>
        </row>
        <row r="78">
          <cell r="D78" t="str">
            <v>کریم پرست</v>
          </cell>
          <cell r="O78">
            <v>7301</v>
          </cell>
          <cell r="AC78" t="str">
            <v>1405/03/04</v>
          </cell>
          <cell r="AF78">
            <v>4</v>
          </cell>
        </row>
        <row r="79">
          <cell r="D79" t="str">
            <v>کریم پرست</v>
          </cell>
          <cell r="O79">
            <v>7301</v>
          </cell>
          <cell r="AC79" t="str">
            <v>1405/03/04</v>
          </cell>
          <cell r="AF79">
            <v>2</v>
          </cell>
        </row>
        <row r="80">
          <cell r="D80" t="str">
            <v>موسوی</v>
          </cell>
          <cell r="O80">
            <v>7302</v>
          </cell>
          <cell r="AC80" t="str">
            <v>1405/03/04</v>
          </cell>
          <cell r="AF80">
            <v>3</v>
          </cell>
        </row>
        <row r="81">
          <cell r="D81" t="str">
            <v>موسوی</v>
          </cell>
          <cell r="O81">
            <v>7302</v>
          </cell>
          <cell r="AC81" t="str">
            <v>1405/03/04</v>
          </cell>
          <cell r="AF81">
            <v>2</v>
          </cell>
        </row>
        <row r="82">
          <cell r="D82" t="str">
            <v>موسوی</v>
          </cell>
          <cell r="O82">
            <v>7302</v>
          </cell>
          <cell r="AC82" t="str">
            <v>1405/03/04</v>
          </cell>
          <cell r="AF82">
            <v>2.5</v>
          </cell>
        </row>
        <row r="83">
          <cell r="D83" t="str">
            <v>موسوی</v>
          </cell>
          <cell r="O83" t="str">
            <v>مونتاژ</v>
          </cell>
          <cell r="AC83" t="str">
            <v>1405/03/04</v>
          </cell>
          <cell r="AF83">
            <v>1.5</v>
          </cell>
        </row>
        <row r="84">
          <cell r="D84" t="str">
            <v>صحرایی</v>
          </cell>
          <cell r="O84">
            <v>7303</v>
          </cell>
          <cell r="AC84" t="str">
            <v>1405/03/04</v>
          </cell>
          <cell r="AF84">
            <v>4.5</v>
          </cell>
        </row>
        <row r="85">
          <cell r="D85" t="str">
            <v>صحرایی</v>
          </cell>
          <cell r="O85">
            <v>8002</v>
          </cell>
          <cell r="AC85" t="str">
            <v>1405/03/04</v>
          </cell>
          <cell r="AF85">
            <v>7.5</v>
          </cell>
        </row>
        <row r="86">
          <cell r="D86" t="str">
            <v>صلواتی</v>
          </cell>
          <cell r="O86">
            <v>7601</v>
          </cell>
          <cell r="AC86" t="str">
            <v>1405/03/04</v>
          </cell>
          <cell r="AF86">
            <v>11</v>
          </cell>
        </row>
        <row r="87">
          <cell r="D87" t="str">
            <v>صلواتی</v>
          </cell>
          <cell r="O87">
            <v>7602</v>
          </cell>
          <cell r="AC87" t="str">
            <v>1405/03/04</v>
          </cell>
          <cell r="AF87">
            <v>4</v>
          </cell>
        </row>
        <row r="88">
          <cell r="D88" t="str">
            <v>صلواتی</v>
          </cell>
          <cell r="O88">
            <v>7602</v>
          </cell>
          <cell r="AC88" t="str">
            <v>1405/03/04</v>
          </cell>
          <cell r="AF88">
            <v>2</v>
          </cell>
        </row>
        <row r="89">
          <cell r="D89" t="str">
            <v>صلواتی</v>
          </cell>
          <cell r="O89">
            <v>7602</v>
          </cell>
          <cell r="AC89" t="str">
            <v>1405/03/04</v>
          </cell>
          <cell r="AF89">
            <v>5</v>
          </cell>
        </row>
        <row r="90">
          <cell r="D90" t="str">
            <v>صلواتی</v>
          </cell>
          <cell r="O90">
            <v>7603</v>
          </cell>
          <cell r="AC90" t="str">
            <v>1405/03/04</v>
          </cell>
          <cell r="AF90">
            <v>7</v>
          </cell>
        </row>
        <row r="91">
          <cell r="D91" t="str">
            <v>صلواتی</v>
          </cell>
          <cell r="O91">
            <v>7603</v>
          </cell>
          <cell r="AC91" t="str">
            <v>1405/03/04</v>
          </cell>
          <cell r="AF91">
            <v>4</v>
          </cell>
        </row>
        <row r="92">
          <cell r="D92" t="str">
            <v>صلواتی</v>
          </cell>
          <cell r="O92">
            <v>7605</v>
          </cell>
          <cell r="AC92" t="str">
            <v>1405/03/04</v>
          </cell>
          <cell r="AF92">
            <v>11</v>
          </cell>
        </row>
        <row r="93">
          <cell r="D93" t="str">
            <v>زیلویی</v>
          </cell>
          <cell r="O93">
            <v>7203</v>
          </cell>
          <cell r="AC93" t="str">
            <v>1405/03/03</v>
          </cell>
          <cell r="AF93">
            <v>11</v>
          </cell>
        </row>
        <row r="94">
          <cell r="D94" t="str">
            <v>زیلویی</v>
          </cell>
          <cell r="O94">
            <v>7204</v>
          </cell>
          <cell r="AC94" t="str">
            <v>1405/03/03</v>
          </cell>
          <cell r="AF94">
            <v>2</v>
          </cell>
        </row>
        <row r="95">
          <cell r="D95" t="str">
            <v>زیلویی</v>
          </cell>
          <cell r="O95">
            <v>7203</v>
          </cell>
          <cell r="AC95" t="str">
            <v>1405/03/04</v>
          </cell>
          <cell r="AF95">
            <v>11</v>
          </cell>
        </row>
        <row r="96">
          <cell r="D96" t="str">
            <v>زیلویی</v>
          </cell>
          <cell r="O96">
            <v>7204</v>
          </cell>
          <cell r="AC96" t="str">
            <v>1405/03/04</v>
          </cell>
          <cell r="AF96">
            <v>1</v>
          </cell>
        </row>
        <row r="97">
          <cell r="D97" t="str">
            <v>خیرخواه</v>
          </cell>
          <cell r="O97" t="str">
            <v>مونتاژ</v>
          </cell>
          <cell r="AC97" t="str">
            <v>1405/03/04</v>
          </cell>
          <cell r="AF97">
            <v>3</v>
          </cell>
        </row>
        <row r="98">
          <cell r="D98" t="str">
            <v>خیرخواه</v>
          </cell>
          <cell r="O98">
            <v>7401</v>
          </cell>
          <cell r="AC98" t="str">
            <v>1405/03/04</v>
          </cell>
          <cell r="AF98">
            <v>1</v>
          </cell>
        </row>
        <row r="99">
          <cell r="D99" t="str">
            <v>خیرخواه</v>
          </cell>
          <cell r="O99" t="str">
            <v>مونتاژ</v>
          </cell>
          <cell r="AC99" t="str">
            <v>1405/03/04</v>
          </cell>
          <cell r="AF99">
            <v>1</v>
          </cell>
        </row>
        <row r="100">
          <cell r="D100" t="str">
            <v>خیرخواه</v>
          </cell>
          <cell r="O100" t="str">
            <v>مونتاژ</v>
          </cell>
          <cell r="AC100" t="str">
            <v>1405/03/04</v>
          </cell>
          <cell r="AF100">
            <v>4</v>
          </cell>
        </row>
        <row r="101">
          <cell r="D101" t="str">
            <v>خیرخواه</v>
          </cell>
          <cell r="O101" t="str">
            <v>مونتاژ</v>
          </cell>
          <cell r="AC101" t="str">
            <v>1405/03/04</v>
          </cell>
          <cell r="AF101">
            <v>0.5</v>
          </cell>
        </row>
        <row r="102">
          <cell r="D102" t="str">
            <v>کاظمی</v>
          </cell>
          <cell r="O102">
            <v>7202</v>
          </cell>
          <cell r="AC102" t="str">
            <v>1405/03/04</v>
          </cell>
          <cell r="AF102">
            <v>7.5</v>
          </cell>
        </row>
        <row r="103">
          <cell r="D103" t="str">
            <v>کاظمی</v>
          </cell>
          <cell r="O103">
            <v>7202</v>
          </cell>
          <cell r="AC103" t="str">
            <v>1405/03/04</v>
          </cell>
          <cell r="AF103">
            <v>3.5</v>
          </cell>
        </row>
        <row r="104">
          <cell r="D104" t="str">
            <v>موسوی</v>
          </cell>
          <cell r="O104">
            <v>7302</v>
          </cell>
          <cell r="AC104" t="str">
            <v>1405/03/05</v>
          </cell>
          <cell r="AF104">
            <v>4.5</v>
          </cell>
        </row>
        <row r="105">
          <cell r="D105" t="str">
            <v>موسوی</v>
          </cell>
          <cell r="O105">
            <v>7302</v>
          </cell>
          <cell r="AC105" t="str">
            <v>1405/03/05</v>
          </cell>
          <cell r="AF105">
            <v>3</v>
          </cell>
        </row>
        <row r="106">
          <cell r="D106" t="str">
            <v>موسوی</v>
          </cell>
          <cell r="O106">
            <v>7302</v>
          </cell>
          <cell r="AC106" t="str">
            <v>1405/03/05</v>
          </cell>
          <cell r="AF106">
            <v>3.5</v>
          </cell>
        </row>
        <row r="107">
          <cell r="D107" t="str">
            <v>خیرخواه</v>
          </cell>
          <cell r="O107" t="str">
            <v>مونتاژ</v>
          </cell>
          <cell r="AC107" t="str">
            <v>1405/03/05</v>
          </cell>
          <cell r="AF107">
            <v>2</v>
          </cell>
        </row>
        <row r="108">
          <cell r="D108" t="str">
            <v>خیرخواه</v>
          </cell>
          <cell r="O108" t="str">
            <v>مونتاژ</v>
          </cell>
          <cell r="AC108" t="str">
            <v>1405/03/05</v>
          </cell>
          <cell r="AF108">
            <v>4</v>
          </cell>
        </row>
        <row r="109">
          <cell r="D109" t="str">
            <v>خیرخواه</v>
          </cell>
          <cell r="O109" t="str">
            <v>دمونتاژ</v>
          </cell>
          <cell r="AC109" t="str">
            <v>1405/03/05</v>
          </cell>
          <cell r="AF109">
            <v>2</v>
          </cell>
        </row>
        <row r="110">
          <cell r="D110" t="str">
            <v>قیطاسوند</v>
          </cell>
          <cell r="O110">
            <v>7102</v>
          </cell>
          <cell r="AC110" t="str">
            <v>1405/03/05</v>
          </cell>
          <cell r="AF110">
            <v>11</v>
          </cell>
        </row>
        <row r="111">
          <cell r="D111" t="str">
            <v>کاظمی</v>
          </cell>
          <cell r="O111">
            <v>7202</v>
          </cell>
          <cell r="AC111" t="str">
            <v>1405/03/05</v>
          </cell>
          <cell r="AF111">
            <v>11</v>
          </cell>
        </row>
        <row r="112">
          <cell r="D112" t="str">
            <v>کاظمی</v>
          </cell>
          <cell r="O112">
            <v>7202</v>
          </cell>
          <cell r="AC112" t="str">
            <v>1405/03/06</v>
          </cell>
          <cell r="AF112">
            <v>7</v>
          </cell>
        </row>
        <row r="113">
          <cell r="D113" t="str">
            <v>زیلویی</v>
          </cell>
          <cell r="O113">
            <v>7203</v>
          </cell>
          <cell r="AC113" t="str">
            <v>1405/03/06</v>
          </cell>
          <cell r="AF113">
            <v>11</v>
          </cell>
        </row>
        <row r="114">
          <cell r="D114" t="str">
            <v>صلواتی</v>
          </cell>
          <cell r="O114">
            <v>7601</v>
          </cell>
          <cell r="AC114" t="str">
            <v>1405/03/05</v>
          </cell>
          <cell r="AF114">
            <v>5</v>
          </cell>
        </row>
        <row r="115">
          <cell r="D115" t="str">
            <v>صلواتی</v>
          </cell>
          <cell r="O115">
            <v>7603</v>
          </cell>
          <cell r="AC115" t="str">
            <v>1405/03/05</v>
          </cell>
          <cell r="AF115">
            <v>12</v>
          </cell>
        </row>
        <row r="116">
          <cell r="D116" t="str">
            <v>صلواتی</v>
          </cell>
          <cell r="O116">
            <v>7603</v>
          </cell>
          <cell r="AC116" t="str">
            <v>1405/03/05</v>
          </cell>
          <cell r="AF116">
            <v>12</v>
          </cell>
        </row>
        <row r="117">
          <cell r="D117" t="str">
            <v>صلواتی</v>
          </cell>
          <cell r="O117">
            <v>7605</v>
          </cell>
          <cell r="AC117" t="str">
            <v>1405/03/05</v>
          </cell>
          <cell r="AF117">
            <v>12</v>
          </cell>
        </row>
        <row r="118">
          <cell r="D118" t="str">
            <v>صحرایی</v>
          </cell>
          <cell r="O118">
            <v>8002</v>
          </cell>
          <cell r="AC118" t="str">
            <v>1405/03/05</v>
          </cell>
          <cell r="AF118">
            <v>7.5</v>
          </cell>
        </row>
        <row r="119">
          <cell r="D119" t="str">
            <v>یاراحمدی</v>
          </cell>
          <cell r="O119">
            <v>7502</v>
          </cell>
          <cell r="AC119" t="str">
            <v>1405/03/05</v>
          </cell>
          <cell r="AF119">
            <v>11</v>
          </cell>
        </row>
        <row r="120">
          <cell r="D120" t="str">
            <v>یاراحمدی</v>
          </cell>
          <cell r="O120">
            <v>7502</v>
          </cell>
          <cell r="AC120" t="str">
            <v>1405/03/06</v>
          </cell>
          <cell r="AF120">
            <v>7.5</v>
          </cell>
        </row>
        <row r="121">
          <cell r="D121" t="str">
            <v>فراهی</v>
          </cell>
          <cell r="O121">
            <v>7103</v>
          </cell>
          <cell r="AC121" t="str">
            <v>1405/03/05</v>
          </cell>
          <cell r="AF121">
            <v>1.5</v>
          </cell>
        </row>
        <row r="122">
          <cell r="D122" t="str">
            <v>فراهی</v>
          </cell>
          <cell r="O122">
            <v>7103</v>
          </cell>
          <cell r="AC122" t="str">
            <v>1405/03/05</v>
          </cell>
          <cell r="AF122">
            <v>5</v>
          </cell>
        </row>
        <row r="123">
          <cell r="D123" t="str">
            <v>قیطاسوند</v>
          </cell>
          <cell r="O123">
            <v>7102</v>
          </cell>
          <cell r="AC123" t="str">
            <v>1405/03/07</v>
          </cell>
          <cell r="AF123">
            <v>7</v>
          </cell>
        </row>
        <row r="124">
          <cell r="D124" t="str">
            <v>قیطاسوند</v>
          </cell>
          <cell r="O124" t="str">
            <v>نظافت</v>
          </cell>
          <cell r="AC124" t="str">
            <v>1405/03/07</v>
          </cell>
          <cell r="AF124">
            <v>0.5</v>
          </cell>
        </row>
        <row r="125">
          <cell r="D125" t="str">
            <v>یاراحمدی</v>
          </cell>
          <cell r="O125">
            <v>7502</v>
          </cell>
          <cell r="AC125" t="str">
            <v>1405/03/07</v>
          </cell>
          <cell r="AF125">
            <v>7</v>
          </cell>
        </row>
        <row r="126">
          <cell r="D126" t="str">
            <v>یاراحمدی</v>
          </cell>
          <cell r="O126" t="str">
            <v>نظافت</v>
          </cell>
          <cell r="AC126" t="str">
            <v>1405/03/07</v>
          </cell>
          <cell r="AF126">
            <v>0.5</v>
          </cell>
        </row>
        <row r="127">
          <cell r="D127" t="str">
            <v>خیرخواه</v>
          </cell>
          <cell r="O127">
            <v>7401</v>
          </cell>
          <cell r="AC127" t="str">
            <v>1405/03/07</v>
          </cell>
          <cell r="AF127">
            <v>1</v>
          </cell>
        </row>
        <row r="128">
          <cell r="D128" t="str">
            <v>خیرخواه</v>
          </cell>
          <cell r="O128" t="str">
            <v>مونتاژ</v>
          </cell>
          <cell r="AC128" t="str">
            <v>1405/03/07</v>
          </cell>
          <cell r="AF128">
            <v>2</v>
          </cell>
        </row>
        <row r="129">
          <cell r="D129" t="str">
            <v>خیرخواه</v>
          </cell>
          <cell r="O129">
            <v>7401</v>
          </cell>
          <cell r="AC129" t="str">
            <v>1405/03/07</v>
          </cell>
          <cell r="AF129">
            <v>2</v>
          </cell>
        </row>
        <row r="130">
          <cell r="D130" t="str">
            <v>خیرخواه</v>
          </cell>
          <cell r="O130" t="str">
            <v>نظافت</v>
          </cell>
          <cell r="AC130" t="str">
            <v>1405/03/07</v>
          </cell>
          <cell r="AF130">
            <v>1</v>
          </cell>
        </row>
        <row r="131">
          <cell r="D131" t="str">
            <v>صحرایی</v>
          </cell>
          <cell r="O131">
            <v>8002</v>
          </cell>
          <cell r="AC131" t="str">
            <v>1405/03/07</v>
          </cell>
          <cell r="AF131">
            <v>7.5</v>
          </cell>
        </row>
        <row r="132">
          <cell r="D132" t="str">
            <v>صحرایی</v>
          </cell>
          <cell r="O132" t="str">
            <v>نظافت</v>
          </cell>
          <cell r="AC132" t="str">
            <v>1405/03/07</v>
          </cell>
          <cell r="AF132">
            <v>0.5</v>
          </cell>
        </row>
        <row r="133">
          <cell r="D133" t="str">
            <v>موسوی</v>
          </cell>
          <cell r="O133">
            <v>7302</v>
          </cell>
          <cell r="AC133" t="str">
            <v>1405/03/07</v>
          </cell>
          <cell r="AF133">
            <v>2</v>
          </cell>
        </row>
        <row r="134">
          <cell r="D134" t="str">
            <v>موسوی</v>
          </cell>
          <cell r="O134">
            <v>7302</v>
          </cell>
          <cell r="AC134" t="str">
            <v>1405/03/07</v>
          </cell>
          <cell r="AF134">
            <v>2</v>
          </cell>
        </row>
        <row r="135">
          <cell r="D135" t="str">
            <v>موسوی</v>
          </cell>
          <cell r="O135" t="str">
            <v>مونتاژ</v>
          </cell>
          <cell r="AC135" t="str">
            <v>1405/03/07</v>
          </cell>
          <cell r="AF135">
            <v>2</v>
          </cell>
        </row>
        <row r="136">
          <cell r="D136" t="str">
            <v>موسوی</v>
          </cell>
          <cell r="O136" t="str">
            <v>نظافت</v>
          </cell>
          <cell r="AC136" t="str">
            <v>1405/03/07</v>
          </cell>
          <cell r="AF136">
            <v>0.5</v>
          </cell>
        </row>
        <row r="137">
          <cell r="D137" t="str">
            <v>صلواتی</v>
          </cell>
          <cell r="O137">
            <v>7601</v>
          </cell>
          <cell r="AC137" t="str">
            <v>1405/03/07</v>
          </cell>
          <cell r="AF137">
            <v>4</v>
          </cell>
        </row>
        <row r="138">
          <cell r="D138" t="str">
            <v>صلواتی</v>
          </cell>
          <cell r="O138">
            <v>7602</v>
          </cell>
          <cell r="AC138" t="str">
            <v>1405/03/07</v>
          </cell>
          <cell r="AF138">
            <v>4</v>
          </cell>
        </row>
        <row r="139">
          <cell r="D139" t="str">
            <v>کاظمی</v>
          </cell>
          <cell r="O139">
            <v>7202</v>
          </cell>
          <cell r="AC139" t="str">
            <v>1405/03/07</v>
          </cell>
          <cell r="AF139">
            <v>7.5</v>
          </cell>
        </row>
        <row r="140">
          <cell r="D140" t="str">
            <v>زیلویی</v>
          </cell>
          <cell r="O140">
            <v>7203</v>
          </cell>
          <cell r="AC140" t="str">
            <v>1405/03/07</v>
          </cell>
          <cell r="AF140">
            <v>7.5</v>
          </cell>
        </row>
        <row r="141">
          <cell r="D141" t="str">
            <v>زیلویی</v>
          </cell>
          <cell r="O141">
            <v>7203</v>
          </cell>
          <cell r="AC141" t="str">
            <v>1405/03/09</v>
          </cell>
          <cell r="AF141">
            <v>10</v>
          </cell>
        </row>
        <row r="142">
          <cell r="D142" t="str">
            <v>کاظمی</v>
          </cell>
          <cell r="O142">
            <v>7202</v>
          </cell>
          <cell r="AC142" t="str">
            <v>1405/03/09</v>
          </cell>
          <cell r="AF142">
            <v>10</v>
          </cell>
        </row>
        <row r="143">
          <cell r="D143" t="str">
            <v>صحرایی</v>
          </cell>
          <cell r="O143">
            <v>8002</v>
          </cell>
          <cell r="AC143" t="str">
            <v>1405/03/09</v>
          </cell>
          <cell r="AF143">
            <v>7.5</v>
          </cell>
        </row>
        <row r="144">
          <cell r="D144" t="str">
            <v>فراهی</v>
          </cell>
          <cell r="O144">
            <v>7103</v>
          </cell>
          <cell r="AC144" t="str">
            <v>1405/03/09</v>
          </cell>
          <cell r="AF144">
            <v>7.333333333333333</v>
          </cell>
        </row>
        <row r="145">
          <cell r="D145" t="str">
            <v>قیطاسوند</v>
          </cell>
          <cell r="O145">
            <v>7102</v>
          </cell>
          <cell r="AC145" t="str">
            <v>1405/03/09</v>
          </cell>
          <cell r="AF145">
            <v>10</v>
          </cell>
        </row>
        <row r="146">
          <cell r="D146" t="str">
            <v>هاشم زاده</v>
          </cell>
          <cell r="O146" t="str">
            <v>مونتاژ</v>
          </cell>
          <cell r="AC146" t="str">
            <v>1405/03/09</v>
          </cell>
          <cell r="AF146">
            <v>2</v>
          </cell>
        </row>
        <row r="147">
          <cell r="D147" t="str">
            <v>هاشم زاده</v>
          </cell>
          <cell r="O147">
            <v>8001</v>
          </cell>
          <cell r="AC147" t="str">
            <v>1405/03/09</v>
          </cell>
          <cell r="AF147">
            <v>7</v>
          </cell>
        </row>
        <row r="148">
          <cell r="D148" t="str">
            <v>یاراحمدی</v>
          </cell>
          <cell r="O148">
            <v>7502</v>
          </cell>
          <cell r="AC148" t="str">
            <v>1405/03/09</v>
          </cell>
          <cell r="AF148">
            <v>3</v>
          </cell>
        </row>
        <row r="149">
          <cell r="D149" t="str">
            <v>یاراحمدی</v>
          </cell>
          <cell r="O149">
            <v>7502</v>
          </cell>
          <cell r="AC149" t="str">
            <v>1405/03/09</v>
          </cell>
          <cell r="AF149">
            <v>3</v>
          </cell>
        </row>
        <row r="150">
          <cell r="D150" t="str">
            <v>یاراحمدی</v>
          </cell>
          <cell r="O150">
            <v>7502</v>
          </cell>
          <cell r="AC150" t="str">
            <v>1405/03/09</v>
          </cell>
          <cell r="AF150">
            <v>1</v>
          </cell>
        </row>
        <row r="151">
          <cell r="D151" t="str">
            <v>یاراحمدی</v>
          </cell>
          <cell r="O151">
            <v>7502</v>
          </cell>
          <cell r="AC151" t="str">
            <v>1405/03/09</v>
          </cell>
          <cell r="AF151">
            <v>3</v>
          </cell>
        </row>
        <row r="152">
          <cell r="D152" t="str">
            <v>موسوی</v>
          </cell>
          <cell r="O152">
            <v>7302</v>
          </cell>
          <cell r="AC152" t="str">
            <v>1405/03/09</v>
          </cell>
          <cell r="AF152">
            <v>3</v>
          </cell>
        </row>
        <row r="153">
          <cell r="D153" t="str">
            <v>موسوی</v>
          </cell>
          <cell r="O153">
            <v>7302</v>
          </cell>
          <cell r="AC153" t="str">
            <v>1405/03/09</v>
          </cell>
          <cell r="AF153">
            <v>1.5</v>
          </cell>
        </row>
        <row r="154">
          <cell r="D154" t="str">
            <v>موسوی</v>
          </cell>
          <cell r="O154">
            <v>7302</v>
          </cell>
          <cell r="AC154" t="str">
            <v>1405/03/09</v>
          </cell>
          <cell r="AF154">
            <v>1.5</v>
          </cell>
        </row>
        <row r="155">
          <cell r="D155" t="str">
            <v>حیدری</v>
          </cell>
          <cell r="O155">
            <v>7101</v>
          </cell>
          <cell r="AC155" t="str">
            <v>1405/03/04</v>
          </cell>
          <cell r="AF155">
            <v>9</v>
          </cell>
        </row>
        <row r="156">
          <cell r="D156" t="str">
            <v>حیدری</v>
          </cell>
          <cell r="O156">
            <v>7101</v>
          </cell>
          <cell r="AC156" t="str">
            <v>1405/03/04</v>
          </cell>
          <cell r="AF156">
            <v>2</v>
          </cell>
        </row>
        <row r="157">
          <cell r="D157" t="str">
            <v>موسوی</v>
          </cell>
          <cell r="O157">
            <v>7302</v>
          </cell>
          <cell r="AC157" t="str">
            <v>1405/03/09</v>
          </cell>
          <cell r="AF157">
            <v>2</v>
          </cell>
        </row>
        <row r="158">
          <cell r="D158" t="str">
            <v>موسوی</v>
          </cell>
          <cell r="O158">
            <v>7302</v>
          </cell>
          <cell r="AC158" t="str">
            <v>1405/03/09</v>
          </cell>
          <cell r="AF158">
            <v>3</v>
          </cell>
        </row>
        <row r="159">
          <cell r="D159" t="str">
            <v>صلواتی</v>
          </cell>
          <cell r="O159">
            <v>7603</v>
          </cell>
          <cell r="AC159" t="str">
            <v>1405/03/09</v>
          </cell>
          <cell r="AF159">
            <v>12</v>
          </cell>
        </row>
        <row r="160">
          <cell r="D160" t="str">
            <v>صلواتی</v>
          </cell>
          <cell r="O160">
            <v>7602</v>
          </cell>
          <cell r="AC160" t="str">
            <v>1405/03/09</v>
          </cell>
          <cell r="AF160">
            <v>12</v>
          </cell>
        </row>
        <row r="161">
          <cell r="D161" t="str">
            <v>صلواتی</v>
          </cell>
          <cell r="O161" t="str">
            <v>مونتاژ</v>
          </cell>
          <cell r="AC161" t="str">
            <v>1405/03/09</v>
          </cell>
          <cell r="AF161">
            <v>12</v>
          </cell>
        </row>
        <row r="162">
          <cell r="D162" t="str">
            <v>خیرخواه</v>
          </cell>
          <cell r="O162" t="str">
            <v>مونتاژ</v>
          </cell>
          <cell r="AC162" t="str">
            <v>1405/03/09</v>
          </cell>
          <cell r="AF162">
            <v>1</v>
          </cell>
        </row>
        <row r="163">
          <cell r="D163" t="str">
            <v>خیرخواه</v>
          </cell>
          <cell r="O163">
            <v>7401</v>
          </cell>
          <cell r="AC163" t="str">
            <v>1405/03/09</v>
          </cell>
          <cell r="AF163">
            <v>1</v>
          </cell>
        </row>
        <row r="164">
          <cell r="D164" t="str">
            <v>خیرخواه</v>
          </cell>
          <cell r="O164" t="str">
            <v>مونتاژ</v>
          </cell>
          <cell r="AC164" t="str">
            <v>1405/03/09</v>
          </cell>
          <cell r="AF164">
            <v>8</v>
          </cell>
        </row>
        <row r="165">
          <cell r="D165" t="str">
            <v>کاظمی</v>
          </cell>
          <cell r="O165">
            <v>7202</v>
          </cell>
          <cell r="AC165" t="str">
            <v>1405/03/10</v>
          </cell>
          <cell r="AF165">
            <v>2.5</v>
          </cell>
        </row>
        <row r="166">
          <cell r="D166" t="str">
            <v>کاظمی</v>
          </cell>
          <cell r="O166">
            <v>7202</v>
          </cell>
          <cell r="AC166" t="str">
            <v>1405/03/10</v>
          </cell>
          <cell r="AF166">
            <v>5</v>
          </cell>
        </row>
        <row r="167">
          <cell r="D167" t="str">
            <v>باقری اصل</v>
          </cell>
          <cell r="O167">
            <v>7204</v>
          </cell>
          <cell r="AC167" t="str">
            <v>1405/03/10</v>
          </cell>
          <cell r="AF167">
            <v>7.5</v>
          </cell>
        </row>
        <row r="168">
          <cell r="D168" t="str">
            <v>باقری اصل</v>
          </cell>
          <cell r="O168">
            <v>7204</v>
          </cell>
          <cell r="AC168" t="str">
            <v>1405/03/09</v>
          </cell>
          <cell r="AF168">
            <v>11</v>
          </cell>
        </row>
        <row r="169">
          <cell r="D169" t="str">
            <v>قیطاسوند</v>
          </cell>
          <cell r="O169">
            <v>7102</v>
          </cell>
          <cell r="AC169" t="str">
            <v>1405/03/10</v>
          </cell>
          <cell r="AF169">
            <v>11</v>
          </cell>
        </row>
        <row r="170">
          <cell r="D170" t="str">
            <v>هاشم زاده</v>
          </cell>
          <cell r="O170">
            <v>8001</v>
          </cell>
          <cell r="AC170" t="str">
            <v>1405/03/10</v>
          </cell>
          <cell r="AF170">
            <v>9</v>
          </cell>
        </row>
        <row r="171">
          <cell r="D171" t="str">
            <v>هاشم زاده</v>
          </cell>
          <cell r="O171" t="str">
            <v>دمونتاژ</v>
          </cell>
          <cell r="AC171" t="str">
            <v>1405/03/10</v>
          </cell>
          <cell r="AF171">
            <v>2</v>
          </cell>
        </row>
        <row r="172">
          <cell r="D172" t="str">
            <v>یاراحمدی</v>
          </cell>
          <cell r="O172">
            <v>7502</v>
          </cell>
          <cell r="AC172" t="str">
            <v>1405/03/10</v>
          </cell>
          <cell r="AF172">
            <v>9</v>
          </cell>
        </row>
        <row r="173">
          <cell r="D173" t="str">
            <v>یاراحمدی</v>
          </cell>
          <cell r="O173">
            <v>7502</v>
          </cell>
          <cell r="AC173" t="str">
            <v>1405/03/10</v>
          </cell>
          <cell r="AF173">
            <v>2</v>
          </cell>
        </row>
        <row r="174">
          <cell r="D174" t="str">
            <v>فراهی</v>
          </cell>
          <cell r="O174">
            <v>7103</v>
          </cell>
          <cell r="AC174" t="str">
            <v>1405/03/10</v>
          </cell>
          <cell r="AF174">
            <v>3</v>
          </cell>
        </row>
        <row r="175">
          <cell r="D175" t="str">
            <v>فراهی</v>
          </cell>
          <cell r="O175">
            <v>7103</v>
          </cell>
          <cell r="AC175" t="str">
            <v>1405/03/10</v>
          </cell>
          <cell r="AF175">
            <v>3.3333333333333335</v>
          </cell>
        </row>
        <row r="176">
          <cell r="D176" t="str">
            <v>حیدری</v>
          </cell>
          <cell r="O176">
            <v>7101</v>
          </cell>
          <cell r="AC176" t="str">
            <v>1405/03/10</v>
          </cell>
          <cell r="AF176">
            <v>5.5</v>
          </cell>
        </row>
        <row r="177">
          <cell r="D177" t="str">
            <v>حیدری</v>
          </cell>
          <cell r="O177">
            <v>7101</v>
          </cell>
          <cell r="AC177" t="str">
            <v>1405/03/10</v>
          </cell>
          <cell r="AF177">
            <v>5.5</v>
          </cell>
        </row>
        <row r="178">
          <cell r="D178" t="str">
            <v>قیطاسوند</v>
          </cell>
          <cell r="O178">
            <v>7102</v>
          </cell>
          <cell r="AC178" t="str">
            <v>1405/03/11</v>
          </cell>
          <cell r="AF178">
            <v>11</v>
          </cell>
        </row>
        <row r="179">
          <cell r="D179" t="str">
            <v>صلواتی</v>
          </cell>
          <cell r="O179">
            <v>7602</v>
          </cell>
          <cell r="AC179" t="str">
            <v>1405/03/10</v>
          </cell>
          <cell r="AF179">
            <v>9</v>
          </cell>
        </row>
        <row r="180">
          <cell r="D180" t="str">
            <v>صلواتی</v>
          </cell>
          <cell r="O180">
            <v>7603</v>
          </cell>
          <cell r="AC180" t="str">
            <v>1405/03/10</v>
          </cell>
          <cell r="AF180">
            <v>9</v>
          </cell>
        </row>
        <row r="181">
          <cell r="D181" t="str">
            <v>صلواتی</v>
          </cell>
          <cell r="O181">
            <v>7603</v>
          </cell>
          <cell r="AC181" t="str">
            <v>1405/03/10</v>
          </cell>
          <cell r="AF181">
            <v>5</v>
          </cell>
        </row>
        <row r="182">
          <cell r="D182" t="str">
            <v>صلواتی</v>
          </cell>
          <cell r="O182">
            <v>7701</v>
          </cell>
          <cell r="AC182" t="str">
            <v>1405/03/10</v>
          </cell>
          <cell r="AF182">
            <v>3</v>
          </cell>
        </row>
        <row r="183">
          <cell r="D183" t="str">
            <v>خیرخواه</v>
          </cell>
          <cell r="O183">
            <v>7401</v>
          </cell>
          <cell r="AC183" t="str">
            <v>1405/03/10</v>
          </cell>
          <cell r="AF183">
            <v>1.5</v>
          </cell>
        </row>
        <row r="184">
          <cell r="D184" t="str">
            <v>خیرخواه</v>
          </cell>
          <cell r="O184">
            <v>7401</v>
          </cell>
          <cell r="AC184" t="str">
            <v>1405/03/10</v>
          </cell>
          <cell r="AF184">
            <v>1</v>
          </cell>
        </row>
        <row r="185">
          <cell r="D185" t="str">
            <v>خیرخواه</v>
          </cell>
          <cell r="O185" t="str">
            <v>مونتاژ</v>
          </cell>
          <cell r="AC185" t="str">
            <v>1405/03/10</v>
          </cell>
          <cell r="AF185">
            <v>2.5</v>
          </cell>
        </row>
        <row r="186">
          <cell r="D186" t="str">
            <v>خیرخواه</v>
          </cell>
          <cell r="O186" t="str">
            <v>دمونتاژ</v>
          </cell>
          <cell r="AC186" t="str">
            <v>1405/03/10</v>
          </cell>
          <cell r="AF186">
            <v>0.5</v>
          </cell>
        </row>
        <row r="187">
          <cell r="D187" t="str">
            <v>خیرخواه</v>
          </cell>
          <cell r="O187" t="str">
            <v>دمونتاژ</v>
          </cell>
          <cell r="AC187" t="str">
            <v>1405/03/10</v>
          </cell>
          <cell r="AF187">
            <v>2</v>
          </cell>
        </row>
        <row r="188">
          <cell r="D188" t="str">
            <v>خیرخواه</v>
          </cell>
          <cell r="O188" t="str">
            <v>دمونتاژ</v>
          </cell>
          <cell r="AC188" t="str">
            <v>1405/03/10</v>
          </cell>
          <cell r="AF188">
            <v>1</v>
          </cell>
        </row>
        <row r="189">
          <cell r="D189" t="str">
            <v>موسوی</v>
          </cell>
          <cell r="O189">
            <v>7302</v>
          </cell>
          <cell r="AC189" t="str">
            <v>1405/03/10</v>
          </cell>
          <cell r="AF189">
            <v>4</v>
          </cell>
        </row>
        <row r="190">
          <cell r="D190" t="str">
            <v>موسوی</v>
          </cell>
          <cell r="O190">
            <v>7302</v>
          </cell>
          <cell r="AC190" t="str">
            <v>1405/03/10</v>
          </cell>
          <cell r="AF190">
            <v>1.5</v>
          </cell>
        </row>
        <row r="191">
          <cell r="D191" t="str">
            <v>موسوی</v>
          </cell>
          <cell r="O191">
            <v>7302</v>
          </cell>
          <cell r="AC191" t="str">
            <v>1405/03/10</v>
          </cell>
          <cell r="AF191">
            <v>2</v>
          </cell>
        </row>
        <row r="192">
          <cell r="D192" t="str">
            <v>صحرایی</v>
          </cell>
          <cell r="O192">
            <v>8002</v>
          </cell>
          <cell r="AC192" t="str">
            <v>1405/03/11</v>
          </cell>
          <cell r="AF192">
            <v>7.5</v>
          </cell>
        </row>
        <row r="193">
          <cell r="D193" t="str">
            <v>هاشم زاده</v>
          </cell>
          <cell r="O193">
            <v>8001</v>
          </cell>
          <cell r="AC193" t="str">
            <v>1405/03/11</v>
          </cell>
          <cell r="AF193">
            <v>11</v>
          </cell>
        </row>
        <row r="194">
          <cell r="D194" t="str">
            <v>فراهی</v>
          </cell>
          <cell r="O194">
            <v>7103</v>
          </cell>
          <cell r="AC194" t="str">
            <v>1405/03/11</v>
          </cell>
          <cell r="AF194">
            <v>3.5</v>
          </cell>
        </row>
        <row r="195">
          <cell r="D195" t="str">
            <v>یاراحمدی</v>
          </cell>
          <cell r="O195">
            <v>7502</v>
          </cell>
          <cell r="AC195" t="str">
            <v>1405/03/11</v>
          </cell>
          <cell r="AF195">
            <v>10</v>
          </cell>
        </row>
        <row r="196">
          <cell r="D196" t="str">
            <v>یاراحمدی</v>
          </cell>
          <cell r="O196">
            <v>7502</v>
          </cell>
          <cell r="AC196" t="str">
            <v>1405/03/11</v>
          </cell>
          <cell r="AF196">
            <v>1</v>
          </cell>
        </row>
        <row r="197">
          <cell r="D197" t="str">
            <v>باقری اصل</v>
          </cell>
          <cell r="O197">
            <v>7204</v>
          </cell>
          <cell r="AC197" t="str">
            <v>1405/03/11</v>
          </cell>
          <cell r="AF197">
            <v>4.5</v>
          </cell>
        </row>
        <row r="198">
          <cell r="D198" t="str">
            <v>باقری اصل</v>
          </cell>
          <cell r="O198">
            <v>7204</v>
          </cell>
          <cell r="AC198" t="str">
            <v>1405/03/11</v>
          </cell>
          <cell r="AF198">
            <v>6.5</v>
          </cell>
        </row>
        <row r="199">
          <cell r="D199" t="str">
            <v>موسوی</v>
          </cell>
          <cell r="O199">
            <v>7302</v>
          </cell>
          <cell r="AC199" t="str">
            <v>1405/03/11</v>
          </cell>
          <cell r="AF199">
            <v>4</v>
          </cell>
        </row>
        <row r="200">
          <cell r="D200" t="str">
            <v>موسوی</v>
          </cell>
          <cell r="O200">
            <v>7302</v>
          </cell>
          <cell r="AC200" t="str">
            <v>1405/03/11</v>
          </cell>
          <cell r="AF200">
            <v>6</v>
          </cell>
        </row>
        <row r="201">
          <cell r="D201" t="str">
            <v>حیدری</v>
          </cell>
          <cell r="O201">
            <v>7302</v>
          </cell>
          <cell r="AC201" t="str">
            <v>1405/03/11</v>
          </cell>
          <cell r="AF201">
            <v>1</v>
          </cell>
        </row>
        <row r="202">
          <cell r="D202" t="str">
            <v>حیدری</v>
          </cell>
          <cell r="O202">
            <v>7101</v>
          </cell>
          <cell r="AC202" t="str">
            <v>1405/03/11</v>
          </cell>
          <cell r="AF202">
            <v>4.5</v>
          </cell>
        </row>
        <row r="203">
          <cell r="D203" t="str">
            <v>حیدری</v>
          </cell>
          <cell r="O203" t="str">
            <v>مونتاژ</v>
          </cell>
          <cell r="AC203" t="str">
            <v>1405/03/11</v>
          </cell>
          <cell r="AF203">
            <v>5.5</v>
          </cell>
        </row>
        <row r="204">
          <cell r="D204" t="str">
            <v>صلواتی</v>
          </cell>
          <cell r="O204">
            <v>7601</v>
          </cell>
          <cell r="AC204" t="str">
            <v>1405/03/11</v>
          </cell>
          <cell r="AF204">
            <v>9</v>
          </cell>
        </row>
        <row r="205">
          <cell r="D205" t="str">
            <v>صلواتی</v>
          </cell>
          <cell r="O205">
            <v>7602</v>
          </cell>
          <cell r="AC205" t="str">
            <v>1405/03/11</v>
          </cell>
          <cell r="AF205">
            <v>5</v>
          </cell>
        </row>
        <row r="206">
          <cell r="D206" t="str">
            <v>صلواتی</v>
          </cell>
          <cell r="O206">
            <v>7603</v>
          </cell>
          <cell r="AC206" t="str">
            <v>1405/03/11</v>
          </cell>
          <cell r="AF206">
            <v>2</v>
          </cell>
        </row>
        <row r="207">
          <cell r="D207" t="str">
            <v>صلواتی</v>
          </cell>
          <cell r="O207">
            <v>7602</v>
          </cell>
          <cell r="AC207" t="str">
            <v>1405/03/11</v>
          </cell>
          <cell r="AF207">
            <v>4</v>
          </cell>
        </row>
        <row r="208">
          <cell r="D208" t="str">
            <v>خیرخواه</v>
          </cell>
          <cell r="O208" t="str">
            <v>دمونتاژ</v>
          </cell>
          <cell r="AC208" t="str">
            <v>1405/03/11</v>
          </cell>
          <cell r="AF208">
            <v>1</v>
          </cell>
        </row>
        <row r="209">
          <cell r="D209" t="str">
            <v>خیرخواه</v>
          </cell>
          <cell r="O209" t="str">
            <v>مونتاژ</v>
          </cell>
          <cell r="AC209" t="str">
            <v>1405/03/11</v>
          </cell>
          <cell r="AF209">
            <v>1</v>
          </cell>
        </row>
        <row r="210">
          <cell r="D210" t="str">
            <v>خیرخواه</v>
          </cell>
          <cell r="O210" t="str">
            <v>مونتاژ</v>
          </cell>
          <cell r="AC210" t="str">
            <v>1405/03/11</v>
          </cell>
          <cell r="AF210">
            <v>2.5</v>
          </cell>
        </row>
        <row r="211">
          <cell r="D211" t="str">
            <v>خیرخواه</v>
          </cell>
          <cell r="O211" t="str">
            <v>مونتاژ</v>
          </cell>
          <cell r="AC211" t="str">
            <v>1405/03/11</v>
          </cell>
          <cell r="AF211">
            <v>2.5</v>
          </cell>
        </row>
        <row r="212">
          <cell r="D212" t="str">
            <v>خیرخواه</v>
          </cell>
          <cell r="O212" t="str">
            <v>دمونتاژ</v>
          </cell>
          <cell r="AC212" t="str">
            <v>1405/03/11</v>
          </cell>
          <cell r="AF212">
            <v>0.5</v>
          </cell>
        </row>
        <row r="213">
          <cell r="D213" t="str">
            <v>خیرخواه</v>
          </cell>
          <cell r="O213" t="str">
            <v>مونتاژ</v>
          </cell>
          <cell r="AC213" t="str">
            <v>1405/03/11</v>
          </cell>
          <cell r="AF213">
            <v>2</v>
          </cell>
        </row>
        <row r="214">
          <cell r="D214" t="str">
            <v>زیلویی</v>
          </cell>
          <cell r="O214">
            <v>7203</v>
          </cell>
          <cell r="AC214" t="str">
            <v>1405/03/11</v>
          </cell>
          <cell r="AF214">
            <v>11</v>
          </cell>
        </row>
        <row r="215">
          <cell r="D215" t="str">
            <v>زیلویی</v>
          </cell>
          <cell r="O215">
            <v>7203</v>
          </cell>
          <cell r="AC215" t="str">
            <v>1405/03/10</v>
          </cell>
          <cell r="AF215">
            <v>11</v>
          </cell>
        </row>
        <row r="216">
          <cell r="D216" t="str">
            <v>باقری اصل</v>
          </cell>
          <cell r="O216">
            <v>7204</v>
          </cell>
          <cell r="AC216" t="str">
            <v>1405/03/12</v>
          </cell>
          <cell r="AF216">
            <v>11</v>
          </cell>
        </row>
        <row r="217">
          <cell r="D217" t="str">
            <v>زیلویی</v>
          </cell>
          <cell r="O217">
            <v>7202</v>
          </cell>
          <cell r="AC217" t="str">
            <v>1405/03/12</v>
          </cell>
          <cell r="AF217">
            <v>9</v>
          </cell>
        </row>
        <row r="218">
          <cell r="D218" t="str">
            <v>هاشم زاده</v>
          </cell>
          <cell r="O218">
            <v>8001</v>
          </cell>
          <cell r="AC218" t="str">
            <v>1405/03/12</v>
          </cell>
          <cell r="AF218">
            <v>11</v>
          </cell>
        </row>
        <row r="219">
          <cell r="D219" t="str">
            <v>موسوی</v>
          </cell>
          <cell r="O219">
            <v>7302</v>
          </cell>
          <cell r="AC219" t="str">
            <v>1405/03/12</v>
          </cell>
          <cell r="AF219">
            <v>10</v>
          </cell>
        </row>
        <row r="220">
          <cell r="D220" t="str">
            <v>قیطاسوند</v>
          </cell>
          <cell r="O220">
            <v>7102</v>
          </cell>
          <cell r="AC220" t="str">
            <v>1405/03/12</v>
          </cell>
          <cell r="AF220">
            <v>11</v>
          </cell>
        </row>
        <row r="221">
          <cell r="D221" t="str">
            <v>فراهی</v>
          </cell>
          <cell r="O221">
            <v>7103</v>
          </cell>
          <cell r="AC221" t="str">
            <v>1405/03/12</v>
          </cell>
          <cell r="AF221">
            <v>4</v>
          </cell>
        </row>
        <row r="222">
          <cell r="D222" t="str">
            <v>فراهی</v>
          </cell>
          <cell r="O222">
            <v>7103</v>
          </cell>
          <cell r="AC222" t="str">
            <v>1405/03/12</v>
          </cell>
          <cell r="AF222">
            <v>1.8333333333333333</v>
          </cell>
        </row>
        <row r="223">
          <cell r="D223" t="str">
            <v>صحرایی</v>
          </cell>
          <cell r="O223">
            <v>8002</v>
          </cell>
          <cell r="AC223" t="str">
            <v>1405/03/12</v>
          </cell>
          <cell r="AF223">
            <v>7.5</v>
          </cell>
        </row>
        <row r="224">
          <cell r="D224" t="str">
            <v>صحرایی</v>
          </cell>
          <cell r="O224">
            <v>7303</v>
          </cell>
          <cell r="AC224" t="str">
            <v>1405/03/12</v>
          </cell>
          <cell r="AF224">
            <v>2</v>
          </cell>
        </row>
        <row r="225">
          <cell r="D225" t="str">
            <v>حیدری</v>
          </cell>
          <cell r="O225" t="str">
            <v>مونتاژ</v>
          </cell>
          <cell r="AC225" t="str">
            <v>1405/03/12</v>
          </cell>
          <cell r="AF225">
            <v>3.5</v>
          </cell>
        </row>
        <row r="226">
          <cell r="D226" t="str">
            <v>حیدری</v>
          </cell>
          <cell r="O226">
            <v>7101</v>
          </cell>
          <cell r="AC226" t="str">
            <v>1405/03/12</v>
          </cell>
          <cell r="AF226">
            <v>5.5</v>
          </cell>
        </row>
        <row r="227">
          <cell r="D227" t="str">
            <v>زیلویی</v>
          </cell>
          <cell r="O227">
            <v>7203</v>
          </cell>
          <cell r="AC227" t="str">
            <v>1405/03/12</v>
          </cell>
          <cell r="AF227">
            <v>7.5</v>
          </cell>
        </row>
        <row r="228">
          <cell r="D228" t="str">
            <v>زیلویی</v>
          </cell>
          <cell r="O228">
            <v>7203</v>
          </cell>
          <cell r="AC228" t="str">
            <v>1405/03/12</v>
          </cell>
          <cell r="AF228">
            <v>3.5</v>
          </cell>
        </row>
        <row r="229">
          <cell r="D229" t="str">
            <v>یاراحمدی</v>
          </cell>
          <cell r="O229">
            <v>7502</v>
          </cell>
          <cell r="AC229" t="str">
            <v>1405/03/12</v>
          </cell>
          <cell r="AF229">
            <v>4</v>
          </cell>
        </row>
        <row r="230">
          <cell r="D230" t="str">
            <v>یاراحمدی</v>
          </cell>
          <cell r="O230">
            <v>7502</v>
          </cell>
          <cell r="AC230" t="str">
            <v>1405/03/12</v>
          </cell>
          <cell r="AF230">
            <v>2</v>
          </cell>
        </row>
        <row r="231">
          <cell r="D231" t="str">
            <v>یاراحمدی</v>
          </cell>
          <cell r="O231">
            <v>7502</v>
          </cell>
          <cell r="AC231" t="str">
            <v>1405/03/12</v>
          </cell>
          <cell r="AF231">
            <v>5</v>
          </cell>
        </row>
        <row r="232">
          <cell r="D232" t="str">
            <v>صلواتی</v>
          </cell>
          <cell r="O232">
            <v>7601</v>
          </cell>
          <cell r="AC232" t="str">
            <v>1405/03/12</v>
          </cell>
          <cell r="AF232">
            <v>8</v>
          </cell>
        </row>
        <row r="233">
          <cell r="D233" t="str">
            <v>صلواتی</v>
          </cell>
          <cell r="O233">
            <v>7602</v>
          </cell>
          <cell r="AC233" t="str">
            <v>1405/03/12</v>
          </cell>
          <cell r="AF233">
            <v>6</v>
          </cell>
        </row>
        <row r="234">
          <cell r="D234" t="str">
            <v>صلواتی</v>
          </cell>
          <cell r="O234">
            <v>7602</v>
          </cell>
          <cell r="AC234" t="str">
            <v>1405/03/12</v>
          </cell>
          <cell r="AF234">
            <v>6</v>
          </cell>
        </row>
        <row r="235">
          <cell r="D235" t="str">
            <v>خیرخواه</v>
          </cell>
          <cell r="O235" t="str">
            <v>مونتاژ</v>
          </cell>
          <cell r="AC235" t="str">
            <v>1405/03/12</v>
          </cell>
          <cell r="AF235">
            <v>2.5</v>
          </cell>
        </row>
        <row r="236">
          <cell r="D236" t="str">
            <v>خیرخواه</v>
          </cell>
          <cell r="O236" t="str">
            <v>دمونتاژ</v>
          </cell>
          <cell r="AC236" t="str">
            <v>1405/03/12</v>
          </cell>
          <cell r="AF236">
            <v>4</v>
          </cell>
        </row>
        <row r="237">
          <cell r="D237" t="str">
            <v>خیرخواه</v>
          </cell>
          <cell r="O237">
            <v>7401</v>
          </cell>
          <cell r="AC237" t="str">
            <v>1405/03/12</v>
          </cell>
          <cell r="AF237">
            <v>1</v>
          </cell>
        </row>
        <row r="238">
          <cell r="D238" t="str">
            <v>خیرخواه</v>
          </cell>
          <cell r="O238">
            <v>7401</v>
          </cell>
          <cell r="AC238" t="str">
            <v>1405/03/12</v>
          </cell>
          <cell r="AF238">
            <v>1.5</v>
          </cell>
        </row>
        <row r="239">
          <cell r="D239" t="str">
            <v>کاظمی</v>
          </cell>
          <cell r="O239">
            <v>7202</v>
          </cell>
          <cell r="AC239" t="str">
            <v>1405/03/13</v>
          </cell>
          <cell r="AF239">
            <v>11</v>
          </cell>
        </row>
        <row r="240">
          <cell r="D240" t="str">
            <v>زیلویی</v>
          </cell>
          <cell r="O240">
            <v>7203</v>
          </cell>
          <cell r="AC240" t="str">
            <v>1405/03/13</v>
          </cell>
          <cell r="AF240">
            <v>11</v>
          </cell>
        </row>
        <row r="241">
          <cell r="D241" t="str">
            <v>فراهی</v>
          </cell>
          <cell r="O241">
            <v>7103</v>
          </cell>
          <cell r="AC241" t="str">
            <v>1405/03/13</v>
          </cell>
          <cell r="AF241">
            <v>6.333333333333333</v>
          </cell>
        </row>
        <row r="242">
          <cell r="D242" t="str">
            <v>قیطاسوند</v>
          </cell>
          <cell r="O242">
            <v>7102</v>
          </cell>
          <cell r="AC242" t="str">
            <v>1405/03/13</v>
          </cell>
          <cell r="AF242">
            <v>11</v>
          </cell>
        </row>
        <row r="243">
          <cell r="D243" t="str">
            <v>یاراحمدی</v>
          </cell>
          <cell r="O243">
            <v>7502</v>
          </cell>
          <cell r="AC243" t="str">
            <v>1405/03/13</v>
          </cell>
          <cell r="AF243">
            <v>11</v>
          </cell>
        </row>
        <row r="244">
          <cell r="D244" t="str">
            <v>باقری اصل</v>
          </cell>
          <cell r="O244">
            <v>7204</v>
          </cell>
          <cell r="AC244" t="str">
            <v>1405/03/13</v>
          </cell>
          <cell r="AF244">
            <v>11</v>
          </cell>
        </row>
        <row r="245">
          <cell r="D245" t="str">
            <v>صحرایی</v>
          </cell>
          <cell r="O245">
            <v>8002</v>
          </cell>
          <cell r="AC245" t="str">
            <v>1405/03/13</v>
          </cell>
          <cell r="AF245">
            <v>7.5</v>
          </cell>
        </row>
        <row r="246">
          <cell r="D246" t="str">
            <v>صحرایی</v>
          </cell>
          <cell r="O246">
            <v>7303</v>
          </cell>
          <cell r="AC246" t="str">
            <v>1405/03/13</v>
          </cell>
          <cell r="AF246">
            <v>7.5</v>
          </cell>
        </row>
        <row r="247">
          <cell r="D247" t="str">
            <v>هاشم زاده</v>
          </cell>
          <cell r="O247">
            <v>8001</v>
          </cell>
          <cell r="AC247" t="str">
            <v>1405/03/13</v>
          </cell>
          <cell r="AF247">
            <v>3.5</v>
          </cell>
        </row>
        <row r="248">
          <cell r="D248" t="str">
            <v>هاشم زاده</v>
          </cell>
          <cell r="O248" t="str">
            <v>مونتاژ</v>
          </cell>
          <cell r="AC248" t="str">
            <v>1405/03/13</v>
          </cell>
          <cell r="AF248">
            <v>7.5</v>
          </cell>
        </row>
        <row r="249">
          <cell r="D249" t="str">
            <v>حیدری</v>
          </cell>
          <cell r="O249">
            <v>7101</v>
          </cell>
          <cell r="AC249" t="str">
            <v>1405/03/13</v>
          </cell>
          <cell r="AF249">
            <v>7.5</v>
          </cell>
        </row>
        <row r="250">
          <cell r="D250" t="str">
            <v>حیدری</v>
          </cell>
          <cell r="O250">
            <v>7101</v>
          </cell>
          <cell r="AC250" t="str">
            <v>1405/03/13</v>
          </cell>
          <cell r="AF250">
            <v>1.5</v>
          </cell>
        </row>
        <row r="251">
          <cell r="D251" t="str">
            <v>حیدری</v>
          </cell>
          <cell r="O251">
            <v>8001</v>
          </cell>
          <cell r="AC251" t="str">
            <v>1405/03/13</v>
          </cell>
          <cell r="AF251">
            <v>2</v>
          </cell>
        </row>
        <row r="252">
          <cell r="D252" t="str">
            <v>موسوی</v>
          </cell>
          <cell r="O252">
            <v>7302</v>
          </cell>
          <cell r="AC252" t="str">
            <v>1405/03/13</v>
          </cell>
          <cell r="AF252">
            <v>6.5</v>
          </cell>
        </row>
        <row r="253">
          <cell r="D253" t="str">
            <v>موسوی</v>
          </cell>
          <cell r="O253">
            <v>7302</v>
          </cell>
          <cell r="AC253" t="str">
            <v>1405/03/13</v>
          </cell>
          <cell r="AF253">
            <v>1.5</v>
          </cell>
        </row>
        <row r="254">
          <cell r="D254" t="str">
            <v>موسوی</v>
          </cell>
          <cell r="O254">
            <v>7302</v>
          </cell>
          <cell r="AC254" t="str">
            <v>1405/03/13</v>
          </cell>
          <cell r="AF254">
            <v>3</v>
          </cell>
        </row>
        <row r="255">
          <cell r="D255" t="str">
            <v>صلواتی</v>
          </cell>
          <cell r="O255">
            <v>7601</v>
          </cell>
          <cell r="AC255" t="str">
            <v>1405/03/13</v>
          </cell>
          <cell r="AF255">
            <v>12</v>
          </cell>
        </row>
        <row r="256">
          <cell r="D256" t="str">
            <v>صلواتی</v>
          </cell>
          <cell r="O256">
            <v>7603</v>
          </cell>
          <cell r="AC256" t="str">
            <v>1405/03/13</v>
          </cell>
          <cell r="AF256">
            <v>6</v>
          </cell>
        </row>
        <row r="257">
          <cell r="D257" t="str">
            <v>صلواتی</v>
          </cell>
          <cell r="O257">
            <v>7602</v>
          </cell>
          <cell r="AC257" t="str">
            <v>1405/03/13</v>
          </cell>
          <cell r="AF257">
            <v>9</v>
          </cell>
        </row>
        <row r="258">
          <cell r="D258" t="str">
            <v>خیرخواه</v>
          </cell>
          <cell r="O258" t="str">
            <v>مونتاژ</v>
          </cell>
          <cell r="AC258" t="str">
            <v>1405/03/13</v>
          </cell>
          <cell r="AF258">
            <v>3</v>
          </cell>
        </row>
        <row r="259">
          <cell r="D259" t="str">
            <v>خیرخواه</v>
          </cell>
          <cell r="O259" t="str">
            <v>دمونتاژ</v>
          </cell>
          <cell r="AC259" t="str">
            <v>1405/03/13</v>
          </cell>
          <cell r="AF259">
            <v>6</v>
          </cell>
        </row>
        <row r="260">
          <cell r="D260" t="str">
            <v>خیرخواه</v>
          </cell>
          <cell r="O260" t="str">
            <v>دمونتاژ</v>
          </cell>
          <cell r="AC260" t="str">
            <v>1405/03/13</v>
          </cell>
          <cell r="AF260">
            <v>1</v>
          </cell>
        </row>
        <row r="261">
          <cell r="D261" t="str">
            <v>خیرخواه</v>
          </cell>
          <cell r="O261" t="str">
            <v>مونتاژ</v>
          </cell>
          <cell r="AC261" t="str">
            <v>1405/03/13</v>
          </cell>
          <cell r="AF261">
            <v>1</v>
          </cell>
        </row>
        <row r="262">
          <cell r="D262" t="str">
            <v>کاظمی</v>
          </cell>
          <cell r="O262">
            <v>7202</v>
          </cell>
          <cell r="AC262" t="str">
            <v>1405/03/16</v>
          </cell>
          <cell r="AF262">
            <v>11</v>
          </cell>
        </row>
        <row r="263">
          <cell r="D263" t="str">
            <v>صحرایی</v>
          </cell>
          <cell r="O263">
            <v>8002</v>
          </cell>
          <cell r="AC263" t="str">
            <v>1405/03/16</v>
          </cell>
          <cell r="AF263">
            <v>7.5</v>
          </cell>
        </row>
        <row r="264">
          <cell r="D264" t="str">
            <v>فراهی</v>
          </cell>
          <cell r="O264">
            <v>7103</v>
          </cell>
          <cell r="AC264" t="str">
            <v>1405/03/16</v>
          </cell>
          <cell r="AF264">
            <v>6.333333333333333</v>
          </cell>
        </row>
        <row r="265">
          <cell r="D265" t="str">
            <v>قیطاسوند</v>
          </cell>
          <cell r="O265">
            <v>7102</v>
          </cell>
          <cell r="AC265" t="str">
            <v>1405/03/16</v>
          </cell>
          <cell r="AF265">
            <v>11</v>
          </cell>
        </row>
        <row r="266">
          <cell r="D266" t="str">
            <v>هاشم زاده</v>
          </cell>
          <cell r="O266" t="str">
            <v>مونتاژ</v>
          </cell>
          <cell r="AC266" t="str">
            <v>1405/03/16</v>
          </cell>
          <cell r="AF266">
            <v>11</v>
          </cell>
        </row>
        <row r="267">
          <cell r="D267" t="str">
            <v>باقری اصل</v>
          </cell>
          <cell r="O267">
            <v>7204</v>
          </cell>
          <cell r="AC267" t="str">
            <v>1405/03/16</v>
          </cell>
          <cell r="AF267">
            <v>4.5</v>
          </cell>
        </row>
        <row r="268">
          <cell r="D268" t="str">
            <v>باقری اصل</v>
          </cell>
          <cell r="O268" t="str">
            <v>مونتاژ</v>
          </cell>
          <cell r="AC268" t="str">
            <v>1405/03/16</v>
          </cell>
          <cell r="AF268">
            <v>6.5</v>
          </cell>
        </row>
        <row r="269">
          <cell r="D269" t="str">
            <v>حیدری</v>
          </cell>
          <cell r="O269">
            <v>7101</v>
          </cell>
          <cell r="AC269" t="str">
            <v>1405/03/16</v>
          </cell>
          <cell r="AF269">
            <v>4.5</v>
          </cell>
        </row>
        <row r="270">
          <cell r="D270" t="str">
            <v>حیدری</v>
          </cell>
          <cell r="O270">
            <v>7101</v>
          </cell>
          <cell r="AC270" t="str">
            <v>1405/03/16</v>
          </cell>
          <cell r="AF270">
            <v>6.5</v>
          </cell>
        </row>
        <row r="271">
          <cell r="D271" t="str">
            <v>زیلویی</v>
          </cell>
          <cell r="O271">
            <v>7203</v>
          </cell>
          <cell r="AC271" t="str">
            <v>1405/03/16</v>
          </cell>
          <cell r="AF271">
            <v>5.5</v>
          </cell>
        </row>
        <row r="272">
          <cell r="D272" t="str">
            <v>زیلویی</v>
          </cell>
          <cell r="O272" t="str">
            <v>مونتاژ</v>
          </cell>
          <cell r="AC272" t="str">
            <v>1405/03/16</v>
          </cell>
          <cell r="AF272">
            <v>3.5</v>
          </cell>
        </row>
        <row r="273">
          <cell r="D273" t="str">
            <v>زیلویی</v>
          </cell>
          <cell r="O273">
            <v>7203</v>
          </cell>
          <cell r="AC273" t="str">
            <v>1405/03/16</v>
          </cell>
          <cell r="AF273">
            <v>2</v>
          </cell>
        </row>
        <row r="274">
          <cell r="D274" t="str">
            <v>یاراحمدی</v>
          </cell>
          <cell r="O274">
            <v>7502</v>
          </cell>
          <cell r="AC274" t="str">
            <v>1405/03/16</v>
          </cell>
          <cell r="AF274">
            <v>8</v>
          </cell>
        </row>
        <row r="275">
          <cell r="D275" t="str">
            <v>یاراحمدی</v>
          </cell>
          <cell r="O275">
            <v>7502</v>
          </cell>
          <cell r="AC275" t="str">
            <v>1405/03/16</v>
          </cell>
          <cell r="AF275">
            <v>2</v>
          </cell>
        </row>
        <row r="276">
          <cell r="D276" t="str">
            <v>یاراحمدی</v>
          </cell>
          <cell r="O276">
            <v>7502</v>
          </cell>
          <cell r="AC276" t="str">
            <v>1405/03/16</v>
          </cell>
          <cell r="AF276">
            <v>1</v>
          </cell>
        </row>
        <row r="277">
          <cell r="D277" t="str">
            <v>موسوی</v>
          </cell>
          <cell r="O277">
            <v>7302</v>
          </cell>
          <cell r="AC277" t="str">
            <v>1405/03/16</v>
          </cell>
          <cell r="AF277">
            <v>2</v>
          </cell>
        </row>
        <row r="278">
          <cell r="D278" t="str">
            <v>موسوی</v>
          </cell>
          <cell r="O278">
            <v>7302</v>
          </cell>
          <cell r="AC278" t="str">
            <v>1405/03/16</v>
          </cell>
          <cell r="AF278">
            <v>7.5</v>
          </cell>
        </row>
        <row r="279">
          <cell r="D279" t="str">
            <v>موسوی</v>
          </cell>
          <cell r="O279">
            <v>7302</v>
          </cell>
          <cell r="AC279" t="str">
            <v>1405/03/16</v>
          </cell>
          <cell r="AF279">
            <v>1.5</v>
          </cell>
        </row>
        <row r="280">
          <cell r="D280" t="str">
            <v>صلواتی</v>
          </cell>
          <cell r="O280">
            <v>7601</v>
          </cell>
          <cell r="AC280" t="str">
            <v>1405/03/16</v>
          </cell>
          <cell r="AF280">
            <v>12</v>
          </cell>
        </row>
        <row r="281">
          <cell r="D281" t="str">
            <v>صلواتی</v>
          </cell>
          <cell r="O281">
            <v>7602</v>
          </cell>
          <cell r="AC281" t="str">
            <v>1405/03/16</v>
          </cell>
          <cell r="AF281">
            <v>10</v>
          </cell>
        </row>
        <row r="282">
          <cell r="D282" t="str">
            <v>صلواتی</v>
          </cell>
          <cell r="O282">
            <v>7602</v>
          </cell>
          <cell r="AC282" t="str">
            <v>1405/03/16</v>
          </cell>
          <cell r="AF282">
            <v>2</v>
          </cell>
        </row>
        <row r="283">
          <cell r="D283" t="str">
            <v>صلواتی</v>
          </cell>
          <cell r="O283">
            <v>7603</v>
          </cell>
          <cell r="AC283" t="str">
            <v>1405/03/16</v>
          </cell>
          <cell r="AF283">
            <v>9</v>
          </cell>
        </row>
        <row r="284">
          <cell r="D284" t="str">
            <v>خیرخواه</v>
          </cell>
          <cell r="O284" t="str">
            <v>مونتاژ</v>
          </cell>
          <cell r="AC284" t="str">
            <v>1405/03/16</v>
          </cell>
          <cell r="AF284">
            <v>0.5</v>
          </cell>
        </row>
        <row r="285">
          <cell r="D285" t="str">
            <v>خیرخواه</v>
          </cell>
          <cell r="O285" t="str">
            <v>مونتاژ</v>
          </cell>
          <cell r="AC285" t="str">
            <v>1405/03/16</v>
          </cell>
          <cell r="AF285">
            <v>0.5</v>
          </cell>
        </row>
        <row r="286">
          <cell r="D286" t="str">
            <v>خیرخواه</v>
          </cell>
          <cell r="O286" t="str">
            <v>مونتاژ</v>
          </cell>
          <cell r="AC286" t="str">
            <v>1405/03/16</v>
          </cell>
          <cell r="AF286">
            <v>0.5</v>
          </cell>
        </row>
        <row r="287">
          <cell r="D287" t="str">
            <v>خیرخواه</v>
          </cell>
          <cell r="O287" t="str">
            <v>مونتاژ</v>
          </cell>
          <cell r="AC287" t="str">
            <v>1405/03/16</v>
          </cell>
          <cell r="AF287">
            <v>0.5</v>
          </cell>
        </row>
        <row r="288">
          <cell r="D288" t="str">
            <v>خیرخواه</v>
          </cell>
          <cell r="O288" t="str">
            <v>مونتاژ</v>
          </cell>
          <cell r="AC288" t="str">
            <v>1405/03/16</v>
          </cell>
          <cell r="AF288">
            <v>0.5</v>
          </cell>
        </row>
        <row r="289">
          <cell r="D289" t="str">
            <v>خیرخواه</v>
          </cell>
          <cell r="O289" t="str">
            <v>مونتاژ</v>
          </cell>
          <cell r="AC289" t="str">
            <v>1405/03/16</v>
          </cell>
          <cell r="AF289">
            <v>2</v>
          </cell>
        </row>
        <row r="290">
          <cell r="D290" t="str">
            <v>خیرخواه</v>
          </cell>
          <cell r="O290">
            <v>7401</v>
          </cell>
          <cell r="AC290" t="str">
            <v>1405/03/16</v>
          </cell>
          <cell r="AF290">
            <v>1</v>
          </cell>
        </row>
        <row r="291">
          <cell r="D291" t="str">
            <v>خیرخواه</v>
          </cell>
          <cell r="O291">
            <v>7401</v>
          </cell>
          <cell r="AC291" t="str">
            <v>1405/03/16</v>
          </cell>
          <cell r="AF291">
            <v>1</v>
          </cell>
        </row>
        <row r="292">
          <cell r="D292" t="str">
            <v>خیرخواه</v>
          </cell>
          <cell r="O292">
            <v>8001</v>
          </cell>
          <cell r="AC292" t="str">
            <v>1405/03/16</v>
          </cell>
          <cell r="AF292">
            <v>3</v>
          </cell>
        </row>
        <row r="293">
          <cell r="D293" t="str">
            <v>باقری اصل</v>
          </cell>
          <cell r="O293">
            <v>7204</v>
          </cell>
          <cell r="AC293" t="str">
            <v>1405/03/17</v>
          </cell>
          <cell r="AF293">
            <v>3</v>
          </cell>
        </row>
        <row r="294">
          <cell r="D294" t="str">
            <v>کاظمی</v>
          </cell>
          <cell r="O294">
            <v>7202</v>
          </cell>
          <cell r="AC294" t="str">
            <v>1405/03/17</v>
          </cell>
          <cell r="AF294">
            <v>9</v>
          </cell>
        </row>
        <row r="295">
          <cell r="D295" t="str">
            <v>صحرایی</v>
          </cell>
          <cell r="O295">
            <v>8002</v>
          </cell>
          <cell r="AC295" t="str">
            <v>1405/03/17</v>
          </cell>
          <cell r="AF295">
            <v>7.5</v>
          </cell>
        </row>
        <row r="296">
          <cell r="D296" t="str">
            <v>فراهی</v>
          </cell>
          <cell r="O296">
            <v>7103</v>
          </cell>
          <cell r="AC296" t="str">
            <v>1405/03/17</v>
          </cell>
          <cell r="AF296">
            <v>6.333333333333333</v>
          </cell>
        </row>
        <row r="297">
          <cell r="D297" t="str">
            <v>یاراحمدی</v>
          </cell>
          <cell r="O297">
            <v>7502</v>
          </cell>
          <cell r="AC297" t="str">
            <v>1405/03/17</v>
          </cell>
          <cell r="AF297">
            <v>11</v>
          </cell>
        </row>
        <row r="298">
          <cell r="D298" t="str">
            <v>قیطاسوند</v>
          </cell>
          <cell r="O298">
            <v>7102</v>
          </cell>
          <cell r="AC298" t="str">
            <v>1405/03/17</v>
          </cell>
          <cell r="AF298">
            <v>5.5</v>
          </cell>
        </row>
        <row r="299">
          <cell r="D299" t="str">
            <v>قیطاسوند</v>
          </cell>
          <cell r="O299">
            <v>7102</v>
          </cell>
          <cell r="AC299" t="str">
            <v>1405/03/17</v>
          </cell>
          <cell r="AF299">
            <v>5.5</v>
          </cell>
        </row>
        <row r="300">
          <cell r="D300" t="str">
            <v>موسوی</v>
          </cell>
          <cell r="O300">
            <v>7302</v>
          </cell>
          <cell r="AC300" t="str">
            <v>1405/03/17</v>
          </cell>
          <cell r="AF300">
            <v>2</v>
          </cell>
        </row>
        <row r="301">
          <cell r="D301" t="str">
            <v>موسوی</v>
          </cell>
          <cell r="O301">
            <v>7302</v>
          </cell>
          <cell r="AC301" t="str">
            <v>1405/03/17</v>
          </cell>
          <cell r="AF301">
            <v>1</v>
          </cell>
        </row>
        <row r="302">
          <cell r="D302" t="str">
            <v>موسوی</v>
          </cell>
          <cell r="O302">
            <v>7302</v>
          </cell>
          <cell r="AC302" t="str">
            <v>1405/03/17</v>
          </cell>
          <cell r="AF302">
            <v>4</v>
          </cell>
        </row>
        <row r="303">
          <cell r="D303" t="str">
            <v>موسوی</v>
          </cell>
          <cell r="O303" t="str">
            <v>مونتاژ</v>
          </cell>
          <cell r="AC303" t="str">
            <v>1405/03/17</v>
          </cell>
          <cell r="AF303">
            <v>4</v>
          </cell>
        </row>
        <row r="304">
          <cell r="D304" t="str">
            <v>حیدری</v>
          </cell>
          <cell r="O304">
            <v>7101</v>
          </cell>
          <cell r="AC304" t="str">
            <v>1405/03/17</v>
          </cell>
          <cell r="AF304">
            <v>2.5</v>
          </cell>
        </row>
        <row r="305">
          <cell r="D305" t="str">
            <v>حیدری</v>
          </cell>
          <cell r="O305">
            <v>7101</v>
          </cell>
          <cell r="AC305" t="str">
            <v>1405/03/17</v>
          </cell>
          <cell r="AF305">
            <v>5</v>
          </cell>
        </row>
        <row r="306">
          <cell r="D306" t="str">
            <v>حیدری</v>
          </cell>
          <cell r="O306">
            <v>7101</v>
          </cell>
          <cell r="AC306" t="str">
            <v>1405/03/17</v>
          </cell>
          <cell r="AF306">
            <v>3.5</v>
          </cell>
        </row>
        <row r="307">
          <cell r="D307" t="str">
            <v>هاشم زاده</v>
          </cell>
          <cell r="O307" t="str">
            <v>مونتاژ</v>
          </cell>
          <cell r="AC307" t="str">
            <v>1405/03/17</v>
          </cell>
          <cell r="AF307">
            <v>2</v>
          </cell>
        </row>
        <row r="308">
          <cell r="D308" t="str">
            <v>هاشم زاده</v>
          </cell>
          <cell r="O308" t="str">
            <v>مونتاژ</v>
          </cell>
          <cell r="AC308" t="str">
            <v>1405/03/17</v>
          </cell>
          <cell r="AF308">
            <v>2</v>
          </cell>
        </row>
        <row r="309">
          <cell r="D309" t="str">
            <v>هاشم زاده</v>
          </cell>
          <cell r="O309">
            <v>8001</v>
          </cell>
          <cell r="AC309" t="str">
            <v>1405/03/17</v>
          </cell>
          <cell r="AF309">
            <v>2</v>
          </cell>
        </row>
        <row r="310">
          <cell r="D310" t="str">
            <v>صلواتی</v>
          </cell>
          <cell r="O310">
            <v>7601</v>
          </cell>
          <cell r="AC310" t="str">
            <v>1405/03/17</v>
          </cell>
          <cell r="AF310">
            <v>3</v>
          </cell>
        </row>
        <row r="311">
          <cell r="D311" t="str">
            <v>صلواتی</v>
          </cell>
          <cell r="O311">
            <v>7601</v>
          </cell>
          <cell r="AC311" t="str">
            <v>1405/03/17</v>
          </cell>
          <cell r="AF311">
            <v>9</v>
          </cell>
        </row>
        <row r="312">
          <cell r="D312" t="str">
            <v>صلواتی</v>
          </cell>
          <cell r="O312">
            <v>7602</v>
          </cell>
          <cell r="AC312" t="str">
            <v>1405/03/17</v>
          </cell>
          <cell r="AF312">
            <v>12</v>
          </cell>
        </row>
        <row r="313">
          <cell r="D313" t="str">
            <v>صلواتی</v>
          </cell>
          <cell r="O313">
            <v>7603</v>
          </cell>
          <cell r="AC313" t="str">
            <v>1405/03/17</v>
          </cell>
          <cell r="AF313">
            <v>12</v>
          </cell>
        </row>
        <row r="314">
          <cell r="D314" t="str">
            <v>صلواتی</v>
          </cell>
          <cell r="O314">
            <v>7605</v>
          </cell>
          <cell r="AC314" t="str">
            <v>1405/03/17</v>
          </cell>
          <cell r="AF314">
            <v>8</v>
          </cell>
        </row>
        <row r="315">
          <cell r="D315" t="str">
            <v>خیرخواه</v>
          </cell>
          <cell r="O315" t="str">
            <v>دمونتاژ</v>
          </cell>
          <cell r="AC315" t="str">
            <v>1405/03/17</v>
          </cell>
          <cell r="AF315">
            <v>2</v>
          </cell>
        </row>
        <row r="316">
          <cell r="D316" t="str">
            <v>خیرخواه</v>
          </cell>
          <cell r="O316" t="str">
            <v>مونتاژ</v>
          </cell>
          <cell r="AC316" t="str">
            <v>1405/03/17</v>
          </cell>
          <cell r="AF316">
            <v>5</v>
          </cell>
        </row>
        <row r="317">
          <cell r="D317" t="str">
            <v>خیرخواه</v>
          </cell>
          <cell r="O317" t="str">
            <v>مونتاژ</v>
          </cell>
          <cell r="AC317" t="str">
            <v>1405/03/17</v>
          </cell>
          <cell r="AF317">
            <v>2.5</v>
          </cell>
        </row>
        <row r="318">
          <cell r="D318" t="str">
            <v>خیرخواه</v>
          </cell>
          <cell r="O318">
            <v>8001</v>
          </cell>
          <cell r="AC318" t="str">
            <v>1405/03/17</v>
          </cell>
          <cell r="AF318">
            <v>1</v>
          </cell>
        </row>
        <row r="319">
          <cell r="D319" t="str">
            <v>زیلویی</v>
          </cell>
          <cell r="O319">
            <v>7203</v>
          </cell>
          <cell r="AC319" t="str">
            <v>1405/03/17</v>
          </cell>
          <cell r="AF319">
            <v>11</v>
          </cell>
        </row>
        <row r="320">
          <cell r="D320" t="str">
            <v>حیدری</v>
          </cell>
          <cell r="O320">
            <v>7101</v>
          </cell>
          <cell r="AC320" t="str">
            <v>1405/03/18</v>
          </cell>
          <cell r="AF320">
            <v>11</v>
          </cell>
        </row>
        <row r="321">
          <cell r="D321" t="str">
            <v>فراهی</v>
          </cell>
          <cell r="O321">
            <v>7103</v>
          </cell>
          <cell r="AC321" t="str">
            <v>1405/03/18</v>
          </cell>
          <cell r="AF321">
            <v>6.333333333333333</v>
          </cell>
        </row>
        <row r="322">
          <cell r="D322" t="str">
            <v>زیلویی</v>
          </cell>
          <cell r="O322">
            <v>7203</v>
          </cell>
          <cell r="AC322" t="str">
            <v>1405/03/18</v>
          </cell>
          <cell r="AF322">
            <v>11</v>
          </cell>
        </row>
        <row r="323">
          <cell r="D323" t="str">
            <v>باقری اصل</v>
          </cell>
          <cell r="O323">
            <v>7204</v>
          </cell>
          <cell r="AC323" t="str">
            <v>1405/03/18</v>
          </cell>
          <cell r="AF323">
            <v>11</v>
          </cell>
        </row>
        <row r="324">
          <cell r="D324" t="str">
            <v>قیطاسوند</v>
          </cell>
          <cell r="O324">
            <v>7102</v>
          </cell>
          <cell r="AC324" t="str">
            <v>1405/03/18</v>
          </cell>
          <cell r="AF324">
            <v>7.5</v>
          </cell>
        </row>
        <row r="325">
          <cell r="D325" t="str">
            <v>قیطاسوند</v>
          </cell>
          <cell r="O325">
            <v>7102</v>
          </cell>
          <cell r="AC325" t="str">
            <v>1405/03/18</v>
          </cell>
          <cell r="AF325">
            <v>3.5</v>
          </cell>
        </row>
        <row r="326">
          <cell r="D326" t="str">
            <v>کاظمی</v>
          </cell>
          <cell r="O326">
            <v>7202</v>
          </cell>
          <cell r="AC326" t="str">
            <v>1405/03/18</v>
          </cell>
          <cell r="AF326">
            <v>1</v>
          </cell>
        </row>
        <row r="327">
          <cell r="D327" t="str">
            <v>کاظمی</v>
          </cell>
          <cell r="O327">
            <v>7202</v>
          </cell>
          <cell r="AC327" t="str">
            <v>1405/03/18</v>
          </cell>
          <cell r="AF327">
            <v>10</v>
          </cell>
        </row>
        <row r="328">
          <cell r="D328" t="str">
            <v>هاشم زاده</v>
          </cell>
          <cell r="O328">
            <v>8001</v>
          </cell>
          <cell r="AC328" t="str">
            <v>1405/03/18</v>
          </cell>
          <cell r="AF328">
            <v>7</v>
          </cell>
        </row>
        <row r="329">
          <cell r="D329" t="str">
            <v>هاشم زاده</v>
          </cell>
          <cell r="O329" t="str">
            <v>دمونتاژ</v>
          </cell>
          <cell r="AC329" t="str">
            <v>1405/03/18</v>
          </cell>
          <cell r="AF329">
            <v>2</v>
          </cell>
        </row>
        <row r="330">
          <cell r="D330" t="str">
            <v>صحرایی</v>
          </cell>
          <cell r="O330">
            <v>7303</v>
          </cell>
          <cell r="AC330" t="str">
            <v>1405/03/18</v>
          </cell>
          <cell r="AF330">
            <v>2</v>
          </cell>
        </row>
        <row r="331">
          <cell r="D331" t="str">
            <v>صحرایی</v>
          </cell>
          <cell r="O331">
            <v>8002</v>
          </cell>
          <cell r="AC331" t="str">
            <v>1405/03/18</v>
          </cell>
          <cell r="AF331">
            <v>7.5</v>
          </cell>
        </row>
        <row r="332">
          <cell r="D332" t="str">
            <v>صحرایی</v>
          </cell>
          <cell r="O332">
            <v>7302</v>
          </cell>
          <cell r="AC332" t="str">
            <v>1405/03/18</v>
          </cell>
          <cell r="AF332">
            <v>2</v>
          </cell>
        </row>
        <row r="333">
          <cell r="D333" t="str">
            <v>صلواتی</v>
          </cell>
          <cell r="O333">
            <v>7601</v>
          </cell>
          <cell r="AC333" t="str">
            <v>1405/03/18</v>
          </cell>
          <cell r="AF333">
            <v>12</v>
          </cell>
        </row>
        <row r="334">
          <cell r="D334" t="str">
            <v>صلواتی</v>
          </cell>
          <cell r="O334">
            <v>7602</v>
          </cell>
          <cell r="AC334" t="str">
            <v>1405/03/18</v>
          </cell>
          <cell r="AF334">
            <v>12</v>
          </cell>
        </row>
        <row r="335">
          <cell r="D335" t="str">
            <v>صلواتی</v>
          </cell>
          <cell r="O335">
            <v>7603</v>
          </cell>
          <cell r="AC335" t="str">
            <v>1405/03/18</v>
          </cell>
          <cell r="AF335">
            <v>1</v>
          </cell>
        </row>
        <row r="336">
          <cell r="D336" t="str">
            <v>صلواتی</v>
          </cell>
          <cell r="O336">
            <v>7603</v>
          </cell>
          <cell r="AC336" t="str">
            <v>1405/03/18</v>
          </cell>
          <cell r="AF336">
            <v>3</v>
          </cell>
        </row>
        <row r="337">
          <cell r="D337" t="str">
            <v>خیرخواه</v>
          </cell>
          <cell r="O337" t="str">
            <v>مونتاژ</v>
          </cell>
          <cell r="AC337" t="str">
            <v>1405/03/18</v>
          </cell>
          <cell r="AF337">
            <v>5</v>
          </cell>
        </row>
        <row r="338">
          <cell r="D338" t="str">
            <v>خیرخواه</v>
          </cell>
          <cell r="O338" t="str">
            <v>مونتاژ</v>
          </cell>
          <cell r="AC338" t="str">
            <v>1405/03/18</v>
          </cell>
          <cell r="AF338">
            <v>3</v>
          </cell>
        </row>
        <row r="339">
          <cell r="D339" t="str">
            <v>خیرخواه</v>
          </cell>
          <cell r="O339" t="str">
            <v>مونتاژ</v>
          </cell>
          <cell r="AC339" t="str">
            <v>1405/03/18</v>
          </cell>
          <cell r="AF339">
            <v>1</v>
          </cell>
        </row>
        <row r="340">
          <cell r="D340" t="str">
            <v>خیرخواه</v>
          </cell>
          <cell r="O340" t="str">
            <v>مونتاژ</v>
          </cell>
          <cell r="AC340" t="str">
            <v>1405/03/18</v>
          </cell>
          <cell r="AF340">
            <v>1</v>
          </cell>
        </row>
        <row r="341">
          <cell r="D341" t="str">
            <v>یاراحمدی</v>
          </cell>
          <cell r="O341">
            <v>7502</v>
          </cell>
          <cell r="AC341" t="str">
            <v>1405/03/18</v>
          </cell>
          <cell r="AF341">
            <v>3</v>
          </cell>
        </row>
        <row r="342">
          <cell r="D342" t="str">
            <v>یاراحمدی</v>
          </cell>
          <cell r="O342">
            <v>7502</v>
          </cell>
          <cell r="AC342" t="str">
            <v>1405/03/18</v>
          </cell>
          <cell r="AF342">
            <v>1</v>
          </cell>
        </row>
        <row r="343">
          <cell r="D343" t="str">
            <v>یاراحمدی</v>
          </cell>
          <cell r="O343">
            <v>7502</v>
          </cell>
          <cell r="AC343" t="str">
            <v>1405/03/18</v>
          </cell>
          <cell r="AF343">
            <v>2</v>
          </cell>
        </row>
        <row r="344">
          <cell r="D344" t="str">
            <v>یاراحمدی</v>
          </cell>
          <cell r="O344">
            <v>7502</v>
          </cell>
          <cell r="AC344" t="str">
            <v>1405/03/18</v>
          </cell>
          <cell r="AF344">
            <v>1</v>
          </cell>
        </row>
        <row r="345">
          <cell r="D345" t="str">
            <v>یاراحمدی</v>
          </cell>
          <cell r="O345">
            <v>7502</v>
          </cell>
          <cell r="AC345" t="str">
            <v>1405/03/18</v>
          </cell>
          <cell r="AF345">
            <v>4</v>
          </cell>
        </row>
        <row r="346">
          <cell r="D346" t="str">
            <v>باقری اصل</v>
          </cell>
          <cell r="O346">
            <v>7204</v>
          </cell>
          <cell r="AC346" t="str">
            <v>1405/03/19</v>
          </cell>
          <cell r="AF346">
            <v>11</v>
          </cell>
        </row>
        <row r="347">
          <cell r="D347" t="str">
            <v>زیلویی</v>
          </cell>
          <cell r="O347">
            <v>7203</v>
          </cell>
          <cell r="AC347" t="str">
            <v>1405/03/19</v>
          </cell>
          <cell r="AF347">
            <v>11</v>
          </cell>
        </row>
        <row r="348">
          <cell r="D348" t="str">
            <v>کاظمی</v>
          </cell>
          <cell r="O348">
            <v>7202</v>
          </cell>
          <cell r="AC348" t="str">
            <v>1405/03/19</v>
          </cell>
          <cell r="AF348">
            <v>10.75</v>
          </cell>
        </row>
        <row r="349">
          <cell r="D349" t="str">
            <v>صحرایی</v>
          </cell>
          <cell r="O349">
            <v>8002</v>
          </cell>
          <cell r="AC349" t="str">
            <v>1405/03/19</v>
          </cell>
          <cell r="AF349">
            <v>7.5</v>
          </cell>
        </row>
        <row r="350">
          <cell r="D350" t="str">
            <v>فراهی</v>
          </cell>
          <cell r="O350">
            <v>7103</v>
          </cell>
          <cell r="AC350" t="str">
            <v>1405/03/19</v>
          </cell>
          <cell r="AF350">
            <v>6.5</v>
          </cell>
        </row>
        <row r="351">
          <cell r="D351" t="str">
            <v>یاراحمدی</v>
          </cell>
          <cell r="O351">
            <v>7502</v>
          </cell>
          <cell r="AC351" t="str">
            <v>1405/03/19</v>
          </cell>
          <cell r="AF351">
            <v>11</v>
          </cell>
        </row>
        <row r="352">
          <cell r="D352" t="str">
            <v>قیطاسوند</v>
          </cell>
          <cell r="O352">
            <v>7102</v>
          </cell>
          <cell r="AC352" t="str">
            <v>1405/03/19</v>
          </cell>
          <cell r="AF352">
            <v>11</v>
          </cell>
        </row>
        <row r="353">
          <cell r="D353" t="str">
            <v>صلواتی</v>
          </cell>
          <cell r="O353">
            <v>7602</v>
          </cell>
          <cell r="AC353" t="str">
            <v>1405/03/19</v>
          </cell>
          <cell r="AF353">
            <v>6</v>
          </cell>
        </row>
        <row r="354">
          <cell r="D354" t="str">
            <v>صلواتی</v>
          </cell>
          <cell r="O354">
            <v>7603</v>
          </cell>
          <cell r="AC354" t="str">
            <v>1405/03/19</v>
          </cell>
          <cell r="AF354">
            <v>6</v>
          </cell>
        </row>
        <row r="355">
          <cell r="D355" t="str">
            <v>حیدری</v>
          </cell>
          <cell r="O355">
            <v>7101</v>
          </cell>
          <cell r="AC355" t="str">
            <v>1405/03/19</v>
          </cell>
          <cell r="AF355">
            <v>1</v>
          </cell>
        </row>
        <row r="356">
          <cell r="D356" t="str">
            <v>حیدری</v>
          </cell>
          <cell r="O356">
            <v>7101</v>
          </cell>
          <cell r="AC356" t="str">
            <v>1405/03/19</v>
          </cell>
          <cell r="AF356">
            <v>7</v>
          </cell>
        </row>
        <row r="357">
          <cell r="D357" t="str">
            <v>حیدری</v>
          </cell>
          <cell r="O357">
            <v>8001</v>
          </cell>
          <cell r="AC357" t="str">
            <v>1405/03/19</v>
          </cell>
          <cell r="AF357">
            <v>2</v>
          </cell>
        </row>
        <row r="358">
          <cell r="D358" t="str">
            <v>موسوی</v>
          </cell>
          <cell r="O358">
            <v>7302</v>
          </cell>
          <cell r="AC358" t="str">
            <v>1405/03/19</v>
          </cell>
          <cell r="AF358">
            <v>2</v>
          </cell>
        </row>
        <row r="359">
          <cell r="D359" t="str">
            <v>موسوی</v>
          </cell>
          <cell r="O359">
            <v>7302</v>
          </cell>
          <cell r="AC359" t="str">
            <v>1405/03/19</v>
          </cell>
          <cell r="AF359">
            <v>2</v>
          </cell>
        </row>
        <row r="360">
          <cell r="D360" t="str">
            <v>موسوی</v>
          </cell>
          <cell r="O360" t="str">
            <v>مونتاژ</v>
          </cell>
          <cell r="AC360" t="str">
            <v>1405/03/19</v>
          </cell>
          <cell r="AF360">
            <v>5</v>
          </cell>
        </row>
        <row r="361">
          <cell r="D361" t="str">
            <v>زیلویی</v>
          </cell>
          <cell r="O361">
            <v>7203</v>
          </cell>
          <cell r="AC361" t="str">
            <v>1405/03/20</v>
          </cell>
          <cell r="AF361">
            <v>11</v>
          </cell>
        </row>
        <row r="362">
          <cell r="D362" t="str">
            <v>کاظمی</v>
          </cell>
          <cell r="O362">
            <v>7202</v>
          </cell>
          <cell r="AC362" t="str">
            <v>1405/03/20</v>
          </cell>
          <cell r="AF362">
            <v>11</v>
          </cell>
        </row>
        <row r="363">
          <cell r="D363" t="str">
            <v>باقری اصل</v>
          </cell>
          <cell r="O363">
            <v>7204</v>
          </cell>
          <cell r="AC363" t="str">
            <v>1405/03/20</v>
          </cell>
          <cell r="AF363">
            <v>11</v>
          </cell>
        </row>
        <row r="364">
          <cell r="D364" t="str">
            <v>یاراحمدی</v>
          </cell>
          <cell r="O364">
            <v>7502</v>
          </cell>
          <cell r="AC364" t="str">
            <v>1405/03/20</v>
          </cell>
          <cell r="AF364">
            <v>11</v>
          </cell>
        </row>
        <row r="365">
          <cell r="D365" t="str">
            <v>حیدری</v>
          </cell>
          <cell r="O365">
            <v>7301</v>
          </cell>
          <cell r="AC365" t="str">
            <v>1405/03/20</v>
          </cell>
          <cell r="AF365">
            <v>11</v>
          </cell>
        </row>
        <row r="366">
          <cell r="D366" t="str">
            <v>قیطاسوند</v>
          </cell>
          <cell r="O366">
            <v>7102</v>
          </cell>
          <cell r="AC366" t="str">
            <v>1405/03/20</v>
          </cell>
          <cell r="AF366">
            <v>5</v>
          </cell>
        </row>
        <row r="367">
          <cell r="D367" t="str">
            <v>قیطاسوند</v>
          </cell>
          <cell r="O367">
            <v>7102</v>
          </cell>
          <cell r="AC367" t="str">
            <v>1405/03/20</v>
          </cell>
          <cell r="AF367">
            <v>6</v>
          </cell>
        </row>
        <row r="368">
          <cell r="D368" t="str">
            <v>صحرایی</v>
          </cell>
          <cell r="O368">
            <v>8002</v>
          </cell>
          <cell r="AC368" t="str">
            <v>1405/03/20</v>
          </cell>
          <cell r="AF368">
            <v>3.5</v>
          </cell>
        </row>
        <row r="369">
          <cell r="D369" t="str">
            <v>صحرایی</v>
          </cell>
          <cell r="O369">
            <v>7303</v>
          </cell>
          <cell r="AC369" t="str">
            <v>1405/03/20</v>
          </cell>
          <cell r="AF369">
            <v>1</v>
          </cell>
        </row>
        <row r="370">
          <cell r="D370" t="str">
            <v>هاشم زاده</v>
          </cell>
          <cell r="O370">
            <v>8001</v>
          </cell>
          <cell r="AC370" t="str">
            <v>1405/03/20</v>
          </cell>
          <cell r="AF370">
            <v>3</v>
          </cell>
        </row>
        <row r="371">
          <cell r="D371" t="str">
            <v>هاشم زاده</v>
          </cell>
          <cell r="O371" t="str">
            <v>مونتاژ</v>
          </cell>
          <cell r="AC371" t="str">
            <v>1405/03/20</v>
          </cell>
          <cell r="AF371">
            <v>7</v>
          </cell>
        </row>
        <row r="372">
          <cell r="D372" t="str">
            <v>صلواتی</v>
          </cell>
          <cell r="O372">
            <v>7601</v>
          </cell>
          <cell r="AC372" t="str">
            <v>1405/03/20</v>
          </cell>
          <cell r="AF372">
            <v>3</v>
          </cell>
        </row>
        <row r="373">
          <cell r="D373" t="str">
            <v>صلواتی</v>
          </cell>
          <cell r="O373">
            <v>7602</v>
          </cell>
          <cell r="AC373" t="str">
            <v>1405/03/20</v>
          </cell>
          <cell r="AF373">
            <v>10</v>
          </cell>
        </row>
        <row r="374">
          <cell r="D374" t="str">
            <v>صلواتی</v>
          </cell>
          <cell r="O374">
            <v>7602</v>
          </cell>
          <cell r="AC374" t="str">
            <v>1405/03/20</v>
          </cell>
          <cell r="AF374">
            <v>2</v>
          </cell>
        </row>
        <row r="375">
          <cell r="D375" t="str">
            <v>صلواتی</v>
          </cell>
          <cell r="O375">
            <v>7603</v>
          </cell>
          <cell r="AC375" t="str">
            <v>1405/03/20</v>
          </cell>
          <cell r="AF375">
            <v>10</v>
          </cell>
        </row>
        <row r="376">
          <cell r="D376" t="str">
            <v>صلواتی</v>
          </cell>
          <cell r="O376">
            <v>7701</v>
          </cell>
          <cell r="AC376" t="str">
            <v>1405/03/20</v>
          </cell>
          <cell r="AF376">
            <v>8</v>
          </cell>
        </row>
        <row r="377">
          <cell r="D377" t="str">
            <v>موسوی</v>
          </cell>
          <cell r="O377">
            <v>7302</v>
          </cell>
          <cell r="AC377" t="str">
            <v>1405/03/20</v>
          </cell>
          <cell r="AF377">
            <v>4</v>
          </cell>
        </row>
        <row r="378">
          <cell r="D378" t="str">
            <v>موسوی</v>
          </cell>
          <cell r="O378">
            <v>7302</v>
          </cell>
          <cell r="AC378" t="str">
            <v>1405/03/20</v>
          </cell>
          <cell r="AF378">
            <v>2</v>
          </cell>
        </row>
        <row r="379">
          <cell r="D379" t="str">
            <v>موسوی</v>
          </cell>
          <cell r="O379">
            <v>7302</v>
          </cell>
          <cell r="AC379" t="str">
            <v>1405/03/20</v>
          </cell>
          <cell r="AF379">
            <v>2</v>
          </cell>
        </row>
        <row r="380">
          <cell r="D380" t="str">
            <v>موسوی</v>
          </cell>
          <cell r="O380">
            <v>7302</v>
          </cell>
          <cell r="AC380" t="str">
            <v>1405/03/20</v>
          </cell>
          <cell r="AF380">
            <v>2</v>
          </cell>
        </row>
        <row r="381">
          <cell r="D381" t="str">
            <v>فراهی</v>
          </cell>
          <cell r="O381">
            <v>7103</v>
          </cell>
          <cell r="AC381" t="str">
            <v>1405/03/20</v>
          </cell>
          <cell r="AF381">
            <v>6.333333333333333</v>
          </cell>
        </row>
        <row r="382">
          <cell r="D382" t="str">
            <v>باقری اصل</v>
          </cell>
          <cell r="O382">
            <v>7204</v>
          </cell>
          <cell r="AC382" t="str">
            <v>1405/03/21</v>
          </cell>
          <cell r="AF382">
            <v>7.5</v>
          </cell>
        </row>
        <row r="383">
          <cell r="D383" t="str">
            <v>زیلویی</v>
          </cell>
          <cell r="O383">
            <v>7203</v>
          </cell>
          <cell r="AC383" t="str">
            <v>1405/03/21</v>
          </cell>
          <cell r="AF383">
            <v>7.5</v>
          </cell>
        </row>
        <row r="384">
          <cell r="D384" t="str">
            <v>کاظمی</v>
          </cell>
          <cell r="O384">
            <v>7202</v>
          </cell>
          <cell r="AC384" t="str">
            <v>1405/03/22</v>
          </cell>
          <cell r="AF384">
            <v>6.5</v>
          </cell>
        </row>
        <row r="385">
          <cell r="D385" t="str">
            <v>کاظمی</v>
          </cell>
          <cell r="O385">
            <v>7202</v>
          </cell>
          <cell r="AC385" t="str">
            <v>1405/03/21</v>
          </cell>
          <cell r="AF385">
            <v>7.5</v>
          </cell>
        </row>
        <row r="386">
          <cell r="D386" t="str">
            <v>هاشم زاده</v>
          </cell>
          <cell r="O386">
            <v>8001</v>
          </cell>
          <cell r="AC386" t="str">
            <v>1405/03/19</v>
          </cell>
          <cell r="AF386">
            <v>3</v>
          </cell>
        </row>
        <row r="387">
          <cell r="D387" t="str">
            <v>هاشم زاده</v>
          </cell>
          <cell r="O387">
            <v>8001</v>
          </cell>
          <cell r="AC387" t="str">
            <v>1405/03/19</v>
          </cell>
          <cell r="AF387">
            <v>2</v>
          </cell>
        </row>
        <row r="388">
          <cell r="D388" t="str">
            <v>هاشم زاده</v>
          </cell>
          <cell r="O388" t="str">
            <v>مونتاژ</v>
          </cell>
          <cell r="AC388" t="str">
            <v>1405/03/19</v>
          </cell>
          <cell r="AF388">
            <v>3</v>
          </cell>
        </row>
        <row r="389">
          <cell r="D389" t="str">
            <v>هاشم زاده</v>
          </cell>
          <cell r="O389" t="str">
            <v>مونتاژ</v>
          </cell>
          <cell r="AC389" t="str">
            <v>1405/03/21</v>
          </cell>
          <cell r="AF389">
            <v>5</v>
          </cell>
        </row>
        <row r="390">
          <cell r="D390" t="str">
            <v>هاشم زاده</v>
          </cell>
          <cell r="O390" t="str">
            <v>نظافت</v>
          </cell>
          <cell r="AC390" t="str">
            <v>1405/03/21</v>
          </cell>
          <cell r="AF390">
            <v>1</v>
          </cell>
        </row>
        <row r="391">
          <cell r="D391" t="str">
            <v>هاشم زاده</v>
          </cell>
          <cell r="O391">
            <v>8001</v>
          </cell>
          <cell r="AC391" t="str">
            <v>1405/03/22</v>
          </cell>
          <cell r="AF391">
            <v>2</v>
          </cell>
        </row>
        <row r="392">
          <cell r="D392" t="str">
            <v>هاشم زاده</v>
          </cell>
          <cell r="O392" t="str">
            <v>مونتاژ</v>
          </cell>
          <cell r="AC392" t="str">
            <v>1405/03/22</v>
          </cell>
          <cell r="AF392">
            <v>2.5</v>
          </cell>
        </row>
        <row r="393">
          <cell r="D393" t="str">
            <v>هاشم زاده</v>
          </cell>
          <cell r="O393" t="str">
            <v>مونتاژ</v>
          </cell>
          <cell r="AC393" t="str">
            <v>1405/03/22</v>
          </cell>
          <cell r="AF393">
            <v>1</v>
          </cell>
        </row>
        <row r="394">
          <cell r="D394" t="str">
            <v>یاراحمدی</v>
          </cell>
          <cell r="O394">
            <v>7502</v>
          </cell>
          <cell r="AC394" t="str">
            <v>1405/03/21</v>
          </cell>
          <cell r="AF394">
            <v>5</v>
          </cell>
        </row>
        <row r="395">
          <cell r="D395" t="str">
            <v>یاراحمدی</v>
          </cell>
          <cell r="O395">
            <v>7502</v>
          </cell>
          <cell r="AC395" t="str">
            <v>1405/03/21</v>
          </cell>
          <cell r="AF395">
            <v>2</v>
          </cell>
        </row>
        <row r="396">
          <cell r="D396" t="str">
            <v>یاراحمدی</v>
          </cell>
          <cell r="O396">
            <v>7501</v>
          </cell>
          <cell r="AC396" t="str">
            <v>1405/03/21</v>
          </cell>
          <cell r="AF396">
            <v>2</v>
          </cell>
        </row>
        <row r="397">
          <cell r="D397" t="str">
            <v>موسوی</v>
          </cell>
          <cell r="O397">
            <v>7302</v>
          </cell>
          <cell r="AC397" t="str">
            <v>1405/03/21</v>
          </cell>
          <cell r="AF397">
            <v>1</v>
          </cell>
        </row>
        <row r="398">
          <cell r="D398" t="str">
            <v>موسوی</v>
          </cell>
          <cell r="O398" t="str">
            <v>مونتاژ</v>
          </cell>
          <cell r="AC398" t="str">
            <v>1405/03/21</v>
          </cell>
          <cell r="AF398">
            <v>5</v>
          </cell>
        </row>
        <row r="399">
          <cell r="D399" t="str">
            <v>موسوی</v>
          </cell>
          <cell r="O399" t="str">
            <v>نظافت</v>
          </cell>
          <cell r="AC399" t="str">
            <v>1405/03/21</v>
          </cell>
          <cell r="AF399">
            <v>0.5</v>
          </cell>
        </row>
        <row r="400">
          <cell r="D400" t="str">
            <v>موسوی</v>
          </cell>
          <cell r="O400" t="str">
            <v>مونتاژ</v>
          </cell>
          <cell r="AC400" t="str">
            <v>1405/03/22</v>
          </cell>
          <cell r="AF400">
            <v>3</v>
          </cell>
        </row>
        <row r="401">
          <cell r="D401" t="str">
            <v>موسوی</v>
          </cell>
          <cell r="O401">
            <v>7601</v>
          </cell>
          <cell r="AC401" t="str">
            <v>1405/03/22</v>
          </cell>
          <cell r="AF401">
            <v>7</v>
          </cell>
        </row>
        <row r="402">
          <cell r="D402" t="str">
            <v>موسوی</v>
          </cell>
          <cell r="O402">
            <v>7302</v>
          </cell>
          <cell r="AC402" t="str">
            <v>1405/03/22</v>
          </cell>
          <cell r="AF402">
            <v>2</v>
          </cell>
        </row>
        <row r="403">
          <cell r="D403" t="str">
            <v>موسوی</v>
          </cell>
          <cell r="O403" t="str">
            <v>مونتاژ</v>
          </cell>
          <cell r="AC403" t="str">
            <v>1405/03/22</v>
          </cell>
          <cell r="AF403">
            <v>1</v>
          </cell>
        </row>
        <row r="404">
          <cell r="D404" t="str">
            <v>خیرخواه</v>
          </cell>
          <cell r="O404" t="str">
            <v>مونتاژ</v>
          </cell>
          <cell r="AC404" t="str">
            <v>1405/03/19</v>
          </cell>
          <cell r="AF404">
            <v>6</v>
          </cell>
        </row>
        <row r="405">
          <cell r="D405" t="str">
            <v>خیرخواه</v>
          </cell>
          <cell r="O405">
            <v>8001</v>
          </cell>
          <cell r="AC405" t="str">
            <v>1405/03/19</v>
          </cell>
          <cell r="AF405">
            <v>3</v>
          </cell>
        </row>
        <row r="406">
          <cell r="D406" t="str">
            <v>خیرخواه</v>
          </cell>
          <cell r="O406" t="str">
            <v>مونتاژ</v>
          </cell>
          <cell r="AC406" t="str">
            <v>1405/03/20</v>
          </cell>
          <cell r="AF406">
            <v>2</v>
          </cell>
        </row>
        <row r="407">
          <cell r="D407" t="str">
            <v>خیرخواه</v>
          </cell>
          <cell r="O407" t="str">
            <v>مونتاژ</v>
          </cell>
          <cell r="AC407" t="str">
            <v>1405/03/20</v>
          </cell>
          <cell r="AF407">
            <v>12</v>
          </cell>
        </row>
        <row r="408">
          <cell r="D408" t="str">
            <v>خیرخواه</v>
          </cell>
          <cell r="O408" t="str">
            <v>مونتاژ</v>
          </cell>
          <cell r="AC408" t="str">
            <v>1405/03/23</v>
          </cell>
          <cell r="AF408">
            <v>2</v>
          </cell>
        </row>
        <row r="409">
          <cell r="D409" t="str">
            <v>خیرخواه</v>
          </cell>
          <cell r="O409">
            <v>7401</v>
          </cell>
          <cell r="AC409" t="str">
            <v>1405/03/23</v>
          </cell>
          <cell r="AF409">
            <v>4</v>
          </cell>
        </row>
        <row r="410">
          <cell r="D410" t="str">
            <v>خیرخواه</v>
          </cell>
          <cell r="O410" t="str">
            <v>مونتاژ</v>
          </cell>
          <cell r="AC410" t="str">
            <v>1405/03/23</v>
          </cell>
          <cell r="AF410">
            <v>2</v>
          </cell>
        </row>
        <row r="411">
          <cell r="D411" t="str">
            <v>صلواتی</v>
          </cell>
          <cell r="O411">
            <v>7602</v>
          </cell>
          <cell r="AC411" t="str">
            <v>1405/03/21</v>
          </cell>
          <cell r="AF411">
            <v>8</v>
          </cell>
        </row>
        <row r="412">
          <cell r="D412" t="str">
            <v>صلواتی</v>
          </cell>
          <cell r="O412">
            <v>7601</v>
          </cell>
          <cell r="AC412" t="str">
            <v>1405/03/21</v>
          </cell>
          <cell r="AF412">
            <v>2</v>
          </cell>
        </row>
        <row r="413">
          <cell r="D413" t="str">
            <v>حیدری</v>
          </cell>
          <cell r="O413" t="str">
            <v>مونتاژ</v>
          </cell>
          <cell r="AC413" t="str">
            <v>1405/03/23</v>
          </cell>
          <cell r="AF413">
            <v>2</v>
          </cell>
        </row>
        <row r="414">
          <cell r="D414" t="str">
            <v>حیدری</v>
          </cell>
          <cell r="O414" t="str">
            <v>مونتاژ</v>
          </cell>
          <cell r="AC414" t="str">
            <v>1405/03/23</v>
          </cell>
          <cell r="AF414">
            <v>5</v>
          </cell>
        </row>
        <row r="415">
          <cell r="D415" t="str">
            <v>حیدری</v>
          </cell>
          <cell r="O415" t="str">
            <v>مونتاژ</v>
          </cell>
          <cell r="AC415" t="str">
            <v>1405/03/23</v>
          </cell>
          <cell r="AF415">
            <v>2</v>
          </cell>
        </row>
        <row r="416">
          <cell r="D416" t="str">
            <v>قیطاسوند</v>
          </cell>
          <cell r="O416">
            <v>7102</v>
          </cell>
          <cell r="AC416" t="str">
            <v>1405/03/21</v>
          </cell>
          <cell r="AF416">
            <v>7.5</v>
          </cell>
        </row>
        <row r="417">
          <cell r="D417" t="str">
            <v>حیدری</v>
          </cell>
          <cell r="O417">
            <v>7401</v>
          </cell>
          <cell r="AC417" t="str">
            <v>1405/03/21</v>
          </cell>
          <cell r="AF417">
            <v>4.5</v>
          </cell>
        </row>
        <row r="418">
          <cell r="D418" t="str">
            <v>حیدری</v>
          </cell>
          <cell r="O418" t="str">
            <v>مونتاژ</v>
          </cell>
          <cell r="AC418" t="str">
            <v>1405/03/21</v>
          </cell>
          <cell r="AF418">
            <v>2</v>
          </cell>
        </row>
        <row r="419">
          <cell r="D419" t="str">
            <v>حیدری</v>
          </cell>
          <cell r="O419" t="str">
            <v>نظافت</v>
          </cell>
          <cell r="AC419" t="str">
            <v>1405/03/21</v>
          </cell>
          <cell r="AF419">
            <v>1</v>
          </cell>
        </row>
        <row r="420">
          <cell r="D420" t="str">
            <v>خیرخواه</v>
          </cell>
          <cell r="O420">
            <v>7401</v>
          </cell>
          <cell r="AC420" t="str">
            <v>1405/03/21</v>
          </cell>
          <cell r="AF420">
            <v>2</v>
          </cell>
        </row>
        <row r="421">
          <cell r="D421" t="str">
            <v>خیرخواه</v>
          </cell>
          <cell r="O421" t="str">
            <v>مونتاژ</v>
          </cell>
          <cell r="AC421" t="str">
            <v>1405/03/22</v>
          </cell>
          <cell r="AF421">
            <v>1</v>
          </cell>
        </row>
        <row r="422">
          <cell r="D422" t="str">
            <v>خیرخواه</v>
          </cell>
          <cell r="O422">
            <v>7401</v>
          </cell>
          <cell r="AC422" t="str">
            <v>1405/03/22</v>
          </cell>
          <cell r="AF422">
            <v>2</v>
          </cell>
        </row>
        <row r="423">
          <cell r="D423" t="str">
            <v>خیرخواه</v>
          </cell>
          <cell r="O423" t="str">
            <v>مونتاژ</v>
          </cell>
          <cell r="AC423" t="str">
            <v>1405/03/22</v>
          </cell>
          <cell r="AF423">
            <v>0.5</v>
          </cell>
        </row>
        <row r="424">
          <cell r="D424" t="str">
            <v>صحرایی</v>
          </cell>
          <cell r="O424">
            <v>8002</v>
          </cell>
          <cell r="AC424" t="str">
            <v>1405/03/23</v>
          </cell>
          <cell r="AF424">
            <v>7.5</v>
          </cell>
        </row>
        <row r="425">
          <cell r="D425" t="str">
            <v>باقری اصل</v>
          </cell>
          <cell r="O425">
            <v>7204</v>
          </cell>
          <cell r="AC425" t="str">
            <v>1405/03/23</v>
          </cell>
          <cell r="AF425">
            <v>11</v>
          </cell>
        </row>
        <row r="426">
          <cell r="D426" t="str">
            <v>کاظمی</v>
          </cell>
          <cell r="O426">
            <v>7202</v>
          </cell>
          <cell r="AC426" t="str">
            <v>1405/03/23</v>
          </cell>
          <cell r="AF426">
            <v>11</v>
          </cell>
        </row>
        <row r="427">
          <cell r="D427" t="str">
            <v>قیطاسوند</v>
          </cell>
          <cell r="O427">
            <v>7102</v>
          </cell>
          <cell r="AC427" t="str">
            <v>1405/03/23</v>
          </cell>
          <cell r="AF427">
            <v>11</v>
          </cell>
        </row>
        <row r="428">
          <cell r="D428" t="str">
            <v>فراهی</v>
          </cell>
          <cell r="O428">
            <v>7103</v>
          </cell>
          <cell r="AC428" t="str">
            <v>1405/03/23</v>
          </cell>
          <cell r="AF428">
            <v>4.166666666666667</v>
          </cell>
        </row>
        <row r="429">
          <cell r="D429" t="str">
            <v>کریم پرست</v>
          </cell>
          <cell r="O429">
            <v>7301</v>
          </cell>
          <cell r="AC429" t="str">
            <v>1405/03/23</v>
          </cell>
          <cell r="AF429">
            <v>7</v>
          </cell>
        </row>
        <row r="430">
          <cell r="D430" t="str">
            <v>کریم پرست</v>
          </cell>
          <cell r="O430">
            <v>7301</v>
          </cell>
          <cell r="AC430" t="str">
            <v>1405/03/23</v>
          </cell>
          <cell r="AF430">
            <v>2</v>
          </cell>
        </row>
        <row r="431">
          <cell r="D431" t="str">
            <v>کریم پرست</v>
          </cell>
          <cell r="O431">
            <v>7301</v>
          </cell>
          <cell r="AC431" t="str">
            <v>1405/03/23</v>
          </cell>
          <cell r="AF431">
            <v>1.6666666666666667</v>
          </cell>
        </row>
        <row r="432">
          <cell r="D432" t="str">
            <v>هاشم زاده</v>
          </cell>
          <cell r="O432" t="str">
            <v>مونتاژ</v>
          </cell>
          <cell r="AC432" t="str">
            <v>1405/03/23</v>
          </cell>
          <cell r="AF432">
            <v>2</v>
          </cell>
        </row>
        <row r="433">
          <cell r="D433" t="str">
            <v>هاشم زاده</v>
          </cell>
          <cell r="O433">
            <v>8001</v>
          </cell>
          <cell r="AC433" t="str">
            <v>1405/03/23</v>
          </cell>
          <cell r="AF433">
            <v>3</v>
          </cell>
        </row>
        <row r="434">
          <cell r="D434" t="str">
            <v>هاشم زاده</v>
          </cell>
          <cell r="O434" t="str">
            <v>مونتاژ</v>
          </cell>
          <cell r="AC434" t="str">
            <v>1405/03/23</v>
          </cell>
          <cell r="AF434">
            <v>6</v>
          </cell>
        </row>
        <row r="435">
          <cell r="D435" t="str">
            <v>موسوی</v>
          </cell>
          <cell r="O435">
            <v>7302</v>
          </cell>
          <cell r="AC435" t="str">
            <v>1405/03/23</v>
          </cell>
          <cell r="AF435">
            <v>1</v>
          </cell>
        </row>
        <row r="436">
          <cell r="D436" t="str">
            <v>موسوی</v>
          </cell>
          <cell r="O436" t="str">
            <v>مونتاژ</v>
          </cell>
          <cell r="AC436" t="str">
            <v>1405/03/23</v>
          </cell>
          <cell r="AF436">
            <v>3</v>
          </cell>
        </row>
        <row r="437">
          <cell r="D437" t="str">
            <v>موسوی</v>
          </cell>
          <cell r="O437">
            <v>7302</v>
          </cell>
          <cell r="AC437" t="str">
            <v>1405/03/23</v>
          </cell>
          <cell r="AF437">
            <v>7</v>
          </cell>
        </row>
        <row r="438">
          <cell r="D438" t="str">
            <v>زیلویی</v>
          </cell>
          <cell r="O438">
            <v>7203</v>
          </cell>
          <cell r="AC438" t="str">
            <v>1405/03/23</v>
          </cell>
          <cell r="AF438">
            <v>1.5</v>
          </cell>
        </row>
        <row r="439">
          <cell r="D439" t="str">
            <v>زیلویی</v>
          </cell>
          <cell r="O439">
            <v>7203</v>
          </cell>
          <cell r="AC439" t="str">
            <v>1405/03/23</v>
          </cell>
          <cell r="AF439">
            <v>6.5</v>
          </cell>
        </row>
        <row r="440">
          <cell r="D440" t="str">
            <v>زیلویی</v>
          </cell>
          <cell r="O440">
            <v>7203</v>
          </cell>
          <cell r="AC440" t="str">
            <v>1405/03/23</v>
          </cell>
          <cell r="AF440">
            <v>3</v>
          </cell>
        </row>
        <row r="441">
          <cell r="D441" t="str">
            <v>یاراحمدی</v>
          </cell>
          <cell r="O441">
            <v>7501</v>
          </cell>
          <cell r="AC441" t="str">
            <v>1405/03/22</v>
          </cell>
          <cell r="AF441">
            <v>4</v>
          </cell>
        </row>
        <row r="442">
          <cell r="D442" t="str">
            <v>یاراحمدی</v>
          </cell>
          <cell r="O442">
            <v>7502</v>
          </cell>
          <cell r="AC442" t="str">
            <v>1405/03/22</v>
          </cell>
          <cell r="AF442">
            <v>2</v>
          </cell>
        </row>
        <row r="443">
          <cell r="D443" t="str">
            <v>یاراحمدی</v>
          </cell>
          <cell r="O443">
            <v>7501</v>
          </cell>
          <cell r="AC443" t="str">
            <v>1405/03/23</v>
          </cell>
          <cell r="AF443">
            <v>2</v>
          </cell>
        </row>
        <row r="444">
          <cell r="D444" t="str">
            <v>یاراحمدی</v>
          </cell>
          <cell r="O444">
            <v>7502</v>
          </cell>
          <cell r="AC444" t="str">
            <v>1405/03/23</v>
          </cell>
          <cell r="AF444">
            <v>9</v>
          </cell>
        </row>
        <row r="445">
          <cell r="D445" t="str">
            <v>صلواتی</v>
          </cell>
          <cell r="O445">
            <v>7601</v>
          </cell>
          <cell r="AC445" t="str">
            <v>1405/03/23</v>
          </cell>
          <cell r="AF445">
            <v>10</v>
          </cell>
        </row>
        <row r="446">
          <cell r="D446" t="str">
            <v>صلواتی</v>
          </cell>
          <cell r="O446">
            <v>7602</v>
          </cell>
          <cell r="AC446" t="str">
            <v>1405/03/23</v>
          </cell>
          <cell r="AF446">
            <v>12</v>
          </cell>
        </row>
        <row r="447">
          <cell r="D447" t="str">
            <v>صلواتی</v>
          </cell>
          <cell r="O447">
            <v>7603</v>
          </cell>
          <cell r="AC447" t="str">
            <v>1405/03/23</v>
          </cell>
          <cell r="AF447">
            <v>2</v>
          </cell>
        </row>
        <row r="448">
          <cell r="D448" t="str">
            <v>صلواتی</v>
          </cell>
          <cell r="O448">
            <v>7605</v>
          </cell>
          <cell r="AC448" t="str">
            <v>1405/03/23</v>
          </cell>
          <cell r="AF448">
            <v>4</v>
          </cell>
        </row>
        <row r="449">
          <cell r="D449" t="str">
            <v>صلواتی</v>
          </cell>
          <cell r="O449">
            <v>7601</v>
          </cell>
          <cell r="AC449" t="str">
            <v>1405/03/24</v>
          </cell>
          <cell r="AF449">
            <v>12</v>
          </cell>
        </row>
        <row r="450">
          <cell r="D450" t="str">
            <v>صلواتی</v>
          </cell>
          <cell r="O450">
            <v>7602</v>
          </cell>
          <cell r="AC450" t="str">
            <v>1405/03/24</v>
          </cell>
          <cell r="AF450">
            <v>10</v>
          </cell>
        </row>
        <row r="451">
          <cell r="D451" t="str">
            <v>صلواتی</v>
          </cell>
          <cell r="O451">
            <v>7602</v>
          </cell>
          <cell r="AC451" t="str">
            <v>1405/03/24</v>
          </cell>
          <cell r="AF451">
            <v>2</v>
          </cell>
        </row>
        <row r="452">
          <cell r="D452" t="str">
            <v>صلواتی</v>
          </cell>
          <cell r="O452">
            <v>7605</v>
          </cell>
          <cell r="AC452" t="str">
            <v>1405/03/24</v>
          </cell>
          <cell r="AF452">
            <v>12</v>
          </cell>
        </row>
        <row r="453">
          <cell r="D453" t="str">
            <v>صلواتی</v>
          </cell>
          <cell r="O453">
            <v>7603</v>
          </cell>
          <cell r="AC453" t="str">
            <v>1405/03/24</v>
          </cell>
          <cell r="AF453">
            <v>5</v>
          </cell>
        </row>
        <row r="454">
          <cell r="D454" t="str">
            <v>صلواتی</v>
          </cell>
          <cell r="O454">
            <v>7603</v>
          </cell>
          <cell r="AC454" t="str">
            <v>1405/03/24</v>
          </cell>
          <cell r="AF454">
            <v>4</v>
          </cell>
        </row>
        <row r="455">
          <cell r="D455" t="str">
            <v>کاظمی</v>
          </cell>
          <cell r="O455">
            <v>7202</v>
          </cell>
          <cell r="AC455" t="str">
            <v>1405/03/24</v>
          </cell>
          <cell r="AF455">
            <v>7</v>
          </cell>
        </row>
        <row r="456">
          <cell r="D456" t="str">
            <v>کاظمی</v>
          </cell>
          <cell r="O456">
            <v>7202</v>
          </cell>
          <cell r="AC456" t="str">
            <v>1405/03/25</v>
          </cell>
          <cell r="AF456">
            <v>6</v>
          </cell>
        </row>
        <row r="457">
          <cell r="D457" t="str">
            <v>فراهی</v>
          </cell>
          <cell r="O457">
            <v>7103</v>
          </cell>
          <cell r="AC457" t="str">
            <v>1405/03/24</v>
          </cell>
          <cell r="AF457">
            <v>1</v>
          </cell>
        </row>
        <row r="458">
          <cell r="D458" t="str">
            <v>فراهی</v>
          </cell>
          <cell r="O458">
            <v>7103</v>
          </cell>
          <cell r="AC458" t="str">
            <v>1405/03/24</v>
          </cell>
          <cell r="AF458">
            <v>4.833333333333333</v>
          </cell>
        </row>
        <row r="459">
          <cell r="D459" t="str">
            <v>قیطاسوند</v>
          </cell>
          <cell r="O459">
            <v>7102</v>
          </cell>
          <cell r="AC459" t="str">
            <v>1405/03/24</v>
          </cell>
          <cell r="AF459">
            <v>11</v>
          </cell>
        </row>
        <row r="460">
          <cell r="D460" t="str">
            <v>زیلویی</v>
          </cell>
          <cell r="O460">
            <v>7203</v>
          </cell>
          <cell r="AC460" t="str">
            <v>1405/03/24</v>
          </cell>
          <cell r="AF460">
            <v>11</v>
          </cell>
        </row>
        <row r="461">
          <cell r="D461" t="str">
            <v>زیلویی</v>
          </cell>
          <cell r="O461">
            <v>7203</v>
          </cell>
          <cell r="AC461" t="str">
            <v>1405/03/25</v>
          </cell>
          <cell r="AF461">
            <v>7</v>
          </cell>
        </row>
        <row r="462">
          <cell r="D462" t="str">
            <v>زیلویی</v>
          </cell>
          <cell r="O462">
            <v>7203</v>
          </cell>
          <cell r="AC462" t="str">
            <v>1405/03/25</v>
          </cell>
          <cell r="AF462">
            <v>4</v>
          </cell>
        </row>
        <row r="463">
          <cell r="D463" t="str">
            <v>صحرایی</v>
          </cell>
          <cell r="O463">
            <v>8002</v>
          </cell>
          <cell r="AC463" t="str">
            <v>1405/03/24</v>
          </cell>
          <cell r="AF463">
            <v>7.5</v>
          </cell>
        </row>
        <row r="464">
          <cell r="D464" t="str">
            <v>صحرایی</v>
          </cell>
          <cell r="O464">
            <v>8002</v>
          </cell>
          <cell r="AC464" t="str">
            <v>1405/03/25</v>
          </cell>
          <cell r="AF464">
            <v>7.5</v>
          </cell>
        </row>
        <row r="465">
          <cell r="D465" t="str">
            <v>باقری اصل</v>
          </cell>
          <cell r="O465">
            <v>7204</v>
          </cell>
          <cell r="AC465" t="str">
            <v>1405/03/24</v>
          </cell>
          <cell r="AF465">
            <v>11</v>
          </cell>
        </row>
        <row r="466">
          <cell r="D466" t="str">
            <v>باقری اصل</v>
          </cell>
          <cell r="O466">
            <v>7204</v>
          </cell>
          <cell r="AC466" t="str">
            <v>1405/03/25</v>
          </cell>
          <cell r="AF466">
            <v>4.5</v>
          </cell>
        </row>
        <row r="467">
          <cell r="D467" t="str">
            <v>باقری اصل</v>
          </cell>
          <cell r="O467">
            <v>7204</v>
          </cell>
          <cell r="AC467" t="str">
            <v>1405/03/25</v>
          </cell>
          <cell r="AF467">
            <v>6.5</v>
          </cell>
        </row>
        <row r="468">
          <cell r="D468" t="str">
            <v>موسوی</v>
          </cell>
          <cell r="O468" t="str">
            <v>مونتاژ</v>
          </cell>
          <cell r="AC468" t="str">
            <v>1405/03/24</v>
          </cell>
          <cell r="AF468">
            <v>6</v>
          </cell>
        </row>
        <row r="469">
          <cell r="D469" t="str">
            <v>موسوی</v>
          </cell>
          <cell r="O469">
            <v>7302</v>
          </cell>
          <cell r="AC469" t="str">
            <v>1405/03/24</v>
          </cell>
          <cell r="AF469">
            <v>2</v>
          </cell>
        </row>
        <row r="470">
          <cell r="D470" t="str">
            <v>موسوی</v>
          </cell>
          <cell r="O470">
            <v>7302</v>
          </cell>
          <cell r="AC470" t="str">
            <v>1405/03/24</v>
          </cell>
          <cell r="AF470">
            <v>1</v>
          </cell>
        </row>
        <row r="471">
          <cell r="D471" t="str">
            <v>موسوی</v>
          </cell>
          <cell r="O471">
            <v>7302</v>
          </cell>
          <cell r="AC471" t="str">
            <v>1405/03/24</v>
          </cell>
          <cell r="AF471">
            <v>1</v>
          </cell>
        </row>
        <row r="472">
          <cell r="D472" t="str">
            <v>موسوی</v>
          </cell>
          <cell r="O472">
            <v>7302</v>
          </cell>
          <cell r="AC472" t="str">
            <v>1405/03/24</v>
          </cell>
          <cell r="AF472">
            <v>1</v>
          </cell>
        </row>
        <row r="473">
          <cell r="D473" t="str">
            <v>موسوی</v>
          </cell>
          <cell r="O473">
            <v>7302</v>
          </cell>
          <cell r="AC473" t="str">
            <v>1405/03/25</v>
          </cell>
          <cell r="AF473">
            <v>2</v>
          </cell>
        </row>
        <row r="474">
          <cell r="D474" t="str">
            <v>موسوی</v>
          </cell>
          <cell r="O474">
            <v>7302</v>
          </cell>
          <cell r="AC474" t="str">
            <v>1405/03/25</v>
          </cell>
          <cell r="AF474">
            <v>2</v>
          </cell>
        </row>
        <row r="475">
          <cell r="D475" t="str">
            <v>موسوی</v>
          </cell>
          <cell r="O475">
            <v>7302</v>
          </cell>
          <cell r="AC475" t="str">
            <v>1405/03/25</v>
          </cell>
          <cell r="AF475">
            <v>2</v>
          </cell>
        </row>
        <row r="476">
          <cell r="D476" t="str">
            <v>موسوی</v>
          </cell>
          <cell r="O476">
            <v>7302</v>
          </cell>
          <cell r="AC476" t="str">
            <v>1405/03/25</v>
          </cell>
          <cell r="AF476">
            <v>2</v>
          </cell>
        </row>
        <row r="477">
          <cell r="D477" t="str">
            <v>کریم پرست</v>
          </cell>
          <cell r="O477">
            <v>7301</v>
          </cell>
          <cell r="AC477" t="str">
            <v>1405/03/24</v>
          </cell>
          <cell r="AF477">
            <v>4</v>
          </cell>
        </row>
        <row r="478">
          <cell r="D478" t="str">
            <v>کریم پرست</v>
          </cell>
          <cell r="O478">
            <v>7301</v>
          </cell>
          <cell r="AC478" t="str">
            <v>1405/03/24</v>
          </cell>
          <cell r="AF478">
            <v>4</v>
          </cell>
        </row>
        <row r="479">
          <cell r="D479" t="str">
            <v>کریم پرست</v>
          </cell>
          <cell r="O479">
            <v>7301</v>
          </cell>
          <cell r="AC479" t="str">
            <v>1405/03/24</v>
          </cell>
          <cell r="AF479">
            <v>2</v>
          </cell>
        </row>
        <row r="480">
          <cell r="D480" t="str">
            <v>کریم پرست</v>
          </cell>
          <cell r="O480">
            <v>7301</v>
          </cell>
          <cell r="AC480" t="str">
            <v>1405/03/25</v>
          </cell>
          <cell r="AF480">
            <v>7</v>
          </cell>
        </row>
        <row r="481">
          <cell r="D481" t="str">
            <v>کریم پرست</v>
          </cell>
          <cell r="O481">
            <v>7301</v>
          </cell>
          <cell r="AC481" t="str">
            <v>1405/03/25</v>
          </cell>
          <cell r="AF481">
            <v>4</v>
          </cell>
        </row>
        <row r="482">
          <cell r="D482" t="str">
            <v>حیدری</v>
          </cell>
          <cell r="O482" t="str">
            <v>مونتاژ</v>
          </cell>
          <cell r="AC482" t="str">
            <v>1405/03/24</v>
          </cell>
          <cell r="AF482">
            <v>2</v>
          </cell>
        </row>
        <row r="483">
          <cell r="D483" t="str">
            <v>حیدری</v>
          </cell>
          <cell r="O483" t="str">
            <v>مونتاژ</v>
          </cell>
          <cell r="AC483" t="str">
            <v>1405/03/24</v>
          </cell>
          <cell r="AF483">
            <v>1.5</v>
          </cell>
        </row>
        <row r="484">
          <cell r="D484" t="str">
            <v>حیدری</v>
          </cell>
          <cell r="O484">
            <v>7101</v>
          </cell>
          <cell r="AC484" t="str">
            <v>1405/03/24</v>
          </cell>
          <cell r="AF484">
            <v>6.5</v>
          </cell>
        </row>
        <row r="485">
          <cell r="D485" t="str">
            <v>حیدری</v>
          </cell>
          <cell r="O485">
            <v>7101</v>
          </cell>
          <cell r="AC485" t="str">
            <v>1405/03/25</v>
          </cell>
          <cell r="AF485">
            <v>4.5</v>
          </cell>
        </row>
        <row r="486">
          <cell r="D486" t="str">
            <v>حیدری</v>
          </cell>
          <cell r="O486" t="str">
            <v>مونتاژ</v>
          </cell>
          <cell r="AC486" t="str">
            <v>1405/03/25</v>
          </cell>
          <cell r="AF486">
            <v>3</v>
          </cell>
        </row>
        <row r="487">
          <cell r="D487" t="str">
            <v>حیدری</v>
          </cell>
          <cell r="O487" t="str">
            <v>مونتاژ</v>
          </cell>
          <cell r="AC487" t="str">
            <v>1405/03/25</v>
          </cell>
          <cell r="AF487">
            <v>2</v>
          </cell>
        </row>
        <row r="488">
          <cell r="D488" t="str">
            <v>هاشم زاده</v>
          </cell>
          <cell r="O488" t="str">
            <v>مونتاژ</v>
          </cell>
          <cell r="AC488" t="str">
            <v>1405/03/24</v>
          </cell>
          <cell r="AF488">
            <v>2</v>
          </cell>
        </row>
        <row r="489">
          <cell r="D489" t="str">
            <v>هاشم زاده</v>
          </cell>
          <cell r="O489" t="str">
            <v>مونتاژ</v>
          </cell>
          <cell r="AC489" t="str">
            <v>1405/03/24</v>
          </cell>
          <cell r="AF489">
            <v>2</v>
          </cell>
        </row>
        <row r="490">
          <cell r="D490" t="str">
            <v>هاشم زاده</v>
          </cell>
          <cell r="O490">
            <v>8001</v>
          </cell>
          <cell r="AC490" t="str">
            <v>1405/03/24</v>
          </cell>
          <cell r="AF490">
            <v>2</v>
          </cell>
        </row>
        <row r="491">
          <cell r="D491" t="str">
            <v>هاشم زاده</v>
          </cell>
          <cell r="O491" t="str">
            <v>مونتاژ</v>
          </cell>
          <cell r="AC491" t="str">
            <v>1405/03/24</v>
          </cell>
          <cell r="AF491">
            <v>3</v>
          </cell>
        </row>
        <row r="492">
          <cell r="D492" t="str">
            <v>هاشم زاده</v>
          </cell>
          <cell r="O492" t="str">
            <v>مونتاژ</v>
          </cell>
          <cell r="AC492" t="str">
            <v>1405/03/25</v>
          </cell>
          <cell r="AF492">
            <v>2</v>
          </cell>
        </row>
        <row r="493">
          <cell r="D493" t="str">
            <v>هاشم زاده</v>
          </cell>
          <cell r="O493" t="str">
            <v>مونتاژ</v>
          </cell>
          <cell r="AC493" t="str">
            <v>1405/03/25</v>
          </cell>
          <cell r="AF493">
            <v>1</v>
          </cell>
        </row>
        <row r="494">
          <cell r="D494" t="str">
            <v>هاشم زاده</v>
          </cell>
          <cell r="O494" t="str">
            <v>مونتاژ</v>
          </cell>
          <cell r="AC494" t="str">
            <v>1405/03/25</v>
          </cell>
          <cell r="AF494">
            <v>3</v>
          </cell>
        </row>
        <row r="495">
          <cell r="D495" t="str">
            <v>هاشم زاده</v>
          </cell>
          <cell r="O495" t="str">
            <v>دمونتاژ</v>
          </cell>
          <cell r="AC495" t="str">
            <v>1405/03/25</v>
          </cell>
          <cell r="AF495">
            <v>2</v>
          </cell>
        </row>
        <row r="496">
          <cell r="D496" t="str">
            <v>یاراحمدی</v>
          </cell>
          <cell r="O496">
            <v>7502</v>
          </cell>
          <cell r="AC496" t="str">
            <v>1405/03/24</v>
          </cell>
          <cell r="AF496">
            <v>1</v>
          </cell>
        </row>
        <row r="497">
          <cell r="D497" t="str">
            <v>یاراحمدی</v>
          </cell>
          <cell r="O497">
            <v>7502</v>
          </cell>
          <cell r="AC497" t="str">
            <v>1405/03/24</v>
          </cell>
          <cell r="AF497">
            <v>2</v>
          </cell>
        </row>
        <row r="498">
          <cell r="D498" t="str">
            <v>یاراحمدی</v>
          </cell>
          <cell r="O498">
            <v>7502</v>
          </cell>
          <cell r="AC498" t="str">
            <v>1405/03/24</v>
          </cell>
          <cell r="AF498">
            <v>4</v>
          </cell>
        </row>
        <row r="499">
          <cell r="D499" t="str">
            <v>یاراحمدی</v>
          </cell>
          <cell r="O499">
            <v>7502</v>
          </cell>
          <cell r="AC499" t="str">
            <v>1405/03/24</v>
          </cell>
          <cell r="AF499">
            <v>4</v>
          </cell>
        </row>
        <row r="500">
          <cell r="D500" t="str">
            <v>یاراحمدی</v>
          </cell>
          <cell r="O500">
            <v>7502</v>
          </cell>
          <cell r="AC500" t="str">
            <v>1405/03/25</v>
          </cell>
          <cell r="AF500">
            <v>4</v>
          </cell>
        </row>
        <row r="501">
          <cell r="D501" t="str">
            <v>یاراحمدی</v>
          </cell>
          <cell r="O501">
            <v>7502</v>
          </cell>
          <cell r="AC501" t="str">
            <v>1405/03/25</v>
          </cell>
          <cell r="AF501">
            <v>2</v>
          </cell>
        </row>
        <row r="502">
          <cell r="D502" t="str">
            <v>یاراحمدی</v>
          </cell>
          <cell r="O502">
            <v>7502</v>
          </cell>
          <cell r="AC502" t="str">
            <v>1405/03/25</v>
          </cell>
          <cell r="AF502">
            <v>1</v>
          </cell>
        </row>
        <row r="503">
          <cell r="D503" t="str">
            <v>یاراحمدی</v>
          </cell>
          <cell r="O503">
            <v>7502</v>
          </cell>
          <cell r="AC503" t="str">
            <v>1405/03/25</v>
          </cell>
          <cell r="AF503">
            <v>4</v>
          </cell>
        </row>
        <row r="504">
          <cell r="D504" t="str">
            <v>خیرخواه</v>
          </cell>
          <cell r="O504" t="str">
            <v>مونتاژ</v>
          </cell>
          <cell r="AC504" t="str">
            <v>1405/03/24</v>
          </cell>
          <cell r="AF504">
            <v>2</v>
          </cell>
        </row>
        <row r="505">
          <cell r="D505" t="str">
            <v>خیرخواه</v>
          </cell>
          <cell r="O505">
            <v>7401</v>
          </cell>
          <cell r="AC505" t="str">
            <v>1405/03/24</v>
          </cell>
          <cell r="AF505">
            <v>1</v>
          </cell>
        </row>
        <row r="506">
          <cell r="D506" t="str">
            <v>خیرخواه</v>
          </cell>
          <cell r="O506" t="str">
            <v>مونتاژ</v>
          </cell>
          <cell r="AC506" t="str">
            <v>1405/03/24</v>
          </cell>
          <cell r="AF506">
            <v>1</v>
          </cell>
        </row>
        <row r="507">
          <cell r="D507" t="str">
            <v>خیرخواه</v>
          </cell>
          <cell r="O507" t="str">
            <v>مونتاژ</v>
          </cell>
          <cell r="AC507" t="str">
            <v>1405/03/24</v>
          </cell>
          <cell r="AF507">
            <v>2</v>
          </cell>
        </row>
        <row r="508">
          <cell r="D508" t="str">
            <v>خیرخواه</v>
          </cell>
          <cell r="O508" t="str">
            <v>مونتاژ</v>
          </cell>
          <cell r="AC508" t="str">
            <v>1405/03/24</v>
          </cell>
          <cell r="AF508">
            <v>2</v>
          </cell>
        </row>
        <row r="509">
          <cell r="D509" t="str">
            <v>خیرخواه</v>
          </cell>
          <cell r="O509" t="str">
            <v>دمونتاژ</v>
          </cell>
          <cell r="AC509" t="str">
            <v>1405/03/24</v>
          </cell>
          <cell r="AF509">
            <v>1</v>
          </cell>
        </row>
        <row r="510">
          <cell r="D510" t="str">
            <v>خیرخواه</v>
          </cell>
          <cell r="O510" t="str">
            <v>دمونتاژ</v>
          </cell>
          <cell r="AC510" t="str">
            <v>1405/03/24</v>
          </cell>
          <cell r="AF510">
            <v>1</v>
          </cell>
        </row>
        <row r="511">
          <cell r="D511" t="str">
            <v>خیرخواه</v>
          </cell>
          <cell r="O511" t="str">
            <v>مونتاژ</v>
          </cell>
          <cell r="AC511" t="str">
            <v>1405/03/24</v>
          </cell>
          <cell r="AF511">
            <v>1</v>
          </cell>
        </row>
        <row r="512">
          <cell r="D512" t="str">
            <v>فراهی</v>
          </cell>
          <cell r="O512">
            <v>7103</v>
          </cell>
          <cell r="AC512" t="str">
            <v>1405/03/26</v>
          </cell>
          <cell r="AF512">
            <v>6.333333333333333</v>
          </cell>
        </row>
        <row r="513">
          <cell r="D513" t="str">
            <v>صحرایی</v>
          </cell>
          <cell r="O513">
            <v>8002</v>
          </cell>
          <cell r="AC513" t="str">
            <v>1405/03/26</v>
          </cell>
          <cell r="AF513">
            <v>7.5</v>
          </cell>
        </row>
        <row r="514">
          <cell r="D514" t="str">
            <v>باقری اصل</v>
          </cell>
          <cell r="O514">
            <v>7204</v>
          </cell>
          <cell r="AC514" t="str">
            <v>1405/03/26</v>
          </cell>
          <cell r="AF514">
            <v>11</v>
          </cell>
        </row>
        <row r="515">
          <cell r="D515" t="str">
            <v>کریم پرست</v>
          </cell>
          <cell r="O515">
            <v>7301</v>
          </cell>
          <cell r="AC515" t="str">
            <v>1405/03/26</v>
          </cell>
          <cell r="AF515">
            <v>4</v>
          </cell>
        </row>
        <row r="516">
          <cell r="D516" t="str">
            <v>کریم پرست</v>
          </cell>
          <cell r="O516">
            <v>7301</v>
          </cell>
          <cell r="AC516" t="str">
            <v>1405/03/26</v>
          </cell>
          <cell r="AF516">
            <v>4</v>
          </cell>
        </row>
        <row r="517">
          <cell r="D517" t="str">
            <v>قیطاسوند</v>
          </cell>
          <cell r="O517">
            <v>7102</v>
          </cell>
          <cell r="AC517" t="str">
            <v>1405/03/26</v>
          </cell>
          <cell r="AF517">
            <v>5.5</v>
          </cell>
        </row>
        <row r="518">
          <cell r="D518" t="str">
            <v>قیطاسوند</v>
          </cell>
          <cell r="O518">
            <v>7102</v>
          </cell>
          <cell r="AC518" t="str">
            <v>1405/03/26</v>
          </cell>
          <cell r="AF518">
            <v>5.5</v>
          </cell>
        </row>
        <row r="519">
          <cell r="D519" t="str">
            <v>موسوی</v>
          </cell>
          <cell r="O519">
            <v>7302</v>
          </cell>
          <cell r="AC519" t="str">
            <v>1405/03/26</v>
          </cell>
          <cell r="AF519">
            <v>5</v>
          </cell>
        </row>
        <row r="520">
          <cell r="D520" t="str">
            <v>موسوی</v>
          </cell>
          <cell r="O520">
            <v>7302</v>
          </cell>
          <cell r="AC520" t="str">
            <v>1405/03/26</v>
          </cell>
          <cell r="AF520">
            <v>2</v>
          </cell>
        </row>
        <row r="521">
          <cell r="D521" t="str">
            <v>موسوی</v>
          </cell>
          <cell r="O521">
            <v>7302</v>
          </cell>
          <cell r="AC521" t="str">
            <v>1405/03/26</v>
          </cell>
          <cell r="AF521">
            <v>2</v>
          </cell>
        </row>
        <row r="522">
          <cell r="D522" t="str">
            <v>یاراحمدی</v>
          </cell>
          <cell r="O522">
            <v>7502</v>
          </cell>
          <cell r="AC522" t="str">
            <v>1405/03/26</v>
          </cell>
          <cell r="AF522">
            <v>4</v>
          </cell>
        </row>
        <row r="523">
          <cell r="D523" t="str">
            <v>یاراحمدی</v>
          </cell>
          <cell r="O523">
            <v>7502</v>
          </cell>
          <cell r="AC523" t="str">
            <v>1405/03/26</v>
          </cell>
          <cell r="AF523">
            <v>1</v>
          </cell>
        </row>
        <row r="524">
          <cell r="D524" t="str">
            <v>یاراحمدی</v>
          </cell>
          <cell r="O524">
            <v>7502</v>
          </cell>
          <cell r="AC524" t="str">
            <v>1405/03/26</v>
          </cell>
          <cell r="AF524">
            <v>6</v>
          </cell>
        </row>
        <row r="525">
          <cell r="D525" t="str">
            <v>حیدری</v>
          </cell>
          <cell r="O525" t="str">
            <v>مونتاژ</v>
          </cell>
          <cell r="AC525" t="str">
            <v>1405/03/26</v>
          </cell>
          <cell r="AF525">
            <v>6.5</v>
          </cell>
        </row>
        <row r="526">
          <cell r="D526" t="str">
            <v>حیدری</v>
          </cell>
          <cell r="O526">
            <v>7101</v>
          </cell>
          <cell r="AC526" t="str">
            <v>1405/03/26</v>
          </cell>
          <cell r="AF526">
            <v>1.5</v>
          </cell>
        </row>
        <row r="527">
          <cell r="D527" t="str">
            <v>حیدری</v>
          </cell>
          <cell r="O527">
            <v>7101</v>
          </cell>
          <cell r="AC527" t="str">
            <v>1405/03/26</v>
          </cell>
          <cell r="AF527">
            <v>1</v>
          </cell>
        </row>
        <row r="528">
          <cell r="D528" t="str">
            <v>حیدری</v>
          </cell>
          <cell r="O528" t="str">
            <v>مونتاژ</v>
          </cell>
          <cell r="AC528" t="str">
            <v>1405/03/26</v>
          </cell>
          <cell r="AF528">
            <v>1</v>
          </cell>
        </row>
        <row r="529">
          <cell r="D529" t="str">
            <v>هاشم زاده</v>
          </cell>
          <cell r="O529">
            <v>8001</v>
          </cell>
          <cell r="AC529" t="str">
            <v>1405/03/26</v>
          </cell>
          <cell r="AF529">
            <v>2</v>
          </cell>
        </row>
        <row r="530">
          <cell r="D530" t="str">
            <v>هاشم زاده</v>
          </cell>
          <cell r="O530" t="str">
            <v>مونتاژ</v>
          </cell>
          <cell r="AC530" t="str">
            <v>1405/03/26</v>
          </cell>
          <cell r="AF530">
            <v>4</v>
          </cell>
        </row>
        <row r="531">
          <cell r="D531" t="str">
            <v>هاشم زاده</v>
          </cell>
          <cell r="O531" t="str">
            <v>دمونتاژ</v>
          </cell>
          <cell r="AC531" t="str">
            <v>1405/03/26</v>
          </cell>
          <cell r="AF531">
            <v>2</v>
          </cell>
        </row>
        <row r="532">
          <cell r="D532" t="str">
            <v>هاشم زاده</v>
          </cell>
          <cell r="O532" t="str">
            <v>دمونتاژ</v>
          </cell>
          <cell r="AC532" t="str">
            <v>1405/03/26</v>
          </cell>
          <cell r="AF532">
            <v>2</v>
          </cell>
        </row>
        <row r="533">
          <cell r="D533" t="str">
            <v>صلواتی</v>
          </cell>
          <cell r="O533">
            <v>7601</v>
          </cell>
          <cell r="AC533" t="str">
            <v>1405/03/26</v>
          </cell>
          <cell r="AF533">
            <v>10</v>
          </cell>
        </row>
        <row r="534">
          <cell r="D534" t="str">
            <v>صلواتی</v>
          </cell>
          <cell r="O534">
            <v>7602</v>
          </cell>
          <cell r="AC534" t="str">
            <v>1405/03/26</v>
          </cell>
          <cell r="AF534">
            <v>3</v>
          </cell>
        </row>
        <row r="535">
          <cell r="D535" t="str">
            <v>صلواتی</v>
          </cell>
          <cell r="O535">
            <v>7603</v>
          </cell>
          <cell r="AC535" t="str">
            <v>1405/03/26</v>
          </cell>
          <cell r="AF535">
            <v>10</v>
          </cell>
        </row>
        <row r="536">
          <cell r="D536" t="str">
            <v>صلواتی</v>
          </cell>
          <cell r="O536">
            <v>7605</v>
          </cell>
          <cell r="AC536" t="str">
            <v>1405/03/26</v>
          </cell>
          <cell r="AF536">
            <v>10</v>
          </cell>
        </row>
        <row r="537">
          <cell r="D537" t="str">
            <v>صلواتی</v>
          </cell>
          <cell r="O537">
            <v>7602</v>
          </cell>
          <cell r="AC537" t="str">
            <v>1405/03/26</v>
          </cell>
          <cell r="AF537">
            <v>5</v>
          </cell>
        </row>
        <row r="538">
          <cell r="D538" t="str">
            <v>خیرخواه</v>
          </cell>
          <cell r="O538">
            <v>7401</v>
          </cell>
          <cell r="AC538" t="str">
            <v>1405/03/25</v>
          </cell>
          <cell r="AF538">
            <v>2.5</v>
          </cell>
        </row>
        <row r="539">
          <cell r="D539" t="str">
            <v>خیرخواه</v>
          </cell>
          <cell r="O539" t="str">
            <v>مونتاژ</v>
          </cell>
          <cell r="AC539" t="str">
            <v>1405/03/25</v>
          </cell>
          <cell r="AF539">
            <v>4</v>
          </cell>
        </row>
        <row r="540">
          <cell r="D540" t="str">
            <v>خیرخواه</v>
          </cell>
          <cell r="O540" t="str">
            <v>مونتاژ</v>
          </cell>
          <cell r="AC540" t="str">
            <v>1405/03/25</v>
          </cell>
          <cell r="AF540">
            <v>4</v>
          </cell>
        </row>
        <row r="541">
          <cell r="D541" t="str">
            <v>خیرخواه</v>
          </cell>
          <cell r="O541">
            <v>7401</v>
          </cell>
          <cell r="AC541" t="str">
            <v>1405/03/25</v>
          </cell>
          <cell r="AF541">
            <v>0.5</v>
          </cell>
        </row>
        <row r="542">
          <cell r="D542" t="str">
            <v>خیرخواه</v>
          </cell>
          <cell r="O542" t="str">
            <v>مونتاژ</v>
          </cell>
          <cell r="AC542" t="str">
            <v>1405/03/26</v>
          </cell>
          <cell r="AF542">
            <v>2.5</v>
          </cell>
        </row>
        <row r="543">
          <cell r="D543" t="str">
            <v>خیرخواه</v>
          </cell>
          <cell r="O543" t="str">
            <v>مونتاژ</v>
          </cell>
          <cell r="AC543" t="str">
            <v>1405/03/26</v>
          </cell>
          <cell r="AF543">
            <v>2.5</v>
          </cell>
        </row>
        <row r="544">
          <cell r="D544" t="str">
            <v>خیرخواه</v>
          </cell>
          <cell r="O544">
            <v>7401</v>
          </cell>
          <cell r="AC544" t="str">
            <v>1405/03/26</v>
          </cell>
          <cell r="AF544">
            <v>1</v>
          </cell>
        </row>
        <row r="545">
          <cell r="D545" t="str">
            <v>خیرخواه</v>
          </cell>
          <cell r="O545">
            <v>7401</v>
          </cell>
          <cell r="AC545" t="str">
            <v>1405/03/26</v>
          </cell>
          <cell r="AF545">
            <v>1</v>
          </cell>
        </row>
        <row r="546">
          <cell r="D546" t="str">
            <v>زیلویی</v>
          </cell>
          <cell r="O546">
            <v>7203</v>
          </cell>
          <cell r="AC546" t="str">
            <v>1405/03/26</v>
          </cell>
          <cell r="AF546">
            <v>11</v>
          </cell>
        </row>
        <row r="547">
          <cell r="D547" t="str">
            <v>باقری اصل</v>
          </cell>
          <cell r="O547">
            <v>7204</v>
          </cell>
          <cell r="AC547" t="str">
            <v>1405/03/27</v>
          </cell>
          <cell r="AF547">
            <v>2.5</v>
          </cell>
        </row>
        <row r="548">
          <cell r="D548" t="str">
            <v>باقری اصل</v>
          </cell>
          <cell r="O548">
            <v>7204</v>
          </cell>
          <cell r="AC548" t="str">
            <v>1405/03/27</v>
          </cell>
          <cell r="AF548">
            <v>4.5</v>
          </cell>
        </row>
        <row r="549">
          <cell r="D549" t="str">
            <v>کاظمی</v>
          </cell>
          <cell r="O549">
            <v>7202</v>
          </cell>
          <cell r="AC549" t="str">
            <v>1405/03/27</v>
          </cell>
          <cell r="AF549">
            <v>4.5</v>
          </cell>
        </row>
        <row r="550">
          <cell r="D550" t="str">
            <v>صحرایی</v>
          </cell>
          <cell r="O550">
            <v>8002</v>
          </cell>
          <cell r="AC550" t="str">
            <v>1405/03/27</v>
          </cell>
          <cell r="AF550">
            <v>7.5</v>
          </cell>
        </row>
        <row r="551">
          <cell r="D551" t="str">
            <v>یاراحمدی</v>
          </cell>
          <cell r="O551">
            <v>7502</v>
          </cell>
          <cell r="AC551" t="str">
            <v>1405/03/27</v>
          </cell>
          <cell r="AF551">
            <v>5</v>
          </cell>
        </row>
        <row r="552">
          <cell r="D552" t="str">
            <v>یاراحمدی</v>
          </cell>
          <cell r="O552">
            <v>7502</v>
          </cell>
          <cell r="AC552" t="str">
            <v>1405/03/27</v>
          </cell>
          <cell r="AF552">
            <v>6</v>
          </cell>
        </row>
        <row r="553">
          <cell r="D553" t="str">
            <v>موسوی</v>
          </cell>
          <cell r="O553">
            <v>7302</v>
          </cell>
          <cell r="AC553" t="str">
            <v>1405/03/27</v>
          </cell>
          <cell r="AF553">
            <v>5</v>
          </cell>
        </row>
        <row r="554">
          <cell r="D554" t="str">
            <v>موسوی</v>
          </cell>
          <cell r="O554">
            <v>7302</v>
          </cell>
          <cell r="AC554" t="str">
            <v>1405/03/27</v>
          </cell>
          <cell r="AF554">
            <v>2</v>
          </cell>
        </row>
        <row r="555">
          <cell r="D555" t="str">
            <v>موسوی</v>
          </cell>
          <cell r="O555">
            <v>7302</v>
          </cell>
          <cell r="AC555" t="str">
            <v>1405/03/27</v>
          </cell>
          <cell r="AF555">
            <v>2</v>
          </cell>
        </row>
        <row r="556">
          <cell r="D556" t="str">
            <v>زیلویی</v>
          </cell>
          <cell r="O556">
            <v>7203</v>
          </cell>
          <cell r="AC556" t="str">
            <v>1405/03/27</v>
          </cell>
          <cell r="AF556">
            <v>6.5</v>
          </cell>
        </row>
        <row r="557">
          <cell r="D557" t="str">
            <v>زیلویی</v>
          </cell>
          <cell r="O557">
            <v>7203</v>
          </cell>
          <cell r="AC557" t="str">
            <v>1405/03/27</v>
          </cell>
          <cell r="AF557">
            <v>2.5</v>
          </cell>
        </row>
        <row r="558">
          <cell r="D558" t="str">
            <v>زیلویی</v>
          </cell>
          <cell r="O558">
            <v>7203</v>
          </cell>
          <cell r="AC558" t="str">
            <v>1405/03/27</v>
          </cell>
          <cell r="AF558">
            <v>2</v>
          </cell>
        </row>
        <row r="559">
          <cell r="D559" t="str">
            <v>کریم پرست</v>
          </cell>
          <cell r="O559">
            <v>7301</v>
          </cell>
          <cell r="AC559" t="str">
            <v>1405/03/27</v>
          </cell>
          <cell r="AF559">
            <v>4</v>
          </cell>
        </row>
        <row r="560">
          <cell r="D560" t="str">
            <v>کریم پرست</v>
          </cell>
          <cell r="O560">
            <v>7301</v>
          </cell>
          <cell r="AC560" t="str">
            <v>1405/03/27</v>
          </cell>
          <cell r="AF560">
            <v>4</v>
          </cell>
        </row>
        <row r="561">
          <cell r="D561" t="str">
            <v>کریم پرست</v>
          </cell>
          <cell r="O561">
            <v>7301</v>
          </cell>
          <cell r="AC561" t="str">
            <v>1405/03/27</v>
          </cell>
          <cell r="AF561">
            <v>3</v>
          </cell>
        </row>
        <row r="562">
          <cell r="D562" t="str">
            <v>حیدری</v>
          </cell>
          <cell r="O562">
            <v>7101</v>
          </cell>
          <cell r="AC562" t="str">
            <v>1405/03/27</v>
          </cell>
          <cell r="AF562">
            <v>2</v>
          </cell>
        </row>
        <row r="563">
          <cell r="D563" t="str">
            <v>حیدری</v>
          </cell>
          <cell r="O563" t="str">
            <v>مونتاژ</v>
          </cell>
          <cell r="AC563" t="str">
            <v>1405/03/27</v>
          </cell>
          <cell r="AF563">
            <v>3.5</v>
          </cell>
        </row>
        <row r="564">
          <cell r="D564" t="str">
            <v>حیدری</v>
          </cell>
          <cell r="O564" t="str">
            <v>مونتاژ</v>
          </cell>
          <cell r="AC564" t="str">
            <v>1405/03/27</v>
          </cell>
          <cell r="AF564">
            <v>3.5</v>
          </cell>
        </row>
        <row r="565">
          <cell r="D565" t="str">
            <v>حیدری</v>
          </cell>
          <cell r="O565" t="str">
            <v>مونتاژ</v>
          </cell>
          <cell r="AC565" t="str">
            <v>1405/03/27</v>
          </cell>
          <cell r="AF565">
            <v>2</v>
          </cell>
        </row>
        <row r="566">
          <cell r="D566" t="str">
            <v>هاشم زاده</v>
          </cell>
          <cell r="O566" t="str">
            <v>مونتاژ</v>
          </cell>
          <cell r="AC566" t="str">
            <v>1405/03/27</v>
          </cell>
          <cell r="AF566">
            <v>2</v>
          </cell>
        </row>
        <row r="567">
          <cell r="D567" t="str">
            <v>هاشم زاده</v>
          </cell>
          <cell r="O567" t="str">
            <v>مونتاژ</v>
          </cell>
          <cell r="AC567" t="str">
            <v>1405/03/27</v>
          </cell>
          <cell r="AF567">
            <v>2</v>
          </cell>
        </row>
        <row r="568">
          <cell r="D568" t="str">
            <v>هاشم زاده</v>
          </cell>
          <cell r="O568" t="str">
            <v>مونتاژ</v>
          </cell>
          <cell r="AC568" t="str">
            <v>1405/03/27</v>
          </cell>
          <cell r="AF568">
            <v>3</v>
          </cell>
        </row>
        <row r="569">
          <cell r="D569" t="str">
            <v>هاشم زاده</v>
          </cell>
          <cell r="O569" t="str">
            <v>مونتاژ</v>
          </cell>
          <cell r="AC569" t="str">
            <v>1405/03/27</v>
          </cell>
          <cell r="AF569">
            <v>2</v>
          </cell>
        </row>
        <row r="570">
          <cell r="D570" t="str">
            <v>خیرخواه</v>
          </cell>
          <cell r="O570" t="str">
            <v>مونتاژ</v>
          </cell>
          <cell r="AC570" t="str">
            <v>1405/03/27</v>
          </cell>
          <cell r="AF570">
            <v>2</v>
          </cell>
        </row>
        <row r="571">
          <cell r="D571" t="str">
            <v>خیرخواه</v>
          </cell>
          <cell r="O571" t="str">
            <v>مونتاژ</v>
          </cell>
          <cell r="AC571" t="str">
            <v>1405/03/27</v>
          </cell>
          <cell r="AF571">
            <v>2</v>
          </cell>
        </row>
        <row r="572">
          <cell r="D572" t="str">
            <v>خیرخواه</v>
          </cell>
          <cell r="O572" t="str">
            <v>مونتاژ</v>
          </cell>
          <cell r="AC572" t="str">
            <v>1405/03/27</v>
          </cell>
          <cell r="AF572">
            <v>2</v>
          </cell>
        </row>
        <row r="573">
          <cell r="D573" t="str">
            <v>خیرخواه</v>
          </cell>
          <cell r="O573" t="str">
            <v>مونتاژ</v>
          </cell>
          <cell r="AC573" t="str">
            <v>1405/03/27</v>
          </cell>
          <cell r="AF573">
            <v>1</v>
          </cell>
        </row>
        <row r="574">
          <cell r="D574" t="str">
            <v>خیرخواه</v>
          </cell>
          <cell r="O574" t="str">
            <v>مونتاژ</v>
          </cell>
          <cell r="AC574" t="str">
            <v>1405/03/27</v>
          </cell>
          <cell r="AF574">
            <v>2</v>
          </cell>
        </row>
        <row r="575">
          <cell r="D575" t="str">
            <v>خیرخواه</v>
          </cell>
          <cell r="O575">
            <v>7401</v>
          </cell>
          <cell r="AC575" t="str">
            <v>1405/03/27</v>
          </cell>
          <cell r="AF575">
            <v>1</v>
          </cell>
        </row>
        <row r="576">
          <cell r="D576" t="str">
            <v>صلواتی</v>
          </cell>
          <cell r="O576">
            <v>7601</v>
          </cell>
          <cell r="AC576" t="str">
            <v>1405/03/27</v>
          </cell>
          <cell r="AF576">
            <v>12</v>
          </cell>
        </row>
        <row r="577">
          <cell r="D577" t="str">
            <v>صلواتی</v>
          </cell>
          <cell r="O577">
            <v>7605</v>
          </cell>
          <cell r="AC577" t="str">
            <v>1405/03/27</v>
          </cell>
          <cell r="AF577">
            <v>12</v>
          </cell>
        </row>
        <row r="578">
          <cell r="D578" t="str">
            <v>صلواتی</v>
          </cell>
          <cell r="O578">
            <v>7602</v>
          </cell>
          <cell r="AC578" t="str">
            <v>1405/03/27</v>
          </cell>
          <cell r="AF578">
            <v>12</v>
          </cell>
        </row>
        <row r="579">
          <cell r="D579" t="str">
            <v>صلواتی</v>
          </cell>
          <cell r="O579">
            <v>7603</v>
          </cell>
          <cell r="AC579" t="str">
            <v>1405/03/27</v>
          </cell>
          <cell r="AF579">
            <v>9</v>
          </cell>
        </row>
        <row r="580">
          <cell r="D580" t="str">
            <v>صلواتی</v>
          </cell>
          <cell r="O580">
            <v>7701</v>
          </cell>
          <cell r="AC580" t="str">
            <v>1405/03/27</v>
          </cell>
          <cell r="AF580">
            <v>7</v>
          </cell>
        </row>
        <row r="581">
          <cell r="D581" t="str">
            <v>فراهی</v>
          </cell>
          <cell r="O581">
            <v>7103</v>
          </cell>
          <cell r="AC581" t="str">
            <v>1405/03/27</v>
          </cell>
          <cell r="AF581">
            <v>6.5</v>
          </cell>
        </row>
        <row r="582">
          <cell r="D582" t="str">
            <v>باقری اصل</v>
          </cell>
          <cell r="O582">
            <v>7204</v>
          </cell>
          <cell r="AC582" t="str">
            <v>1405/03/28</v>
          </cell>
          <cell r="AF582">
            <v>6.5</v>
          </cell>
        </row>
        <row r="583">
          <cell r="D583" t="str">
            <v>کاظمی</v>
          </cell>
          <cell r="O583">
            <v>7202</v>
          </cell>
          <cell r="AC583" t="str">
            <v>1405/03/28</v>
          </cell>
          <cell r="AF583">
            <v>7.5</v>
          </cell>
        </row>
        <row r="584">
          <cell r="D584" t="str">
            <v>یاراحمدی</v>
          </cell>
          <cell r="O584">
            <v>7502</v>
          </cell>
          <cell r="AC584" t="str">
            <v>1405/03/28</v>
          </cell>
          <cell r="AF584">
            <v>7.5</v>
          </cell>
        </row>
        <row r="585">
          <cell r="D585" t="str">
            <v>صحرایی</v>
          </cell>
          <cell r="O585">
            <v>8002</v>
          </cell>
          <cell r="AC585" t="str">
            <v>1405/03/28</v>
          </cell>
          <cell r="AF585">
            <v>7.5</v>
          </cell>
        </row>
        <row r="586">
          <cell r="D586" t="str">
            <v>صحرایی</v>
          </cell>
          <cell r="O586">
            <v>7303</v>
          </cell>
          <cell r="AC586" t="str">
            <v>1405/03/28</v>
          </cell>
          <cell r="AF586">
            <v>2</v>
          </cell>
        </row>
        <row r="587">
          <cell r="D587" t="str">
            <v>قیطاسوند</v>
          </cell>
          <cell r="O587">
            <v>7102</v>
          </cell>
          <cell r="AC587" t="str">
            <v>1405/03/27</v>
          </cell>
          <cell r="AF587">
            <v>2.5</v>
          </cell>
        </row>
        <row r="588">
          <cell r="D588" t="str">
            <v>قیطاسوند</v>
          </cell>
          <cell r="O588">
            <v>7102</v>
          </cell>
          <cell r="AC588" t="str">
            <v>1405/03/27</v>
          </cell>
          <cell r="AF588">
            <v>8.5</v>
          </cell>
        </row>
        <row r="589">
          <cell r="D589" t="str">
            <v>قیطاسوند</v>
          </cell>
          <cell r="O589">
            <v>7102</v>
          </cell>
          <cell r="AC589" t="str">
            <v>1405/03/28</v>
          </cell>
          <cell r="AF589">
            <v>7.5</v>
          </cell>
        </row>
        <row r="590">
          <cell r="D590" t="str">
            <v>حیدری</v>
          </cell>
          <cell r="O590" t="str">
            <v>دمونتاژ</v>
          </cell>
          <cell r="AC590" t="str">
            <v>1405/03/28</v>
          </cell>
          <cell r="AF590">
            <v>2</v>
          </cell>
        </row>
        <row r="591">
          <cell r="D591" t="str">
            <v>حیدری</v>
          </cell>
          <cell r="O591">
            <v>7101</v>
          </cell>
          <cell r="AC591" t="str">
            <v>1405/03/28</v>
          </cell>
          <cell r="AF591">
            <v>1.5</v>
          </cell>
        </row>
        <row r="592">
          <cell r="D592" t="str">
            <v>حیدری</v>
          </cell>
          <cell r="O592">
            <v>7101</v>
          </cell>
          <cell r="AC592" t="str">
            <v>1405/03/28</v>
          </cell>
          <cell r="AF592">
            <v>2</v>
          </cell>
        </row>
        <row r="593">
          <cell r="D593" t="str">
            <v>حیدری</v>
          </cell>
          <cell r="O593" t="str">
            <v>نظافت</v>
          </cell>
          <cell r="AC593" t="str">
            <v>1405/03/28</v>
          </cell>
          <cell r="AF593">
            <v>1</v>
          </cell>
        </row>
        <row r="594">
          <cell r="D594" t="str">
            <v>هاشم زاده</v>
          </cell>
          <cell r="O594" t="str">
            <v>مونتاژ</v>
          </cell>
          <cell r="AC594" t="str">
            <v>1405/03/28</v>
          </cell>
          <cell r="AF594">
            <v>2</v>
          </cell>
        </row>
        <row r="595">
          <cell r="D595" t="str">
            <v>هاشم زاده</v>
          </cell>
          <cell r="O595" t="str">
            <v>دمونتاژ</v>
          </cell>
          <cell r="AC595" t="str">
            <v>1405/03/28</v>
          </cell>
          <cell r="AF595">
            <v>3</v>
          </cell>
        </row>
        <row r="596">
          <cell r="D596" t="str">
            <v>هاشم زاده</v>
          </cell>
          <cell r="O596">
            <v>8001</v>
          </cell>
          <cell r="AC596" t="str">
            <v>1405/03/28</v>
          </cell>
          <cell r="AF596">
            <v>2</v>
          </cell>
        </row>
        <row r="597">
          <cell r="D597" t="str">
            <v>هاشم زاده</v>
          </cell>
          <cell r="O597" t="str">
            <v>نظافت</v>
          </cell>
          <cell r="AC597" t="str">
            <v>1405/03/28</v>
          </cell>
          <cell r="AF597">
            <v>0.5</v>
          </cell>
        </row>
        <row r="598">
          <cell r="D598" t="str">
            <v>موسوی</v>
          </cell>
          <cell r="O598">
            <v>7302</v>
          </cell>
          <cell r="AC598" t="str">
            <v>1405/03/28</v>
          </cell>
          <cell r="AF598">
            <v>3.5</v>
          </cell>
        </row>
        <row r="599">
          <cell r="D599" t="str">
            <v>موسوی</v>
          </cell>
          <cell r="O599">
            <v>7302</v>
          </cell>
          <cell r="AC599" t="str">
            <v>1405/03/28</v>
          </cell>
          <cell r="AF599">
            <v>3</v>
          </cell>
        </row>
        <row r="600">
          <cell r="D600" t="str">
            <v>موسوی</v>
          </cell>
          <cell r="O600" t="str">
            <v>نظافت</v>
          </cell>
          <cell r="AC600" t="str">
            <v>1405/03/28</v>
          </cell>
          <cell r="AF600">
            <v>0.5</v>
          </cell>
        </row>
        <row r="601">
          <cell r="D601" t="str">
            <v>موسوی</v>
          </cell>
          <cell r="O601">
            <v>7302</v>
          </cell>
          <cell r="AC601" t="str">
            <v>1405/03/29</v>
          </cell>
          <cell r="AF601">
            <v>2</v>
          </cell>
        </row>
        <row r="602">
          <cell r="D602" t="str">
            <v>موسوی</v>
          </cell>
          <cell r="O602">
            <v>7302</v>
          </cell>
          <cell r="AC602" t="str">
            <v>1405/03/29</v>
          </cell>
          <cell r="AF602">
            <v>4</v>
          </cell>
        </row>
        <row r="603">
          <cell r="D603" t="str">
            <v>خیرخواه</v>
          </cell>
          <cell r="O603">
            <v>7401</v>
          </cell>
          <cell r="AC603" t="str">
            <v>1405/03/28</v>
          </cell>
          <cell r="AF603">
            <v>4</v>
          </cell>
        </row>
        <row r="604">
          <cell r="D604" t="str">
            <v>خیرخواه</v>
          </cell>
          <cell r="O604" t="str">
            <v>مونتاژ</v>
          </cell>
          <cell r="AC604" t="str">
            <v>1405/03/28</v>
          </cell>
          <cell r="AF604">
            <v>3</v>
          </cell>
        </row>
        <row r="605">
          <cell r="D605" t="str">
            <v>خیرخواه</v>
          </cell>
          <cell r="O605" t="str">
            <v>نظافت</v>
          </cell>
          <cell r="AC605" t="str">
            <v>1405/03/28</v>
          </cell>
          <cell r="AF605">
            <v>0.5</v>
          </cell>
        </row>
        <row r="606">
          <cell r="D606" t="str">
            <v>خیرخواه</v>
          </cell>
          <cell r="O606">
            <v>7401</v>
          </cell>
          <cell r="AC606" t="str">
            <v>1405/03/29</v>
          </cell>
          <cell r="AF606">
            <v>1</v>
          </cell>
        </row>
        <row r="607">
          <cell r="D607" t="str">
            <v>خیرخواه</v>
          </cell>
          <cell r="O607">
            <v>7401</v>
          </cell>
          <cell r="AC607" t="str">
            <v>1405/03/29</v>
          </cell>
          <cell r="AF607">
            <v>1</v>
          </cell>
        </row>
        <row r="608">
          <cell r="D608" t="str">
            <v>خیرخواه</v>
          </cell>
          <cell r="O608">
            <v>7101</v>
          </cell>
          <cell r="AC608" t="str">
            <v>1405/03/29</v>
          </cell>
          <cell r="AF608">
            <v>1</v>
          </cell>
        </row>
        <row r="609">
          <cell r="D609" t="str">
            <v>خیرخواه</v>
          </cell>
          <cell r="O609" t="str">
            <v>مونتاژ</v>
          </cell>
          <cell r="AC609" t="str">
            <v>1405/03/29</v>
          </cell>
          <cell r="AF609">
            <v>3.5</v>
          </cell>
        </row>
        <row r="610">
          <cell r="D610" t="str">
            <v>صلواتی</v>
          </cell>
          <cell r="O610">
            <v>7601</v>
          </cell>
          <cell r="AC610" t="str">
            <v>1405/03/28</v>
          </cell>
          <cell r="AF610">
            <v>4</v>
          </cell>
        </row>
        <row r="611">
          <cell r="D611" t="str">
            <v>صلواتی</v>
          </cell>
          <cell r="O611">
            <v>7601</v>
          </cell>
          <cell r="AC611" t="str">
            <v>1405/03/28</v>
          </cell>
          <cell r="AF611">
            <v>4</v>
          </cell>
        </row>
        <row r="612">
          <cell r="D612" t="str">
            <v>صلواتی</v>
          </cell>
          <cell r="O612">
            <v>7601</v>
          </cell>
          <cell r="AC612" t="str">
            <v>1405/03/28</v>
          </cell>
          <cell r="AF612">
            <v>4</v>
          </cell>
        </row>
        <row r="613">
          <cell r="D613" t="str">
            <v>صلواتی</v>
          </cell>
          <cell r="O613">
            <v>7605</v>
          </cell>
          <cell r="AC613" t="str">
            <v>1405/03/28</v>
          </cell>
          <cell r="AF613">
            <v>5</v>
          </cell>
        </row>
        <row r="614">
          <cell r="D614" t="str">
            <v>صلواتی</v>
          </cell>
          <cell r="O614">
            <v>7602</v>
          </cell>
          <cell r="AC614" t="str">
            <v>1405/03/28</v>
          </cell>
          <cell r="AF614">
            <v>4</v>
          </cell>
        </row>
        <row r="615">
          <cell r="D615" t="str">
            <v>صلواتی</v>
          </cell>
          <cell r="O615">
            <v>7605</v>
          </cell>
          <cell r="AC615" t="str">
            <v>1405/03/28</v>
          </cell>
          <cell r="AF615">
            <v>3</v>
          </cell>
        </row>
        <row r="616">
          <cell r="D616" t="str">
            <v>صلواتی</v>
          </cell>
          <cell r="O616">
            <v>7603</v>
          </cell>
          <cell r="AC616" t="str">
            <v>1405/03/28</v>
          </cell>
          <cell r="AF616">
            <v>8</v>
          </cell>
        </row>
        <row r="617">
          <cell r="D617" t="str">
            <v>زیلویی</v>
          </cell>
          <cell r="O617">
            <v>7203</v>
          </cell>
          <cell r="AC617" t="str">
            <v>1405/03/28</v>
          </cell>
          <cell r="AF617">
            <v>7.5</v>
          </cell>
        </row>
        <row r="618">
          <cell r="D618" t="str">
            <v>کریم پرست</v>
          </cell>
          <cell r="O618">
            <v>7301</v>
          </cell>
          <cell r="AC618" t="str">
            <v>1405/03/28</v>
          </cell>
          <cell r="AF618">
            <v>5.75</v>
          </cell>
        </row>
        <row r="619">
          <cell r="D619" t="str">
            <v>کریم پرست</v>
          </cell>
          <cell r="O619">
            <v>7301</v>
          </cell>
          <cell r="AC619" t="str">
            <v>1405/03/30</v>
          </cell>
          <cell r="AF619">
            <v>5.75</v>
          </cell>
        </row>
        <row r="620">
          <cell r="D620" t="str">
            <v>کاظمی</v>
          </cell>
          <cell r="O620">
            <v>7202</v>
          </cell>
          <cell r="AC620" t="str">
            <v>1405/03/30</v>
          </cell>
          <cell r="AF620">
            <v>5.5</v>
          </cell>
        </row>
        <row r="621">
          <cell r="D621" t="str">
            <v>کاظمی</v>
          </cell>
          <cell r="O621">
            <v>7202</v>
          </cell>
          <cell r="AC621" t="str">
            <v>1405/03/30</v>
          </cell>
          <cell r="AF621">
            <v>5.5</v>
          </cell>
        </row>
        <row r="622">
          <cell r="D622" t="str">
            <v>زیلویی</v>
          </cell>
          <cell r="O622">
            <v>7203</v>
          </cell>
          <cell r="AC622" t="str">
            <v>1405/03/30</v>
          </cell>
          <cell r="AF622">
            <v>11</v>
          </cell>
        </row>
        <row r="623">
          <cell r="D623" t="str">
            <v>باقری اصل</v>
          </cell>
          <cell r="O623">
            <v>7204</v>
          </cell>
          <cell r="AC623" t="str">
            <v>1405/03/30</v>
          </cell>
          <cell r="AF623">
            <v>11</v>
          </cell>
        </row>
        <row r="624">
          <cell r="D624" t="str">
            <v>فراهی</v>
          </cell>
          <cell r="O624">
            <v>7103</v>
          </cell>
          <cell r="AC624" t="str">
            <v>1405/03/30</v>
          </cell>
          <cell r="AF624">
            <v>4.333333333333333</v>
          </cell>
        </row>
        <row r="625">
          <cell r="D625" t="str">
            <v>فراهی</v>
          </cell>
          <cell r="O625" t="str">
            <v>مونتاژ</v>
          </cell>
          <cell r="AC625" t="str">
            <v>1405/03/30</v>
          </cell>
          <cell r="AF625">
            <v>1.5</v>
          </cell>
        </row>
        <row r="626">
          <cell r="D626" t="str">
            <v>یاراحمدی</v>
          </cell>
          <cell r="O626">
            <v>7502</v>
          </cell>
          <cell r="AC626" t="str">
            <v>1405/03/30</v>
          </cell>
          <cell r="AF626">
            <v>11</v>
          </cell>
        </row>
        <row r="627">
          <cell r="D627" t="str">
            <v>صحرایی</v>
          </cell>
          <cell r="O627">
            <v>8002</v>
          </cell>
          <cell r="AC627" t="str">
            <v>1405/03/30</v>
          </cell>
          <cell r="AF627">
            <v>7.5</v>
          </cell>
        </row>
        <row r="628">
          <cell r="D628" t="str">
            <v>صحرایی</v>
          </cell>
          <cell r="O628" t="str">
            <v>مونتاژ</v>
          </cell>
          <cell r="AC628" t="str">
            <v>1405/03/30</v>
          </cell>
          <cell r="AF628">
            <v>3</v>
          </cell>
        </row>
        <row r="629">
          <cell r="D629" t="str">
            <v>موسوی</v>
          </cell>
          <cell r="O629">
            <v>7302</v>
          </cell>
          <cell r="AC629" t="str">
            <v>1405/03/30</v>
          </cell>
          <cell r="AF629">
            <v>8</v>
          </cell>
        </row>
        <row r="630">
          <cell r="D630" t="str">
            <v>موسوی</v>
          </cell>
          <cell r="O630">
            <v>7302</v>
          </cell>
          <cell r="AC630" t="str">
            <v>1405/03/30</v>
          </cell>
          <cell r="AF630">
            <v>3</v>
          </cell>
        </row>
        <row r="631">
          <cell r="D631" t="str">
            <v>قیطاسوند</v>
          </cell>
          <cell r="O631">
            <v>7102</v>
          </cell>
          <cell r="AC631" t="str">
            <v>1405/03/30</v>
          </cell>
          <cell r="AF631">
            <v>11</v>
          </cell>
        </row>
        <row r="632">
          <cell r="D632" t="str">
            <v>کریم پرست</v>
          </cell>
          <cell r="O632">
            <v>7301</v>
          </cell>
          <cell r="AC632" t="str">
            <v>1405/03/30</v>
          </cell>
          <cell r="AF632">
            <v>2</v>
          </cell>
        </row>
        <row r="633">
          <cell r="D633" t="str">
            <v>کریم پرست</v>
          </cell>
          <cell r="O633">
            <v>7301</v>
          </cell>
          <cell r="AC633" t="str">
            <v>1405/03/30</v>
          </cell>
          <cell r="AF633">
            <v>2</v>
          </cell>
        </row>
        <row r="634">
          <cell r="D634" t="str">
            <v>کریم پرست</v>
          </cell>
          <cell r="O634">
            <v>7301</v>
          </cell>
          <cell r="AC634" t="str">
            <v>1405/03/30</v>
          </cell>
          <cell r="AF634">
            <v>1</v>
          </cell>
        </row>
        <row r="635">
          <cell r="D635" t="str">
            <v>صلواتی</v>
          </cell>
          <cell r="O635">
            <v>7602</v>
          </cell>
          <cell r="AC635" t="str">
            <v>1405/03/30</v>
          </cell>
          <cell r="AF635">
            <v>4</v>
          </cell>
        </row>
        <row r="636">
          <cell r="D636" t="str">
            <v>صلواتی</v>
          </cell>
          <cell r="O636">
            <v>7603</v>
          </cell>
          <cell r="AC636" t="str">
            <v>1405/03/30</v>
          </cell>
          <cell r="AF636">
            <v>12</v>
          </cell>
        </row>
        <row r="637">
          <cell r="D637" t="str">
            <v>صلواتی</v>
          </cell>
          <cell r="O637">
            <v>7605</v>
          </cell>
          <cell r="AC637" t="str">
            <v>1405/03/30</v>
          </cell>
          <cell r="AF637">
            <v>10</v>
          </cell>
        </row>
        <row r="638">
          <cell r="D638" t="str">
            <v>صلواتی</v>
          </cell>
          <cell r="O638">
            <v>7701</v>
          </cell>
          <cell r="AC638" t="str">
            <v>1405/03/30</v>
          </cell>
          <cell r="AF638">
            <v>7</v>
          </cell>
        </row>
        <row r="639">
          <cell r="D639" t="str">
            <v>هاشم زاده</v>
          </cell>
          <cell r="O639" t="str">
            <v>دمونتاژ</v>
          </cell>
          <cell r="AC639" t="str">
            <v>1405/03/30</v>
          </cell>
          <cell r="AF639">
            <v>3</v>
          </cell>
        </row>
        <row r="640">
          <cell r="D640" t="str">
            <v>هاشم زاده</v>
          </cell>
          <cell r="O640" t="str">
            <v>مونتاژ</v>
          </cell>
          <cell r="AC640" t="str">
            <v>1405/03/30</v>
          </cell>
          <cell r="AF640">
            <v>5</v>
          </cell>
        </row>
        <row r="641">
          <cell r="D641" t="str">
            <v>هاشم زاده</v>
          </cell>
          <cell r="O641">
            <v>8001</v>
          </cell>
          <cell r="AC641" t="str">
            <v>1405/03/30</v>
          </cell>
          <cell r="AF641">
            <v>2</v>
          </cell>
        </row>
        <row r="642">
          <cell r="D642" t="str">
            <v>حیدری</v>
          </cell>
          <cell r="O642">
            <v>7401</v>
          </cell>
          <cell r="AC642" t="str">
            <v>1405/03/30</v>
          </cell>
          <cell r="AF642">
            <v>3</v>
          </cell>
        </row>
        <row r="643">
          <cell r="D643" t="str">
            <v>حیدری</v>
          </cell>
          <cell r="O643">
            <v>7401</v>
          </cell>
          <cell r="AC643" t="str">
            <v>1405/03/30</v>
          </cell>
          <cell r="AF643">
            <v>4</v>
          </cell>
        </row>
        <row r="644">
          <cell r="D644" t="str">
            <v>حیدری</v>
          </cell>
          <cell r="O644">
            <v>7101</v>
          </cell>
          <cell r="AC644" t="str">
            <v>1405/03/30</v>
          </cell>
          <cell r="AF644">
            <v>4</v>
          </cell>
        </row>
        <row r="645">
          <cell r="D645" t="str">
            <v>خیرخواه</v>
          </cell>
          <cell r="O645" t="str">
            <v>مونتاژ</v>
          </cell>
          <cell r="AC645" t="str">
            <v>1405/03/30</v>
          </cell>
          <cell r="AF645">
            <v>3</v>
          </cell>
        </row>
        <row r="646">
          <cell r="D646" t="str">
            <v>خیرخواه</v>
          </cell>
          <cell r="O646">
            <v>7401</v>
          </cell>
          <cell r="AC646" t="str">
            <v>1405/03/30</v>
          </cell>
          <cell r="AF646">
            <v>1.5</v>
          </cell>
        </row>
        <row r="647">
          <cell r="D647" t="str">
            <v>خیرخواه</v>
          </cell>
          <cell r="O647" t="str">
            <v>مونتاژ</v>
          </cell>
          <cell r="AC647" t="str">
            <v>1405/03/30</v>
          </cell>
          <cell r="AF647">
            <v>1</v>
          </cell>
        </row>
        <row r="648">
          <cell r="D648" t="str">
            <v>خیرخواه</v>
          </cell>
          <cell r="O648" t="str">
            <v>دمونتاژ</v>
          </cell>
          <cell r="AC648" t="str">
            <v>1405/03/30</v>
          </cell>
          <cell r="AF648">
            <v>1</v>
          </cell>
        </row>
        <row r="649">
          <cell r="D649" t="str">
            <v>خیرخواه</v>
          </cell>
          <cell r="O649">
            <v>7401</v>
          </cell>
          <cell r="AC649" t="str">
            <v>1405/03/30</v>
          </cell>
          <cell r="AF649">
            <v>1</v>
          </cell>
        </row>
        <row r="650">
          <cell r="D650" t="str">
            <v>خیرخواه</v>
          </cell>
          <cell r="O650" t="str">
            <v>مونتاژ</v>
          </cell>
          <cell r="AC650" t="str">
            <v>1405/03/30</v>
          </cell>
          <cell r="AF650">
            <v>1</v>
          </cell>
        </row>
        <row r="651">
          <cell r="D651" t="str">
            <v>خیرخواه</v>
          </cell>
          <cell r="O651" t="str">
            <v>مونتاژ</v>
          </cell>
          <cell r="AC651" t="str">
            <v>1405/03/31</v>
          </cell>
          <cell r="AF651">
            <v>1</v>
          </cell>
        </row>
        <row r="652">
          <cell r="D652" t="str">
            <v>خیرخواه</v>
          </cell>
          <cell r="O652" t="str">
            <v>مونتاژ</v>
          </cell>
          <cell r="AC652" t="str">
            <v>1405/03/31</v>
          </cell>
          <cell r="AF652">
            <v>3</v>
          </cell>
        </row>
        <row r="653">
          <cell r="D653" t="str">
            <v>خیرخواه</v>
          </cell>
          <cell r="O653">
            <v>7401</v>
          </cell>
          <cell r="AC653" t="str">
            <v>1405/03/31</v>
          </cell>
          <cell r="AF653">
            <v>4</v>
          </cell>
        </row>
        <row r="654">
          <cell r="D654" t="str">
            <v>فراهی</v>
          </cell>
          <cell r="O654">
            <v>7103</v>
          </cell>
          <cell r="AC654" t="str">
            <v>1405/03/31</v>
          </cell>
          <cell r="AF654">
            <v>5</v>
          </cell>
        </row>
        <row r="655">
          <cell r="D655" t="str">
            <v>یاراحمدی</v>
          </cell>
          <cell r="O655">
            <v>7502</v>
          </cell>
          <cell r="AC655" t="str">
            <v>1405/03/31</v>
          </cell>
          <cell r="AF655">
            <v>9</v>
          </cell>
        </row>
        <row r="656">
          <cell r="D656" t="str">
            <v>یاراحمدی</v>
          </cell>
          <cell r="O656">
            <v>7502</v>
          </cell>
          <cell r="AC656" t="str">
            <v>1405/03/31</v>
          </cell>
          <cell r="AF656">
            <v>2</v>
          </cell>
        </row>
        <row r="657">
          <cell r="D657" t="str">
            <v>قیطاسوند</v>
          </cell>
          <cell r="O657">
            <v>7102</v>
          </cell>
          <cell r="AC657" t="str">
            <v>1405/03/31</v>
          </cell>
          <cell r="AF657">
            <v>5.5</v>
          </cell>
        </row>
        <row r="658">
          <cell r="D658" t="str">
            <v>قیطاسوند</v>
          </cell>
          <cell r="O658">
            <v>7102</v>
          </cell>
          <cell r="AC658" t="str">
            <v>1405/03/31</v>
          </cell>
          <cell r="AF658">
            <v>5.5</v>
          </cell>
        </row>
        <row r="659">
          <cell r="D659" t="str">
            <v>حیدری</v>
          </cell>
          <cell r="O659" t="str">
            <v>مونتاژ</v>
          </cell>
          <cell r="AC659" t="str">
            <v>1405/03/31</v>
          </cell>
          <cell r="AF659">
            <v>11</v>
          </cell>
        </row>
        <row r="660">
          <cell r="D660" t="str">
            <v>کاظمی</v>
          </cell>
          <cell r="O660">
            <v>7202</v>
          </cell>
          <cell r="AC660" t="str">
            <v>1405/03/31</v>
          </cell>
          <cell r="AF660">
            <v>11</v>
          </cell>
        </row>
        <row r="661">
          <cell r="D661" t="str">
            <v>باقری اصل</v>
          </cell>
          <cell r="O661">
            <v>7204</v>
          </cell>
          <cell r="AC661" t="str">
            <v>1405/03/31</v>
          </cell>
          <cell r="AF661">
            <v>8</v>
          </cell>
        </row>
        <row r="662">
          <cell r="D662" t="str">
            <v>باقری اصل</v>
          </cell>
          <cell r="O662">
            <v>7204</v>
          </cell>
          <cell r="AC662" t="str">
            <v>1405/03/31</v>
          </cell>
          <cell r="AF662">
            <v>3</v>
          </cell>
        </row>
        <row r="663">
          <cell r="D663" t="str">
            <v>موسوی</v>
          </cell>
          <cell r="O663">
            <v>7302</v>
          </cell>
          <cell r="AC663" t="str">
            <v>1405/03/31</v>
          </cell>
          <cell r="AF663">
            <v>7.5</v>
          </cell>
        </row>
        <row r="664">
          <cell r="D664" t="str">
            <v>موسوی</v>
          </cell>
          <cell r="O664">
            <v>7302</v>
          </cell>
          <cell r="AC664" t="str">
            <v>1405/03/31</v>
          </cell>
          <cell r="AF664">
            <v>1.5</v>
          </cell>
        </row>
        <row r="665">
          <cell r="D665" t="str">
            <v>موسوی</v>
          </cell>
          <cell r="O665">
            <v>7302</v>
          </cell>
          <cell r="AC665" t="str">
            <v>1405/03/31</v>
          </cell>
          <cell r="AF665">
            <v>2</v>
          </cell>
        </row>
        <row r="666">
          <cell r="D666" t="str">
            <v>صلواتی</v>
          </cell>
          <cell r="O666">
            <v>7603</v>
          </cell>
          <cell r="AC666" t="str">
            <v>1405/03/31</v>
          </cell>
          <cell r="AF666">
            <v>12</v>
          </cell>
        </row>
        <row r="667">
          <cell r="D667" t="str">
            <v>صلواتی</v>
          </cell>
          <cell r="O667">
            <v>7602</v>
          </cell>
          <cell r="AC667" t="str">
            <v>1405/03/31</v>
          </cell>
          <cell r="AF667">
            <v>5</v>
          </cell>
        </row>
        <row r="668">
          <cell r="D668" t="str">
            <v>صلواتی</v>
          </cell>
          <cell r="O668">
            <v>7701</v>
          </cell>
          <cell r="AC668" t="str">
            <v>1405/03/31</v>
          </cell>
          <cell r="AF668">
            <v>4</v>
          </cell>
        </row>
        <row r="669">
          <cell r="D669" t="str">
            <v>صلواتی</v>
          </cell>
          <cell r="O669">
            <v>7605</v>
          </cell>
          <cell r="AC669" t="str">
            <v>1405/03/31</v>
          </cell>
          <cell r="AF669">
            <v>3</v>
          </cell>
        </row>
        <row r="670">
          <cell r="D670" t="str">
            <v>هاشم زاده</v>
          </cell>
          <cell r="O670">
            <v>8001</v>
          </cell>
          <cell r="AC670" t="str">
            <v>1405/03/31</v>
          </cell>
          <cell r="AF670">
            <v>2</v>
          </cell>
        </row>
        <row r="671">
          <cell r="D671" t="str">
            <v>هاشم زاده</v>
          </cell>
          <cell r="O671" t="str">
            <v>مونتاژ</v>
          </cell>
          <cell r="AC671" t="str">
            <v>1405/03/31</v>
          </cell>
          <cell r="AF671">
            <v>3</v>
          </cell>
        </row>
        <row r="672">
          <cell r="D672" t="str">
            <v>هاشم زاده</v>
          </cell>
          <cell r="O672" t="str">
            <v>مونتاژ</v>
          </cell>
          <cell r="AC672" t="str">
            <v>1405/03/31</v>
          </cell>
          <cell r="AF672">
            <v>3</v>
          </cell>
        </row>
        <row r="673">
          <cell r="D673" t="str">
            <v>هاشم زاده</v>
          </cell>
          <cell r="O673" t="str">
            <v>مونتاژ</v>
          </cell>
          <cell r="AC673" t="str">
            <v>1405/03/31</v>
          </cell>
          <cell r="AF673">
            <v>3</v>
          </cell>
        </row>
        <row r="674">
          <cell r="D674" t="str">
            <v>کریم پرست</v>
          </cell>
          <cell r="O674">
            <v>7301</v>
          </cell>
          <cell r="AC674" t="str">
            <v>1405/03/31</v>
          </cell>
          <cell r="AF674">
            <v>3</v>
          </cell>
        </row>
        <row r="675">
          <cell r="D675" t="str">
            <v>کریم پرست</v>
          </cell>
          <cell r="O675">
            <v>7301</v>
          </cell>
          <cell r="AC675" t="str">
            <v>1405/03/31</v>
          </cell>
          <cell r="AF675">
            <v>3</v>
          </cell>
        </row>
        <row r="676">
          <cell r="D676" t="str">
            <v>کریم پرست</v>
          </cell>
          <cell r="O676">
            <v>7301</v>
          </cell>
          <cell r="AC676" t="str">
            <v>1405/03/31</v>
          </cell>
          <cell r="AF676">
            <v>5</v>
          </cell>
        </row>
        <row r="677">
          <cell r="D677" t="str">
            <v>زیلویی</v>
          </cell>
          <cell r="O677">
            <v>7203</v>
          </cell>
          <cell r="AC677" t="str">
            <v>1405/03/31</v>
          </cell>
          <cell r="AF677">
            <v>5.5</v>
          </cell>
        </row>
        <row r="678">
          <cell r="D678" t="str">
            <v>زیلویی</v>
          </cell>
          <cell r="O678">
            <v>7203</v>
          </cell>
          <cell r="AC678" t="str">
            <v>1405/03/31</v>
          </cell>
          <cell r="AF678">
            <v>5.5</v>
          </cell>
        </row>
      </sheetData>
      <sheetData sheetId="3">
        <row r="2">
          <cell r="D2" t="str">
            <v>زیلویی</v>
          </cell>
          <cell r="O2">
            <v>7203</v>
          </cell>
          <cell r="AC2" t="str">
            <v>1405/04/01</v>
          </cell>
          <cell r="AF2">
            <v>2</v>
          </cell>
        </row>
        <row r="3">
          <cell r="D3" t="str">
            <v>زیلویی</v>
          </cell>
          <cell r="O3">
            <v>7203</v>
          </cell>
          <cell r="AC3" t="str">
            <v>1405/04/01</v>
          </cell>
          <cell r="AF3">
            <v>9</v>
          </cell>
        </row>
        <row r="4">
          <cell r="D4" t="str">
            <v>صلواتی</v>
          </cell>
          <cell r="O4">
            <v>7603</v>
          </cell>
          <cell r="AC4" t="str">
            <v>1405/04/01</v>
          </cell>
          <cell r="AF4">
            <v>10</v>
          </cell>
        </row>
        <row r="5">
          <cell r="D5" t="str">
            <v>صلواتی</v>
          </cell>
          <cell r="O5" t="str">
            <v>دمونتاژ</v>
          </cell>
          <cell r="AC5" t="str">
            <v>1405/04/01</v>
          </cell>
          <cell r="AF5">
            <v>1</v>
          </cell>
        </row>
        <row r="6">
          <cell r="D6" t="str">
            <v>حیدری</v>
          </cell>
          <cell r="O6" t="str">
            <v>مونتاژ</v>
          </cell>
          <cell r="AC6" t="str">
            <v>1405/04/01</v>
          </cell>
          <cell r="AF6">
            <v>5.5</v>
          </cell>
        </row>
        <row r="7">
          <cell r="D7" t="str">
            <v>حیدری</v>
          </cell>
          <cell r="O7">
            <v>7101</v>
          </cell>
          <cell r="AC7" t="str">
            <v>1405/04/01</v>
          </cell>
          <cell r="AF7">
            <v>5.5</v>
          </cell>
        </row>
        <row r="8">
          <cell r="D8" t="str">
            <v>باقری اصل</v>
          </cell>
          <cell r="O8">
            <v>7204</v>
          </cell>
          <cell r="AC8" t="str">
            <v>1405/04/01</v>
          </cell>
          <cell r="AF8">
            <v>10.333333333333334</v>
          </cell>
        </row>
        <row r="9">
          <cell r="D9" t="str">
            <v>یاراحمدی</v>
          </cell>
          <cell r="O9">
            <v>7502</v>
          </cell>
          <cell r="AC9" t="str">
            <v>1405/04/01</v>
          </cell>
          <cell r="AF9">
            <v>11</v>
          </cell>
        </row>
        <row r="10">
          <cell r="D10" t="str">
            <v>یاراحمدی</v>
          </cell>
          <cell r="O10">
            <v>7501</v>
          </cell>
          <cell r="AC10" t="str">
            <v>1405/04/01</v>
          </cell>
          <cell r="AF10">
            <v>2</v>
          </cell>
        </row>
        <row r="11">
          <cell r="D11" t="str">
            <v>خیرخواه</v>
          </cell>
          <cell r="O11">
            <v>7401</v>
          </cell>
          <cell r="AC11" t="str">
            <v>1405/04/01</v>
          </cell>
          <cell r="AF11">
            <v>3</v>
          </cell>
        </row>
        <row r="12">
          <cell r="D12" t="str">
            <v>خیرخواه</v>
          </cell>
          <cell r="O12" t="str">
            <v>دمونتاژ</v>
          </cell>
          <cell r="AC12" t="str">
            <v>1405/04/01</v>
          </cell>
          <cell r="AF12">
            <v>3</v>
          </cell>
        </row>
        <row r="13">
          <cell r="D13" t="str">
            <v>خیرخواه</v>
          </cell>
          <cell r="O13" t="str">
            <v>دمونتاژ</v>
          </cell>
          <cell r="AC13" t="str">
            <v>1405/04/01</v>
          </cell>
          <cell r="AF13">
            <v>2</v>
          </cell>
        </row>
        <row r="14">
          <cell r="D14" t="str">
            <v>هاشم زاده</v>
          </cell>
          <cell r="O14" t="str">
            <v>دمونتاژ</v>
          </cell>
          <cell r="AC14" t="str">
            <v>1405/04/01</v>
          </cell>
          <cell r="AF14">
            <v>2</v>
          </cell>
        </row>
        <row r="15">
          <cell r="D15" t="str">
            <v>هاشم زاده</v>
          </cell>
          <cell r="O15" t="str">
            <v>دمونتاژ</v>
          </cell>
          <cell r="AC15" t="str">
            <v>1405/04/01</v>
          </cell>
          <cell r="AF15">
            <v>4</v>
          </cell>
        </row>
        <row r="16">
          <cell r="D16" t="str">
            <v>هاشم زاده</v>
          </cell>
          <cell r="O16">
            <v>8001</v>
          </cell>
          <cell r="AC16" t="str">
            <v>1405/04/01</v>
          </cell>
          <cell r="AF16">
            <v>2</v>
          </cell>
        </row>
        <row r="17">
          <cell r="D17" t="str">
            <v>موسوی</v>
          </cell>
          <cell r="O17">
            <v>7302</v>
          </cell>
          <cell r="AC17" t="str">
            <v>1405/04/01</v>
          </cell>
          <cell r="AF17">
            <v>2</v>
          </cell>
        </row>
        <row r="18">
          <cell r="D18" t="str">
            <v>موسوی</v>
          </cell>
          <cell r="O18">
            <v>7302</v>
          </cell>
          <cell r="AC18" t="str">
            <v>1405/04/01</v>
          </cell>
          <cell r="AF18">
            <v>3.5</v>
          </cell>
        </row>
        <row r="19">
          <cell r="D19" t="str">
            <v>موسوی</v>
          </cell>
          <cell r="O19">
            <v>7302</v>
          </cell>
          <cell r="AC19" t="str">
            <v>1405/04/01</v>
          </cell>
          <cell r="AF19">
            <v>3.5</v>
          </cell>
        </row>
        <row r="20">
          <cell r="D20" t="str">
            <v>موسوی</v>
          </cell>
          <cell r="O20">
            <v>7302</v>
          </cell>
          <cell r="AC20" t="str">
            <v>1405/04/01</v>
          </cell>
          <cell r="AF20">
            <v>2</v>
          </cell>
        </row>
        <row r="21">
          <cell r="D21" t="str">
            <v>قیطاسوند</v>
          </cell>
          <cell r="O21">
            <v>7102</v>
          </cell>
          <cell r="AC21" t="str">
            <v>1405/04/01</v>
          </cell>
          <cell r="AF21">
            <v>11</v>
          </cell>
        </row>
        <row r="22">
          <cell r="D22" t="str">
            <v>فراهی</v>
          </cell>
          <cell r="O22">
            <v>7103</v>
          </cell>
          <cell r="AC22" t="str">
            <v>1405/04/01</v>
          </cell>
          <cell r="AF22">
            <v>6.333333333333333</v>
          </cell>
        </row>
        <row r="23">
          <cell r="D23" t="str">
            <v>کریم پرست</v>
          </cell>
          <cell r="O23">
            <v>7301</v>
          </cell>
          <cell r="AC23" t="str">
            <v>1405/04/01</v>
          </cell>
          <cell r="AF23">
            <v>3.3333333333333335</v>
          </cell>
        </row>
        <row r="24">
          <cell r="D24" t="str">
            <v>کریم پرست</v>
          </cell>
          <cell r="O24">
            <v>7301</v>
          </cell>
          <cell r="AC24" t="str">
            <v>1405/04/01</v>
          </cell>
          <cell r="AF24">
            <v>7</v>
          </cell>
        </row>
        <row r="25">
          <cell r="D25" t="str">
            <v>کریم پرست</v>
          </cell>
          <cell r="O25">
            <v>7301</v>
          </cell>
          <cell r="AC25" t="str">
            <v>1405/04/01</v>
          </cell>
          <cell r="AF25">
            <v>1</v>
          </cell>
        </row>
        <row r="26">
          <cell r="D26" t="str">
            <v>قیطاسوند</v>
          </cell>
          <cell r="O26">
            <v>7102</v>
          </cell>
          <cell r="AC26" t="str">
            <v>1405/04/02</v>
          </cell>
          <cell r="AF26">
            <v>6</v>
          </cell>
        </row>
        <row r="27">
          <cell r="D27" t="str">
            <v>فراهی</v>
          </cell>
          <cell r="O27">
            <v>7103</v>
          </cell>
          <cell r="AC27" t="str">
            <v>1405/04/02</v>
          </cell>
          <cell r="AF27">
            <v>5.833333333333333</v>
          </cell>
        </row>
        <row r="28">
          <cell r="D28" t="str">
            <v>کریم پرست</v>
          </cell>
          <cell r="O28">
            <v>7301</v>
          </cell>
          <cell r="AC28" t="str">
            <v>1405/04/02</v>
          </cell>
          <cell r="AF28">
            <v>5</v>
          </cell>
        </row>
        <row r="29">
          <cell r="D29" t="str">
            <v>زیلویی</v>
          </cell>
          <cell r="O29">
            <v>7203</v>
          </cell>
          <cell r="AC29" t="str">
            <v>1405/04/02</v>
          </cell>
          <cell r="AF29">
            <v>9.5</v>
          </cell>
        </row>
        <row r="30">
          <cell r="D30" t="str">
            <v>موسوی</v>
          </cell>
          <cell r="O30">
            <v>7302</v>
          </cell>
          <cell r="AC30" t="str">
            <v>1405/04/02</v>
          </cell>
          <cell r="AF30">
            <v>2.5</v>
          </cell>
        </row>
        <row r="31">
          <cell r="D31" t="str">
            <v>موسوی</v>
          </cell>
          <cell r="O31">
            <v>7302</v>
          </cell>
          <cell r="AC31" t="str">
            <v>1405/04/02</v>
          </cell>
          <cell r="AF31">
            <v>2.5</v>
          </cell>
        </row>
        <row r="32">
          <cell r="D32" t="str">
            <v>باقری اصل</v>
          </cell>
          <cell r="O32">
            <v>7204</v>
          </cell>
          <cell r="AC32" t="str">
            <v>1405/04/02</v>
          </cell>
          <cell r="AF32">
            <v>8.5</v>
          </cell>
        </row>
        <row r="33">
          <cell r="D33" t="str">
            <v>صلواتی</v>
          </cell>
          <cell r="O33">
            <v>7601</v>
          </cell>
          <cell r="AC33" t="str">
            <v>1405/04/02</v>
          </cell>
          <cell r="AF33">
            <v>4</v>
          </cell>
        </row>
        <row r="34">
          <cell r="D34" t="str">
            <v>صلواتی</v>
          </cell>
          <cell r="O34">
            <v>7602</v>
          </cell>
          <cell r="AC34" t="str">
            <v>1405/04/02</v>
          </cell>
          <cell r="AF34">
            <v>4</v>
          </cell>
        </row>
        <row r="35">
          <cell r="D35" t="str">
            <v>صلواتی</v>
          </cell>
          <cell r="O35">
            <v>7603</v>
          </cell>
          <cell r="AC35" t="str">
            <v>1405/04/02</v>
          </cell>
          <cell r="AF35">
            <v>4</v>
          </cell>
        </row>
        <row r="36">
          <cell r="D36" t="str">
            <v>حیدری</v>
          </cell>
          <cell r="O36">
            <v>7101</v>
          </cell>
          <cell r="AC36" t="str">
            <v>1405/04/02</v>
          </cell>
          <cell r="AF36">
            <v>4</v>
          </cell>
        </row>
        <row r="37">
          <cell r="D37" t="str">
            <v>حیدری</v>
          </cell>
          <cell r="O37">
            <v>7401</v>
          </cell>
          <cell r="AC37" t="str">
            <v>1405/04/02</v>
          </cell>
          <cell r="AF37">
            <v>1.5</v>
          </cell>
        </row>
        <row r="38">
          <cell r="D38" t="str">
            <v>حیدری</v>
          </cell>
          <cell r="O38" t="str">
            <v>مونتاژ</v>
          </cell>
          <cell r="AC38" t="str">
            <v>1405/04/02</v>
          </cell>
          <cell r="AF38">
            <v>1.5</v>
          </cell>
        </row>
        <row r="39">
          <cell r="D39" t="str">
            <v>حیدری</v>
          </cell>
          <cell r="O39" t="str">
            <v>مونتاژ</v>
          </cell>
          <cell r="AC39" t="str">
            <v>1405/04/02</v>
          </cell>
          <cell r="AF39">
            <v>2.5</v>
          </cell>
        </row>
        <row r="40">
          <cell r="D40" t="str">
            <v>یاراحمدی</v>
          </cell>
          <cell r="O40">
            <v>7502</v>
          </cell>
          <cell r="AC40" t="str">
            <v>1405/04/02</v>
          </cell>
          <cell r="AF40">
            <v>9.5</v>
          </cell>
        </row>
        <row r="41">
          <cell r="D41" t="str">
            <v>یاراحمدی</v>
          </cell>
          <cell r="O41">
            <v>7501</v>
          </cell>
          <cell r="AC41" t="str">
            <v>1405/04/02</v>
          </cell>
          <cell r="AF41">
            <v>4</v>
          </cell>
        </row>
        <row r="42">
          <cell r="D42" t="str">
            <v>یاراحمدی</v>
          </cell>
          <cell r="O42">
            <v>7501</v>
          </cell>
          <cell r="AC42" t="str">
            <v>1405/04/02</v>
          </cell>
          <cell r="AF42">
            <v>1</v>
          </cell>
        </row>
        <row r="43">
          <cell r="D43" t="str">
            <v>یاراحمدی</v>
          </cell>
          <cell r="O43">
            <v>7501</v>
          </cell>
          <cell r="AC43" t="str">
            <v>1405/04/02</v>
          </cell>
          <cell r="AF43">
            <v>2</v>
          </cell>
        </row>
        <row r="44">
          <cell r="D44" t="str">
            <v>هاشم زاده</v>
          </cell>
          <cell r="O44" t="str">
            <v>دمونتاژ</v>
          </cell>
          <cell r="AC44" t="str">
            <v>1405/04/02</v>
          </cell>
          <cell r="AF44">
            <v>2</v>
          </cell>
        </row>
        <row r="45">
          <cell r="D45" t="str">
            <v>هاشم زاده</v>
          </cell>
          <cell r="O45" t="str">
            <v>مونتاژ</v>
          </cell>
          <cell r="AC45" t="str">
            <v>1405/04/02</v>
          </cell>
          <cell r="AF45">
            <v>2</v>
          </cell>
        </row>
        <row r="46">
          <cell r="D46" t="str">
            <v>هاشم زاده</v>
          </cell>
          <cell r="O46" t="str">
            <v>دمونتاژ</v>
          </cell>
          <cell r="AC46" t="str">
            <v>1405/04/02</v>
          </cell>
          <cell r="AF46">
            <v>2</v>
          </cell>
        </row>
        <row r="47">
          <cell r="D47" t="str">
            <v>هاشم زاده</v>
          </cell>
          <cell r="O47" t="str">
            <v>دمونتاژ</v>
          </cell>
          <cell r="AC47" t="str">
            <v>1405/04/02</v>
          </cell>
          <cell r="AF47">
            <v>2</v>
          </cell>
        </row>
        <row r="48">
          <cell r="D48" t="str">
            <v>هاشم زاده</v>
          </cell>
          <cell r="O48" t="str">
            <v>مونتاژ</v>
          </cell>
          <cell r="AC48" t="str">
            <v>1405/04/02</v>
          </cell>
          <cell r="AF48">
            <v>1</v>
          </cell>
        </row>
        <row r="49">
          <cell r="D49" t="str">
            <v>خیرخواه</v>
          </cell>
          <cell r="O49" t="str">
            <v>دمونتاژ</v>
          </cell>
          <cell r="AC49" t="str">
            <v>1405/04/02</v>
          </cell>
          <cell r="AF49">
            <v>2</v>
          </cell>
        </row>
        <row r="50">
          <cell r="D50" t="str">
            <v>خیرخواه</v>
          </cell>
          <cell r="O50" t="str">
            <v>مونتاژ</v>
          </cell>
          <cell r="AC50" t="str">
            <v>1405/04/02</v>
          </cell>
          <cell r="AF50">
            <v>2</v>
          </cell>
        </row>
        <row r="51">
          <cell r="D51" t="str">
            <v>خیرخواه</v>
          </cell>
          <cell r="O51" t="str">
            <v>دمونتاژ</v>
          </cell>
          <cell r="AC51" t="str">
            <v>1405/04/02</v>
          </cell>
          <cell r="AF51">
            <v>2</v>
          </cell>
        </row>
        <row r="52">
          <cell r="D52" t="str">
            <v>خیرخواه</v>
          </cell>
          <cell r="O52" t="str">
            <v>دمونتاژ</v>
          </cell>
          <cell r="AC52" t="str">
            <v>1405/04/02</v>
          </cell>
          <cell r="AF52">
            <v>2</v>
          </cell>
        </row>
        <row r="53">
          <cell r="D53" t="str">
            <v>خیرخواه</v>
          </cell>
          <cell r="O53" t="str">
            <v>مونتاژ</v>
          </cell>
          <cell r="AC53" t="str">
            <v>1405/04/02</v>
          </cell>
          <cell r="AF53">
            <v>1</v>
          </cell>
        </row>
        <row r="54">
          <cell r="D54" t="str">
            <v>زیلویی</v>
          </cell>
          <cell r="O54">
            <v>7202</v>
          </cell>
          <cell r="AC54" t="str">
            <v>1405/04/06</v>
          </cell>
          <cell r="AF54">
            <v>3.5</v>
          </cell>
        </row>
        <row r="55">
          <cell r="D55" t="str">
            <v>زیلویی</v>
          </cell>
          <cell r="O55">
            <v>7202</v>
          </cell>
          <cell r="AC55" t="str">
            <v>1405/04/06</v>
          </cell>
          <cell r="AF55">
            <v>5.5</v>
          </cell>
        </row>
        <row r="56">
          <cell r="D56" t="str">
            <v>یاراحمدی</v>
          </cell>
          <cell r="O56">
            <v>7202</v>
          </cell>
          <cell r="AC56" t="str">
            <v>1405/04/06</v>
          </cell>
          <cell r="AF56">
            <v>2</v>
          </cell>
        </row>
        <row r="57">
          <cell r="D57" t="str">
            <v>حیدری</v>
          </cell>
          <cell r="O57">
            <v>7101</v>
          </cell>
          <cell r="AC57" t="str">
            <v>1405/04/06</v>
          </cell>
          <cell r="AF57">
            <v>11</v>
          </cell>
        </row>
        <row r="58">
          <cell r="D58" t="str">
            <v>زیلویی</v>
          </cell>
          <cell r="O58">
            <v>7203</v>
          </cell>
          <cell r="AC58" t="str">
            <v>1405/04/06</v>
          </cell>
          <cell r="AF58">
            <v>9</v>
          </cell>
        </row>
        <row r="59">
          <cell r="D59" t="str">
            <v>زیلویی</v>
          </cell>
          <cell r="O59">
            <v>7203</v>
          </cell>
          <cell r="AC59" t="str">
            <v>1405/04/06</v>
          </cell>
          <cell r="AF59">
            <v>2</v>
          </cell>
        </row>
        <row r="60">
          <cell r="D60" t="str">
            <v>فراهی</v>
          </cell>
          <cell r="O60">
            <v>7103</v>
          </cell>
          <cell r="AC60" t="str">
            <v>1405/04/06</v>
          </cell>
          <cell r="AF60">
            <v>1.5</v>
          </cell>
        </row>
        <row r="61">
          <cell r="D61" t="str">
            <v>فراهی</v>
          </cell>
          <cell r="O61">
            <v>7103</v>
          </cell>
          <cell r="AC61" t="str">
            <v>1405/04/06</v>
          </cell>
          <cell r="AF61">
            <v>5</v>
          </cell>
        </row>
        <row r="62">
          <cell r="D62" t="str">
            <v>فراهی</v>
          </cell>
          <cell r="O62">
            <v>7103</v>
          </cell>
          <cell r="AC62" t="str">
            <v>1405/04/07</v>
          </cell>
          <cell r="AF62">
            <v>6.5</v>
          </cell>
        </row>
        <row r="63">
          <cell r="D63" t="str">
            <v>هاشم زاده</v>
          </cell>
          <cell r="O63" t="str">
            <v>دمونتاژ</v>
          </cell>
          <cell r="AC63" t="str">
            <v>1405/04/06</v>
          </cell>
          <cell r="AF63">
            <v>2</v>
          </cell>
        </row>
        <row r="64">
          <cell r="D64" t="str">
            <v>هاشم زاده</v>
          </cell>
          <cell r="O64">
            <v>8001</v>
          </cell>
          <cell r="AC64" t="str">
            <v>1405/04/06</v>
          </cell>
          <cell r="AF64">
            <v>4</v>
          </cell>
        </row>
        <row r="65">
          <cell r="D65" t="str">
            <v>حیدری</v>
          </cell>
          <cell r="O65">
            <v>7101</v>
          </cell>
          <cell r="AC65" t="str">
            <v>1405/04/07</v>
          </cell>
          <cell r="AF65">
            <v>2</v>
          </cell>
        </row>
        <row r="66">
          <cell r="D66" t="str">
            <v>یاراحمدی</v>
          </cell>
          <cell r="O66" t="str">
            <v>دمونتاژ</v>
          </cell>
          <cell r="AC66" t="str">
            <v>1405/04/06</v>
          </cell>
          <cell r="AF66">
            <v>2</v>
          </cell>
        </row>
        <row r="67">
          <cell r="D67" t="str">
            <v>هاشم زاده</v>
          </cell>
          <cell r="O67" t="str">
            <v>دمونتاژ</v>
          </cell>
          <cell r="AC67" t="str">
            <v>1405/04/07</v>
          </cell>
          <cell r="AF67">
            <v>3</v>
          </cell>
        </row>
        <row r="68">
          <cell r="D68" t="str">
            <v>یاراحمدی</v>
          </cell>
          <cell r="O68" t="str">
            <v>دمونتاژ</v>
          </cell>
          <cell r="AC68" t="str">
            <v>1405/04/07</v>
          </cell>
          <cell r="AF68">
            <v>4</v>
          </cell>
        </row>
        <row r="69">
          <cell r="D69" t="str">
            <v>یاراحمدی</v>
          </cell>
          <cell r="O69" t="str">
            <v>مونتاژ</v>
          </cell>
          <cell r="AC69" t="str">
            <v>1405/04/07</v>
          </cell>
          <cell r="AF69">
            <v>3</v>
          </cell>
        </row>
        <row r="70">
          <cell r="D70" t="str">
            <v>خیرخواه</v>
          </cell>
          <cell r="O70" t="str">
            <v>مونتاژ</v>
          </cell>
          <cell r="AC70" t="str">
            <v>1405/04/06</v>
          </cell>
          <cell r="AF70">
            <v>3</v>
          </cell>
        </row>
        <row r="71">
          <cell r="D71" t="str">
            <v>خیرخواه</v>
          </cell>
          <cell r="O71">
            <v>7401</v>
          </cell>
          <cell r="AC71" t="str">
            <v>1405/04/06</v>
          </cell>
          <cell r="AF71">
            <v>2</v>
          </cell>
        </row>
        <row r="72">
          <cell r="D72" t="str">
            <v>خیرخواه</v>
          </cell>
          <cell r="O72" t="str">
            <v>دمونتاژ</v>
          </cell>
          <cell r="AC72" t="str">
            <v>1405/04/06</v>
          </cell>
          <cell r="AF72">
            <v>2</v>
          </cell>
        </row>
        <row r="73">
          <cell r="D73" t="str">
            <v>خیرخواه</v>
          </cell>
          <cell r="O73">
            <v>7401</v>
          </cell>
          <cell r="AC73" t="str">
            <v>1405/04/06</v>
          </cell>
          <cell r="AF73">
            <v>3</v>
          </cell>
        </row>
        <row r="74">
          <cell r="D74" t="str">
            <v>خیرخواه</v>
          </cell>
          <cell r="O74" t="str">
            <v>مونتاژ</v>
          </cell>
          <cell r="AC74" t="str">
            <v>1405/04/06</v>
          </cell>
          <cell r="AF74">
            <v>3</v>
          </cell>
        </row>
        <row r="75">
          <cell r="D75" t="str">
            <v>خیرخواه</v>
          </cell>
          <cell r="O75" t="str">
            <v>مونتاژ</v>
          </cell>
          <cell r="AC75" t="str">
            <v>1405/04/07</v>
          </cell>
          <cell r="AF75">
            <v>4</v>
          </cell>
        </row>
        <row r="76">
          <cell r="D76" t="str">
            <v>یاراحمدی</v>
          </cell>
          <cell r="O76" t="str">
            <v>مونتاژ</v>
          </cell>
          <cell r="AC76" t="str">
            <v>1405/04/07</v>
          </cell>
          <cell r="AF76">
            <v>4</v>
          </cell>
        </row>
        <row r="77">
          <cell r="D77" t="str">
            <v>قیطاسوند</v>
          </cell>
          <cell r="O77">
            <v>7102</v>
          </cell>
          <cell r="AC77" t="str">
            <v>1405/04/06</v>
          </cell>
          <cell r="AF77">
            <v>7.5</v>
          </cell>
        </row>
        <row r="78">
          <cell r="D78" t="str">
            <v>قیطاسوند</v>
          </cell>
          <cell r="O78">
            <v>7102</v>
          </cell>
          <cell r="AC78" t="str">
            <v>1405/04/06</v>
          </cell>
          <cell r="AF78">
            <v>3.5</v>
          </cell>
        </row>
        <row r="79">
          <cell r="D79" t="str">
            <v>قیطاسوند</v>
          </cell>
          <cell r="O79">
            <v>7102</v>
          </cell>
          <cell r="AC79" t="str">
            <v>1405/04/07</v>
          </cell>
          <cell r="AF79">
            <v>11</v>
          </cell>
        </row>
        <row r="80">
          <cell r="D80" t="str">
            <v>موسوی</v>
          </cell>
          <cell r="O80">
            <v>7302</v>
          </cell>
          <cell r="AC80" t="str">
            <v>1405/04/06</v>
          </cell>
          <cell r="AF80">
            <v>4.5</v>
          </cell>
        </row>
        <row r="81">
          <cell r="D81" t="str">
            <v>موسوی</v>
          </cell>
          <cell r="O81">
            <v>7302</v>
          </cell>
          <cell r="AC81" t="str">
            <v>1405/04/06</v>
          </cell>
          <cell r="AF81">
            <v>4.5</v>
          </cell>
        </row>
        <row r="82">
          <cell r="D82" t="str">
            <v>موسوی</v>
          </cell>
          <cell r="O82">
            <v>7302</v>
          </cell>
          <cell r="AC82" t="str">
            <v>1405/04/06</v>
          </cell>
          <cell r="AF82">
            <v>2</v>
          </cell>
        </row>
        <row r="83">
          <cell r="D83" t="str">
            <v>موسوی</v>
          </cell>
          <cell r="O83">
            <v>7302</v>
          </cell>
          <cell r="AC83" t="str">
            <v>1405/04/07</v>
          </cell>
          <cell r="AF83">
            <v>1</v>
          </cell>
        </row>
        <row r="84">
          <cell r="D84" t="str">
            <v>یاراحمدی</v>
          </cell>
          <cell r="O84">
            <v>7302</v>
          </cell>
          <cell r="AC84" t="str">
            <v>1405/04/07</v>
          </cell>
          <cell r="AF84">
            <v>3</v>
          </cell>
        </row>
        <row r="85">
          <cell r="D85" t="str">
            <v>یاراحمدی</v>
          </cell>
          <cell r="O85">
            <v>7302</v>
          </cell>
          <cell r="AC85" t="str">
            <v>1405/04/07</v>
          </cell>
          <cell r="AF85">
            <v>2</v>
          </cell>
        </row>
        <row r="86">
          <cell r="D86" t="str">
            <v>موسوی</v>
          </cell>
          <cell r="O86">
            <v>7302</v>
          </cell>
          <cell r="AC86" t="str">
            <v>1405/04/07</v>
          </cell>
          <cell r="AF86">
            <v>4</v>
          </cell>
        </row>
        <row r="87">
          <cell r="D87" t="str">
            <v>صلواتی</v>
          </cell>
          <cell r="O87">
            <v>7601</v>
          </cell>
          <cell r="AC87" t="str">
            <v>1405/04/06</v>
          </cell>
          <cell r="AF87">
            <v>8</v>
          </cell>
        </row>
        <row r="88">
          <cell r="D88" t="str">
            <v>صلواتی</v>
          </cell>
          <cell r="O88">
            <v>7602</v>
          </cell>
          <cell r="AC88" t="str">
            <v>1405/04/06</v>
          </cell>
          <cell r="AF88">
            <v>8</v>
          </cell>
        </row>
        <row r="89">
          <cell r="D89" t="str">
            <v>صلواتی</v>
          </cell>
          <cell r="O89">
            <v>7603</v>
          </cell>
          <cell r="AC89" t="str">
            <v>1405/04/06</v>
          </cell>
          <cell r="AF89">
            <v>8</v>
          </cell>
        </row>
        <row r="90">
          <cell r="D90" t="str">
            <v>صلواتی</v>
          </cell>
          <cell r="O90">
            <v>7601</v>
          </cell>
          <cell r="AC90" t="str">
            <v>1405/04/07</v>
          </cell>
          <cell r="AF90">
            <v>12</v>
          </cell>
        </row>
        <row r="91">
          <cell r="D91" t="str">
            <v>صلواتی</v>
          </cell>
          <cell r="O91">
            <v>7603</v>
          </cell>
          <cell r="AC91" t="str">
            <v>1405/04/07</v>
          </cell>
          <cell r="AF91">
            <v>12</v>
          </cell>
        </row>
        <row r="92">
          <cell r="D92" t="str">
            <v>صلواتی</v>
          </cell>
          <cell r="O92">
            <v>7701</v>
          </cell>
          <cell r="AC92" t="str">
            <v>1405/04/07</v>
          </cell>
          <cell r="AF92">
            <v>8.6666666666666661</v>
          </cell>
        </row>
        <row r="93">
          <cell r="D93" t="str">
            <v>باقری اصل</v>
          </cell>
          <cell r="O93">
            <v>7204</v>
          </cell>
          <cell r="AC93" t="str">
            <v>1405/04/06</v>
          </cell>
          <cell r="AF93">
            <v>11</v>
          </cell>
        </row>
        <row r="94">
          <cell r="D94" t="str">
            <v>باقری اصل</v>
          </cell>
          <cell r="O94">
            <v>7204</v>
          </cell>
          <cell r="AC94" t="str">
            <v>1405/04/07</v>
          </cell>
          <cell r="AF94">
            <v>5.5</v>
          </cell>
        </row>
        <row r="95">
          <cell r="D95" t="str">
            <v>باقری اصل</v>
          </cell>
          <cell r="O95">
            <v>7204</v>
          </cell>
          <cell r="AC95" t="str">
            <v>1405/04/07</v>
          </cell>
          <cell r="AF95">
            <v>3.5</v>
          </cell>
        </row>
        <row r="96">
          <cell r="D96" t="str">
            <v>باقری اصل</v>
          </cell>
          <cell r="O96">
            <v>7204</v>
          </cell>
          <cell r="AC96" t="str">
            <v>1405/04/07</v>
          </cell>
          <cell r="AF96">
            <v>2</v>
          </cell>
        </row>
        <row r="97">
          <cell r="D97" t="str">
            <v>کریم پرست</v>
          </cell>
          <cell r="O97">
            <v>7301</v>
          </cell>
          <cell r="AC97" t="str">
            <v>1405/04/06</v>
          </cell>
          <cell r="AF97">
            <v>4</v>
          </cell>
        </row>
        <row r="98">
          <cell r="D98" t="str">
            <v>کریم پرست</v>
          </cell>
          <cell r="O98">
            <v>7301</v>
          </cell>
          <cell r="AC98" t="str">
            <v>1405/04/06</v>
          </cell>
          <cell r="AF98">
            <v>7</v>
          </cell>
        </row>
        <row r="99">
          <cell r="D99" t="str">
            <v>کریم پرست</v>
          </cell>
          <cell r="O99">
            <v>7301</v>
          </cell>
          <cell r="AC99" t="str">
            <v>1405/04/07</v>
          </cell>
          <cell r="AF99">
            <v>1</v>
          </cell>
        </row>
        <row r="100">
          <cell r="D100" t="str">
            <v>کریم پرست</v>
          </cell>
          <cell r="O100">
            <v>7301</v>
          </cell>
          <cell r="AC100" t="str">
            <v>1405/04/07</v>
          </cell>
          <cell r="AF100">
            <v>2</v>
          </cell>
        </row>
        <row r="101">
          <cell r="D101" t="str">
            <v>کریم پرست</v>
          </cell>
          <cell r="O101">
            <v>7301</v>
          </cell>
          <cell r="AC101" t="str">
            <v>1405/04/07</v>
          </cell>
          <cell r="AF101">
            <v>2.5</v>
          </cell>
        </row>
        <row r="102">
          <cell r="D102" t="str">
            <v>کریم پرست</v>
          </cell>
          <cell r="O102">
            <v>7301</v>
          </cell>
          <cell r="AC102" t="str">
            <v>1405/04/07</v>
          </cell>
          <cell r="AF102">
            <v>3.6666666666666665</v>
          </cell>
        </row>
        <row r="103">
          <cell r="D103" t="str">
            <v>یاراحمدی</v>
          </cell>
          <cell r="O103">
            <v>7502</v>
          </cell>
          <cell r="AC103" t="str">
            <v>1405/04/06</v>
          </cell>
          <cell r="AF103">
            <v>11</v>
          </cell>
        </row>
        <row r="104">
          <cell r="D104" t="str">
            <v>یاراحمدی</v>
          </cell>
          <cell r="O104">
            <v>7501</v>
          </cell>
          <cell r="AC104" t="str">
            <v>1405/04/06</v>
          </cell>
          <cell r="AF104">
            <v>8</v>
          </cell>
        </row>
        <row r="105">
          <cell r="D105" t="str">
            <v>یاراحمدی</v>
          </cell>
          <cell r="O105">
            <v>7501</v>
          </cell>
          <cell r="AC105" t="str">
            <v>1405/04/06</v>
          </cell>
          <cell r="AF105">
            <v>0.75</v>
          </cell>
        </row>
        <row r="106">
          <cell r="D106" t="str">
            <v>یاراحمدی</v>
          </cell>
          <cell r="O106">
            <v>7501</v>
          </cell>
          <cell r="AC106" t="str">
            <v>1405/04/06</v>
          </cell>
          <cell r="AF106">
            <v>0.75</v>
          </cell>
        </row>
        <row r="107">
          <cell r="D107" t="str">
            <v>یاراحمدی</v>
          </cell>
          <cell r="O107">
            <v>7501</v>
          </cell>
          <cell r="AC107" t="str">
            <v>1405/04/06</v>
          </cell>
          <cell r="AF107">
            <v>0.75</v>
          </cell>
        </row>
        <row r="108">
          <cell r="D108" t="str">
            <v>یاراحمدی</v>
          </cell>
          <cell r="O108">
            <v>7501</v>
          </cell>
          <cell r="AC108" t="str">
            <v>1405/04/06</v>
          </cell>
          <cell r="AF108">
            <v>0.75</v>
          </cell>
        </row>
        <row r="109">
          <cell r="D109" t="str">
            <v>یاراحمدی</v>
          </cell>
          <cell r="O109">
            <v>7502</v>
          </cell>
          <cell r="AC109" t="str">
            <v>1405/04/07</v>
          </cell>
          <cell r="AF109">
            <v>11</v>
          </cell>
        </row>
        <row r="110">
          <cell r="D110" t="str">
            <v>یاراحمدی</v>
          </cell>
          <cell r="O110">
            <v>7501</v>
          </cell>
          <cell r="AC110" t="str">
            <v>1405/04/07</v>
          </cell>
          <cell r="AF110">
            <v>7</v>
          </cell>
        </row>
        <row r="111">
          <cell r="D111" t="str">
            <v>یاراحمدی</v>
          </cell>
          <cell r="O111">
            <v>7501</v>
          </cell>
          <cell r="AC111" t="str">
            <v>1405/04/07</v>
          </cell>
          <cell r="AF111">
            <v>2</v>
          </cell>
        </row>
        <row r="112">
          <cell r="D112" t="str">
            <v>یاراحمدی</v>
          </cell>
          <cell r="O112">
            <v>7501</v>
          </cell>
          <cell r="AC112" t="str">
            <v>1405/04/07</v>
          </cell>
          <cell r="AF112">
            <v>2</v>
          </cell>
        </row>
        <row r="113">
          <cell r="D113" t="str">
            <v>زیلویی</v>
          </cell>
          <cell r="O113">
            <v>7203</v>
          </cell>
          <cell r="AC113" t="str">
            <v>1405/04/07</v>
          </cell>
          <cell r="AF113">
            <v>9</v>
          </cell>
        </row>
        <row r="114">
          <cell r="D114" t="str">
            <v>زیلویی</v>
          </cell>
          <cell r="O114">
            <v>7203</v>
          </cell>
          <cell r="AC114" t="str">
            <v>1405/04/07</v>
          </cell>
          <cell r="AF114">
            <v>2</v>
          </cell>
        </row>
        <row r="115">
          <cell r="D115" t="str">
            <v>موسوی</v>
          </cell>
          <cell r="O115">
            <v>7302</v>
          </cell>
          <cell r="AC115" t="str">
            <v>1405/04/08</v>
          </cell>
          <cell r="AF115">
            <v>9</v>
          </cell>
        </row>
        <row r="116">
          <cell r="D116" t="str">
            <v>باقری اصل</v>
          </cell>
          <cell r="O116">
            <v>7204</v>
          </cell>
          <cell r="AC116" t="str">
            <v>1405/04/08</v>
          </cell>
          <cell r="AF116">
            <v>11</v>
          </cell>
        </row>
        <row r="117">
          <cell r="D117" t="str">
            <v>کاظمی</v>
          </cell>
          <cell r="O117">
            <v>7202</v>
          </cell>
          <cell r="AC117" t="str">
            <v>1405/04/08</v>
          </cell>
          <cell r="AF117">
            <v>7.5</v>
          </cell>
        </row>
        <row r="118">
          <cell r="D118" t="str">
            <v>کاظمی</v>
          </cell>
          <cell r="O118">
            <v>7202</v>
          </cell>
          <cell r="AC118" t="str">
            <v>1405/04/08</v>
          </cell>
          <cell r="AF118">
            <v>3.5</v>
          </cell>
        </row>
        <row r="119">
          <cell r="D119" t="str">
            <v>زیلویی</v>
          </cell>
          <cell r="O119">
            <v>7203</v>
          </cell>
          <cell r="AC119" t="str">
            <v>1405/04/08</v>
          </cell>
          <cell r="AF119">
            <v>6.5</v>
          </cell>
        </row>
        <row r="120">
          <cell r="D120" t="str">
            <v>زیلویی</v>
          </cell>
          <cell r="O120">
            <v>7203</v>
          </cell>
          <cell r="AC120" t="str">
            <v>1405/04/08</v>
          </cell>
          <cell r="AF120">
            <v>4.5</v>
          </cell>
        </row>
        <row r="121">
          <cell r="D121" t="str">
            <v>فراهی</v>
          </cell>
          <cell r="O121">
            <v>7103</v>
          </cell>
          <cell r="AC121" t="str">
            <v>1405/04/08</v>
          </cell>
          <cell r="AF121">
            <v>3</v>
          </cell>
        </row>
        <row r="122">
          <cell r="D122" t="str">
            <v>فراهی</v>
          </cell>
          <cell r="O122">
            <v>7103</v>
          </cell>
          <cell r="AC122" t="str">
            <v>1405/04/08</v>
          </cell>
          <cell r="AF122">
            <v>2</v>
          </cell>
        </row>
        <row r="123">
          <cell r="D123" t="str">
            <v>قیطاسوند</v>
          </cell>
          <cell r="O123">
            <v>7102</v>
          </cell>
          <cell r="AC123" t="str">
            <v>1405/04/08</v>
          </cell>
          <cell r="AF123">
            <v>4.5</v>
          </cell>
        </row>
        <row r="124">
          <cell r="D124" t="str">
            <v>قیطاسوند</v>
          </cell>
          <cell r="O124">
            <v>7102</v>
          </cell>
          <cell r="AC124" t="str">
            <v>1405/04/08</v>
          </cell>
          <cell r="AF124">
            <v>6.5</v>
          </cell>
        </row>
        <row r="125">
          <cell r="D125" t="str">
            <v>هاشم زاده</v>
          </cell>
          <cell r="O125" t="str">
            <v>مونتاژ</v>
          </cell>
          <cell r="AC125" t="str">
            <v>1405/04/08</v>
          </cell>
          <cell r="AF125">
            <v>2</v>
          </cell>
        </row>
        <row r="126">
          <cell r="D126" t="str">
            <v>هاشم زاده</v>
          </cell>
          <cell r="O126" t="str">
            <v>دمونتاژ</v>
          </cell>
          <cell r="AC126" t="str">
            <v>1405/04/08</v>
          </cell>
          <cell r="AF126">
            <v>1</v>
          </cell>
        </row>
        <row r="127">
          <cell r="D127" t="str">
            <v>هاشم زاده</v>
          </cell>
          <cell r="O127" t="str">
            <v>مونتاژ</v>
          </cell>
          <cell r="AC127" t="str">
            <v>1405/04/08</v>
          </cell>
          <cell r="AF127">
            <v>2</v>
          </cell>
        </row>
        <row r="128">
          <cell r="D128" t="str">
            <v>هاشم زاده</v>
          </cell>
          <cell r="O128" t="str">
            <v>مونتاژ</v>
          </cell>
          <cell r="AC128" t="str">
            <v>1405/04/08</v>
          </cell>
          <cell r="AF128">
            <v>3</v>
          </cell>
        </row>
        <row r="129">
          <cell r="D129" t="str">
            <v>هاشم زاده</v>
          </cell>
          <cell r="O129" t="str">
            <v>مونتاژ</v>
          </cell>
          <cell r="AC129" t="str">
            <v>1405/04/08</v>
          </cell>
          <cell r="AF129">
            <v>3</v>
          </cell>
        </row>
        <row r="130">
          <cell r="D130" t="str">
            <v>خیرخواه</v>
          </cell>
          <cell r="O130">
            <v>7401</v>
          </cell>
          <cell r="AC130" t="str">
            <v>1405/04/08</v>
          </cell>
          <cell r="AF130">
            <v>2</v>
          </cell>
        </row>
        <row r="131">
          <cell r="D131" t="str">
            <v>خیرخواه</v>
          </cell>
          <cell r="O131" t="str">
            <v>مونتاژ</v>
          </cell>
          <cell r="AC131" t="str">
            <v>1405/04/08</v>
          </cell>
          <cell r="AF131">
            <v>7</v>
          </cell>
        </row>
        <row r="132">
          <cell r="D132" t="str">
            <v>هاشم زاده</v>
          </cell>
          <cell r="O132" t="str">
            <v>مونتاژ</v>
          </cell>
          <cell r="AC132" t="str">
            <v>1405/04/08</v>
          </cell>
          <cell r="AF132">
            <v>2</v>
          </cell>
        </row>
        <row r="133">
          <cell r="D133" t="str">
            <v>کریم پرست</v>
          </cell>
          <cell r="O133">
            <v>7301</v>
          </cell>
          <cell r="AC133" t="str">
            <v>1405/04/08</v>
          </cell>
          <cell r="AF133">
            <v>2</v>
          </cell>
        </row>
        <row r="134">
          <cell r="D134" t="str">
            <v>کریم پرست</v>
          </cell>
          <cell r="O134">
            <v>7301</v>
          </cell>
          <cell r="AC134" t="str">
            <v>1405/04/08</v>
          </cell>
          <cell r="AF134">
            <v>2</v>
          </cell>
        </row>
        <row r="135">
          <cell r="D135" t="str">
            <v>کریم پرست</v>
          </cell>
          <cell r="O135">
            <v>7301</v>
          </cell>
          <cell r="AC135" t="str">
            <v>1405/04/08</v>
          </cell>
          <cell r="AF135">
            <v>2</v>
          </cell>
        </row>
        <row r="136">
          <cell r="D136" t="str">
            <v>کریم پرست</v>
          </cell>
          <cell r="O136">
            <v>7301</v>
          </cell>
          <cell r="AC136" t="str">
            <v>1405/04/08</v>
          </cell>
          <cell r="AF136">
            <v>2</v>
          </cell>
        </row>
        <row r="137">
          <cell r="D137" t="str">
            <v>کریم پرست</v>
          </cell>
          <cell r="O137">
            <v>7301</v>
          </cell>
          <cell r="AC137" t="str">
            <v>1405/04/08</v>
          </cell>
          <cell r="AF137">
            <v>2</v>
          </cell>
        </row>
        <row r="138">
          <cell r="D138" t="str">
            <v>یاراحمدی</v>
          </cell>
          <cell r="O138">
            <v>7502</v>
          </cell>
          <cell r="AC138" t="str">
            <v>1405/04/08</v>
          </cell>
          <cell r="AF138">
            <v>11</v>
          </cell>
        </row>
        <row r="139">
          <cell r="D139" t="str">
            <v>یاراحمدی</v>
          </cell>
          <cell r="O139">
            <v>7501</v>
          </cell>
          <cell r="AC139" t="str">
            <v>1405/04/08</v>
          </cell>
          <cell r="AF139">
            <v>1</v>
          </cell>
        </row>
        <row r="140">
          <cell r="D140" t="str">
            <v>یاراحمدی</v>
          </cell>
          <cell r="O140">
            <v>7501</v>
          </cell>
          <cell r="AC140" t="str">
            <v>1405/04/08</v>
          </cell>
          <cell r="AF140">
            <v>1</v>
          </cell>
        </row>
        <row r="141">
          <cell r="D141" t="str">
            <v>یاراحمدی</v>
          </cell>
          <cell r="O141">
            <v>7501</v>
          </cell>
          <cell r="AC141" t="str">
            <v>1405/04/08</v>
          </cell>
          <cell r="AF141">
            <v>1</v>
          </cell>
        </row>
        <row r="142">
          <cell r="D142" t="str">
            <v>یاراحمدی</v>
          </cell>
          <cell r="O142">
            <v>7501</v>
          </cell>
          <cell r="AC142" t="str">
            <v>1405/04/08</v>
          </cell>
          <cell r="AF142">
            <v>2</v>
          </cell>
        </row>
        <row r="143">
          <cell r="D143" t="str">
            <v>یاراحمدی</v>
          </cell>
          <cell r="O143">
            <v>7501</v>
          </cell>
          <cell r="AC143" t="str">
            <v>1405/04/08</v>
          </cell>
          <cell r="AF143">
            <v>3</v>
          </cell>
        </row>
        <row r="144">
          <cell r="D144" t="str">
            <v>صلواتی</v>
          </cell>
          <cell r="O144">
            <v>7601</v>
          </cell>
          <cell r="AC144" t="str">
            <v>1405/04/08</v>
          </cell>
          <cell r="AF144">
            <v>6</v>
          </cell>
        </row>
        <row r="145">
          <cell r="D145" t="str">
            <v>صلواتی</v>
          </cell>
          <cell r="O145">
            <v>7602</v>
          </cell>
          <cell r="AC145" t="str">
            <v>1405/04/08</v>
          </cell>
          <cell r="AF145">
            <v>7</v>
          </cell>
        </row>
        <row r="146">
          <cell r="D146" t="str">
            <v>صلواتی</v>
          </cell>
          <cell r="O146">
            <v>7603</v>
          </cell>
          <cell r="AC146" t="str">
            <v>1405/04/08</v>
          </cell>
          <cell r="AF146">
            <v>6</v>
          </cell>
        </row>
        <row r="147">
          <cell r="D147" t="str">
            <v>صلواتی</v>
          </cell>
          <cell r="O147">
            <v>7605</v>
          </cell>
          <cell r="AC147" t="str">
            <v>1405/04/08</v>
          </cell>
          <cell r="AF147">
            <v>7</v>
          </cell>
        </row>
        <row r="148">
          <cell r="D148" t="str">
            <v>صلواتی</v>
          </cell>
          <cell r="O148">
            <v>7601</v>
          </cell>
          <cell r="AC148" t="str">
            <v>1405/04/08</v>
          </cell>
          <cell r="AF148">
            <v>5</v>
          </cell>
        </row>
        <row r="149">
          <cell r="D149" t="str">
            <v>صلواتی</v>
          </cell>
          <cell r="O149">
            <v>7603</v>
          </cell>
          <cell r="AC149" t="str">
            <v>1405/04/08</v>
          </cell>
          <cell r="AF149">
            <v>2</v>
          </cell>
        </row>
        <row r="150">
          <cell r="D150" t="str">
            <v>صلواتی</v>
          </cell>
          <cell r="O150">
            <v>7603</v>
          </cell>
          <cell r="AC150" t="str">
            <v>1405/04/08</v>
          </cell>
          <cell r="AF150">
            <v>3</v>
          </cell>
        </row>
        <row r="151">
          <cell r="D151" t="str">
            <v>فراهی</v>
          </cell>
          <cell r="O151">
            <v>7103</v>
          </cell>
          <cell r="AC151" t="str">
            <v>1405/04/09</v>
          </cell>
          <cell r="AF151">
            <v>4</v>
          </cell>
        </row>
        <row r="152">
          <cell r="D152" t="str">
            <v>قیطاسوند</v>
          </cell>
          <cell r="O152">
            <v>7102</v>
          </cell>
          <cell r="AC152" t="str">
            <v>1405/04/09</v>
          </cell>
          <cell r="AF152">
            <v>11</v>
          </cell>
        </row>
        <row r="153">
          <cell r="D153" t="str">
            <v>زیلویی</v>
          </cell>
          <cell r="O153">
            <v>7202</v>
          </cell>
          <cell r="AC153" t="str">
            <v>1405/04/09</v>
          </cell>
          <cell r="AF153">
            <v>11</v>
          </cell>
        </row>
        <row r="154">
          <cell r="D154" t="str">
            <v>زیلویی</v>
          </cell>
          <cell r="O154">
            <v>7203</v>
          </cell>
          <cell r="AC154" t="str">
            <v>1405/04/09</v>
          </cell>
          <cell r="AF154">
            <v>3.5</v>
          </cell>
        </row>
        <row r="155">
          <cell r="D155" t="str">
            <v>زیلویی</v>
          </cell>
          <cell r="O155">
            <v>7203</v>
          </cell>
          <cell r="AC155" t="str">
            <v>1405/04/09</v>
          </cell>
          <cell r="AF155">
            <v>7.5</v>
          </cell>
        </row>
        <row r="156">
          <cell r="D156" t="str">
            <v>باقری اصل</v>
          </cell>
          <cell r="O156">
            <v>7204</v>
          </cell>
          <cell r="AC156" t="str">
            <v>1405/04/09</v>
          </cell>
          <cell r="AF156">
            <v>11</v>
          </cell>
        </row>
        <row r="157">
          <cell r="D157" t="str">
            <v>کریم پرست</v>
          </cell>
          <cell r="O157">
            <v>7301</v>
          </cell>
          <cell r="AC157" t="str">
            <v>1405/04/09</v>
          </cell>
          <cell r="AF157">
            <v>4.5</v>
          </cell>
        </row>
        <row r="158">
          <cell r="D158" t="str">
            <v>کریم پرست</v>
          </cell>
          <cell r="O158">
            <v>7301</v>
          </cell>
          <cell r="AC158" t="str">
            <v>1405/04/09</v>
          </cell>
          <cell r="AF158">
            <v>6.5</v>
          </cell>
        </row>
        <row r="159">
          <cell r="D159" t="str">
            <v>موسوی</v>
          </cell>
          <cell r="O159">
            <v>7302</v>
          </cell>
          <cell r="AC159" t="str">
            <v>1405/04/09</v>
          </cell>
          <cell r="AF159">
            <v>6</v>
          </cell>
        </row>
        <row r="160">
          <cell r="D160" t="str">
            <v>موسوی</v>
          </cell>
          <cell r="O160">
            <v>7302</v>
          </cell>
          <cell r="AC160" t="str">
            <v>1405/04/09</v>
          </cell>
          <cell r="AF160">
            <v>2</v>
          </cell>
        </row>
        <row r="161">
          <cell r="D161" t="str">
            <v>موسوی</v>
          </cell>
          <cell r="O161">
            <v>7302</v>
          </cell>
          <cell r="AC161" t="str">
            <v>1405/04/09</v>
          </cell>
          <cell r="AF161">
            <v>2</v>
          </cell>
        </row>
        <row r="162">
          <cell r="D162" t="str">
            <v>موسوی</v>
          </cell>
          <cell r="O162" t="str">
            <v>مونتاژ</v>
          </cell>
          <cell r="AC162" t="str">
            <v>1405/04/09</v>
          </cell>
          <cell r="AF162">
            <v>1</v>
          </cell>
        </row>
        <row r="163">
          <cell r="D163" t="str">
            <v>هاشم زاده</v>
          </cell>
          <cell r="O163" t="str">
            <v>مونتاژ</v>
          </cell>
          <cell r="AC163" t="str">
            <v>1405/04/09</v>
          </cell>
          <cell r="AF163">
            <v>6</v>
          </cell>
        </row>
        <row r="164">
          <cell r="D164" t="str">
            <v>هاشم زاده</v>
          </cell>
          <cell r="O164" t="str">
            <v>دمونتاژ</v>
          </cell>
          <cell r="AC164" t="str">
            <v>1405/04/09</v>
          </cell>
          <cell r="AF164">
            <v>4</v>
          </cell>
        </row>
        <row r="165">
          <cell r="D165" t="str">
            <v>یاراحمدی</v>
          </cell>
          <cell r="O165">
            <v>7501</v>
          </cell>
          <cell r="AC165" t="str">
            <v>1405/04/09</v>
          </cell>
          <cell r="AF165">
            <v>11</v>
          </cell>
        </row>
        <row r="166">
          <cell r="D166" t="str">
            <v>یاراحمدی</v>
          </cell>
          <cell r="O166">
            <v>7502</v>
          </cell>
          <cell r="AC166" t="str">
            <v>1405/04/09</v>
          </cell>
          <cell r="AF166">
            <v>3</v>
          </cell>
        </row>
        <row r="167">
          <cell r="D167" t="str">
            <v>یاراحمدی</v>
          </cell>
          <cell r="O167">
            <v>7501</v>
          </cell>
          <cell r="AC167" t="str">
            <v>1405/04/09</v>
          </cell>
          <cell r="AF167">
            <v>3</v>
          </cell>
        </row>
        <row r="168">
          <cell r="D168" t="str">
            <v>یاراحمدی</v>
          </cell>
          <cell r="O168">
            <v>7501</v>
          </cell>
          <cell r="AC168" t="str">
            <v>1405/04/09</v>
          </cell>
          <cell r="AF168">
            <v>3</v>
          </cell>
        </row>
        <row r="169">
          <cell r="D169" t="str">
            <v>خیرخواه</v>
          </cell>
          <cell r="O169" t="str">
            <v>مونتاژ</v>
          </cell>
          <cell r="AC169" t="str">
            <v>1405/04/09</v>
          </cell>
          <cell r="AF169">
            <v>3.5</v>
          </cell>
        </row>
        <row r="170">
          <cell r="D170" t="str">
            <v>خیرخواه</v>
          </cell>
          <cell r="O170" t="str">
            <v>دمونتاژ</v>
          </cell>
          <cell r="AC170" t="str">
            <v>1405/04/09</v>
          </cell>
          <cell r="AF170">
            <v>3</v>
          </cell>
        </row>
        <row r="171">
          <cell r="D171" t="str">
            <v>خیرخواه</v>
          </cell>
          <cell r="O171">
            <v>7401</v>
          </cell>
          <cell r="AC171" t="str">
            <v>1405/04/09</v>
          </cell>
          <cell r="AF171">
            <v>1</v>
          </cell>
        </row>
        <row r="172">
          <cell r="D172" t="str">
            <v>خیرخواه</v>
          </cell>
          <cell r="O172">
            <v>7401</v>
          </cell>
          <cell r="AC172" t="str">
            <v>1405/04/09</v>
          </cell>
          <cell r="AF172">
            <v>1</v>
          </cell>
        </row>
        <row r="173">
          <cell r="D173" t="str">
            <v>خیرخواه</v>
          </cell>
          <cell r="O173" t="str">
            <v>دمونتاژ</v>
          </cell>
          <cell r="AC173" t="str">
            <v>1405/04/09</v>
          </cell>
          <cell r="AF173">
            <v>1</v>
          </cell>
        </row>
        <row r="174">
          <cell r="D174" t="str">
            <v>خیرخواه</v>
          </cell>
          <cell r="O174">
            <v>7401</v>
          </cell>
          <cell r="AC174" t="str">
            <v>1405/04/09</v>
          </cell>
          <cell r="AF174">
            <v>1.5</v>
          </cell>
        </row>
        <row r="175">
          <cell r="D175" t="str">
            <v>حیدری</v>
          </cell>
          <cell r="O175" t="str">
            <v>مونتاژ</v>
          </cell>
          <cell r="AC175" t="str">
            <v>1405/04/09</v>
          </cell>
          <cell r="AF175">
            <v>3.5</v>
          </cell>
        </row>
        <row r="176">
          <cell r="D176" t="str">
            <v>حیدری</v>
          </cell>
          <cell r="O176" t="str">
            <v>مونتاژ</v>
          </cell>
          <cell r="AC176" t="str">
            <v>1405/04/09</v>
          </cell>
          <cell r="AF176">
            <v>6</v>
          </cell>
        </row>
        <row r="177">
          <cell r="D177" t="str">
            <v>حیدری</v>
          </cell>
          <cell r="O177" t="str">
            <v>مونتاژ</v>
          </cell>
          <cell r="AC177" t="str">
            <v>1405/04/09</v>
          </cell>
          <cell r="AF177">
            <v>2.5</v>
          </cell>
        </row>
        <row r="178">
          <cell r="D178" t="str">
            <v>حیدری</v>
          </cell>
          <cell r="O178">
            <v>7101</v>
          </cell>
          <cell r="AC178" t="str">
            <v>1405/04/07</v>
          </cell>
          <cell r="AF178">
            <v>2</v>
          </cell>
        </row>
        <row r="179">
          <cell r="D179" t="str">
            <v>حیدری</v>
          </cell>
          <cell r="O179" t="str">
            <v>مونتاژ</v>
          </cell>
          <cell r="AC179" t="str">
            <v>1405/04/07</v>
          </cell>
          <cell r="AF179">
            <v>4</v>
          </cell>
        </row>
        <row r="180">
          <cell r="D180" t="str">
            <v>حیدری</v>
          </cell>
          <cell r="O180">
            <v>7101</v>
          </cell>
          <cell r="AC180" t="str">
            <v>1405/04/07</v>
          </cell>
          <cell r="AF180">
            <v>2</v>
          </cell>
        </row>
        <row r="181">
          <cell r="D181" t="str">
            <v>صلواتی</v>
          </cell>
          <cell r="O181">
            <v>7601</v>
          </cell>
          <cell r="AC181" t="str">
            <v>1405/04/09</v>
          </cell>
          <cell r="AF181">
            <v>12</v>
          </cell>
        </row>
        <row r="182">
          <cell r="D182" t="str">
            <v>صلواتی</v>
          </cell>
          <cell r="O182">
            <v>7602</v>
          </cell>
          <cell r="AC182" t="str">
            <v>1405/04/09</v>
          </cell>
          <cell r="AF182">
            <v>12</v>
          </cell>
        </row>
        <row r="183">
          <cell r="D183" t="str">
            <v>صلواتی</v>
          </cell>
          <cell r="O183">
            <v>7603</v>
          </cell>
          <cell r="AC183" t="str">
            <v>1405/04/09</v>
          </cell>
          <cell r="AF183">
            <v>3</v>
          </cell>
        </row>
        <row r="184">
          <cell r="D184" t="str">
            <v>صلواتی</v>
          </cell>
          <cell r="O184">
            <v>7605</v>
          </cell>
          <cell r="AC184" t="str">
            <v>1405/04/09</v>
          </cell>
          <cell r="AF184">
            <v>8</v>
          </cell>
        </row>
        <row r="185">
          <cell r="D185" t="str">
            <v>صلواتی</v>
          </cell>
          <cell r="O185">
            <v>7603</v>
          </cell>
          <cell r="AC185" t="str">
            <v>1405/04/09</v>
          </cell>
          <cell r="AF185">
            <v>6</v>
          </cell>
        </row>
        <row r="186">
          <cell r="D186" t="str">
            <v>فراهی</v>
          </cell>
          <cell r="O186">
            <v>7103</v>
          </cell>
          <cell r="AC186" t="str">
            <v>1405/04/10</v>
          </cell>
          <cell r="AF186">
            <v>6.5</v>
          </cell>
        </row>
        <row r="187">
          <cell r="D187" t="str">
            <v>قیطاسوند</v>
          </cell>
          <cell r="O187">
            <v>7102</v>
          </cell>
          <cell r="AC187" t="str">
            <v>1405/04/10</v>
          </cell>
          <cell r="AF187">
            <v>11</v>
          </cell>
        </row>
        <row r="188">
          <cell r="D188" t="str">
            <v>زاهدی</v>
          </cell>
          <cell r="O188">
            <v>7202</v>
          </cell>
          <cell r="AC188" t="str">
            <v>1405/04/10</v>
          </cell>
          <cell r="AF188">
            <v>2</v>
          </cell>
        </row>
        <row r="189">
          <cell r="D189" t="str">
            <v>کاظمی</v>
          </cell>
          <cell r="O189">
            <v>7202</v>
          </cell>
          <cell r="AC189" t="str">
            <v>1405/04/10</v>
          </cell>
          <cell r="AF189">
            <v>5</v>
          </cell>
        </row>
        <row r="190">
          <cell r="D190" t="str">
            <v>زیلویی</v>
          </cell>
          <cell r="O190">
            <v>7203</v>
          </cell>
          <cell r="AC190" t="str">
            <v>1405/04/10</v>
          </cell>
          <cell r="AF190">
            <v>2.5</v>
          </cell>
        </row>
        <row r="191">
          <cell r="D191" t="str">
            <v>زیلویی</v>
          </cell>
          <cell r="O191">
            <v>7203</v>
          </cell>
          <cell r="AC191" t="str">
            <v>1405/04/10</v>
          </cell>
          <cell r="AF191">
            <v>5.5</v>
          </cell>
        </row>
        <row r="192">
          <cell r="D192" t="str">
            <v>زیلویی</v>
          </cell>
          <cell r="O192">
            <v>7203</v>
          </cell>
          <cell r="AC192" t="str">
            <v>1405/04/10</v>
          </cell>
          <cell r="AF192">
            <v>3</v>
          </cell>
        </row>
        <row r="193">
          <cell r="D193" t="str">
            <v>کریم پرست</v>
          </cell>
          <cell r="O193">
            <v>7301</v>
          </cell>
          <cell r="AC193" t="str">
            <v>1405/04/10</v>
          </cell>
          <cell r="AF193">
            <v>7</v>
          </cell>
        </row>
        <row r="194">
          <cell r="D194" t="str">
            <v>کریم پرست</v>
          </cell>
          <cell r="O194" t="str">
            <v>مونتاژ</v>
          </cell>
          <cell r="AC194" t="str">
            <v>1405/04/10</v>
          </cell>
          <cell r="AF194">
            <v>2</v>
          </cell>
        </row>
        <row r="195">
          <cell r="D195" t="str">
            <v>باقری اصل</v>
          </cell>
          <cell r="O195">
            <v>7204</v>
          </cell>
          <cell r="AC195" t="str">
            <v>1405/04/10</v>
          </cell>
          <cell r="AF195">
            <v>5.5</v>
          </cell>
        </row>
        <row r="196">
          <cell r="D196" t="str">
            <v>باقری اصل</v>
          </cell>
          <cell r="O196">
            <v>7204</v>
          </cell>
          <cell r="AC196" t="str">
            <v>1405/04/10</v>
          </cell>
          <cell r="AF196">
            <v>5.5</v>
          </cell>
        </row>
        <row r="197">
          <cell r="D197" t="str">
            <v>موسوی</v>
          </cell>
          <cell r="O197">
            <v>7302</v>
          </cell>
          <cell r="AC197" t="str">
            <v>1405/04/10</v>
          </cell>
          <cell r="AF197">
            <v>4</v>
          </cell>
        </row>
        <row r="198">
          <cell r="D198" t="str">
            <v>موسوی</v>
          </cell>
          <cell r="O198">
            <v>7302</v>
          </cell>
          <cell r="AC198" t="str">
            <v>1405/04/10</v>
          </cell>
          <cell r="AF198">
            <v>2</v>
          </cell>
        </row>
        <row r="199">
          <cell r="D199" t="str">
            <v>موسوی</v>
          </cell>
          <cell r="O199">
            <v>7302</v>
          </cell>
          <cell r="AC199" t="str">
            <v>1405/04/10</v>
          </cell>
          <cell r="AF199">
            <v>2</v>
          </cell>
        </row>
        <row r="200">
          <cell r="D200" t="str">
            <v>موسوی</v>
          </cell>
          <cell r="O200">
            <v>7302</v>
          </cell>
          <cell r="AC200" t="str">
            <v>1405/04/10</v>
          </cell>
          <cell r="AF200">
            <v>3</v>
          </cell>
        </row>
        <row r="201">
          <cell r="D201" t="str">
            <v>یاراحمدی</v>
          </cell>
          <cell r="O201">
            <v>7502</v>
          </cell>
          <cell r="AC201" t="str">
            <v>1405/04/10</v>
          </cell>
          <cell r="AF201">
            <v>11</v>
          </cell>
        </row>
        <row r="202">
          <cell r="D202" t="str">
            <v>یاراحمدی</v>
          </cell>
          <cell r="O202">
            <v>7501</v>
          </cell>
          <cell r="AC202" t="str">
            <v>1405/04/10</v>
          </cell>
          <cell r="AF202">
            <v>4</v>
          </cell>
        </row>
        <row r="203">
          <cell r="D203" t="str">
            <v>یاراحمدی</v>
          </cell>
          <cell r="O203">
            <v>7501</v>
          </cell>
          <cell r="AC203" t="str">
            <v>1405/04/10</v>
          </cell>
          <cell r="AF203">
            <v>1</v>
          </cell>
        </row>
        <row r="204">
          <cell r="D204" t="str">
            <v>یاراحمدی</v>
          </cell>
          <cell r="O204">
            <v>7501</v>
          </cell>
          <cell r="AC204" t="str">
            <v>1405/04/10</v>
          </cell>
          <cell r="AF204">
            <v>2</v>
          </cell>
        </row>
        <row r="205">
          <cell r="D205" t="str">
            <v>یاراحمدی</v>
          </cell>
          <cell r="O205">
            <v>7501</v>
          </cell>
          <cell r="AC205" t="str">
            <v>1405/04/10</v>
          </cell>
          <cell r="AF205">
            <v>1</v>
          </cell>
        </row>
        <row r="206">
          <cell r="D206" t="str">
            <v>حیدری</v>
          </cell>
          <cell r="O206" t="str">
            <v>مونتاژ</v>
          </cell>
          <cell r="AC206" t="str">
            <v>1405/04/10</v>
          </cell>
          <cell r="AF206">
            <v>3.5</v>
          </cell>
        </row>
        <row r="207">
          <cell r="D207" t="str">
            <v>حیدری</v>
          </cell>
          <cell r="O207" t="str">
            <v>مونتاژ</v>
          </cell>
          <cell r="AC207" t="str">
            <v>1405/04/10</v>
          </cell>
          <cell r="AF207">
            <v>1</v>
          </cell>
        </row>
        <row r="208">
          <cell r="D208" t="str">
            <v>حیدری</v>
          </cell>
          <cell r="O208" t="str">
            <v>مونتاژ</v>
          </cell>
          <cell r="AC208" t="str">
            <v>1405/04/10</v>
          </cell>
          <cell r="AF208">
            <v>2</v>
          </cell>
        </row>
        <row r="209">
          <cell r="D209" t="str">
            <v>حیدری</v>
          </cell>
          <cell r="O209">
            <v>7101</v>
          </cell>
          <cell r="AC209" t="str">
            <v>1405/04/10</v>
          </cell>
          <cell r="AF209">
            <v>1</v>
          </cell>
        </row>
        <row r="210">
          <cell r="D210" t="str">
            <v>حیدری</v>
          </cell>
          <cell r="O210" t="str">
            <v>مونتاژ</v>
          </cell>
          <cell r="AC210" t="str">
            <v>1405/04/10</v>
          </cell>
          <cell r="AF210">
            <v>1.5</v>
          </cell>
        </row>
        <row r="211">
          <cell r="D211" t="str">
            <v>هاشم زاده</v>
          </cell>
          <cell r="O211" t="str">
            <v>مونتاژ</v>
          </cell>
          <cell r="AC211" t="str">
            <v>1405/04/10</v>
          </cell>
          <cell r="AF211">
            <v>5</v>
          </cell>
        </row>
        <row r="212">
          <cell r="D212" t="str">
            <v>هاشم زاده</v>
          </cell>
          <cell r="O212" t="str">
            <v>دمونتاژ</v>
          </cell>
          <cell r="AC212" t="str">
            <v>1405/04/10</v>
          </cell>
          <cell r="AF212">
            <v>2</v>
          </cell>
        </row>
        <row r="213">
          <cell r="D213" t="str">
            <v>هاشم زاده</v>
          </cell>
          <cell r="O213" t="str">
            <v>مونتاژ</v>
          </cell>
          <cell r="AC213" t="str">
            <v>1405/04/10</v>
          </cell>
          <cell r="AF213">
            <v>2</v>
          </cell>
        </row>
        <row r="214">
          <cell r="D214" t="str">
            <v>هاشم زاده</v>
          </cell>
          <cell r="O214">
            <v>8001</v>
          </cell>
          <cell r="AC214" t="str">
            <v>1405/04/10</v>
          </cell>
          <cell r="AF214">
            <v>2</v>
          </cell>
        </row>
        <row r="215">
          <cell r="D215" t="str">
            <v>صلواتی</v>
          </cell>
          <cell r="O215">
            <v>7601</v>
          </cell>
          <cell r="AC215" t="str">
            <v>1405/04/10</v>
          </cell>
          <cell r="AF215">
            <v>11</v>
          </cell>
        </row>
        <row r="216">
          <cell r="D216" t="str">
            <v>صلواتی</v>
          </cell>
          <cell r="O216">
            <v>7602</v>
          </cell>
          <cell r="AC216" t="str">
            <v>1405/04/10</v>
          </cell>
          <cell r="AF216">
            <v>11</v>
          </cell>
        </row>
        <row r="217">
          <cell r="D217" t="str">
            <v>صلواتی</v>
          </cell>
          <cell r="O217">
            <v>7603</v>
          </cell>
          <cell r="AC217" t="str">
            <v>1405/04/10</v>
          </cell>
          <cell r="AF217">
            <v>2</v>
          </cell>
        </row>
        <row r="218">
          <cell r="D218" t="str">
            <v>صلواتی</v>
          </cell>
          <cell r="O218">
            <v>7605</v>
          </cell>
          <cell r="AC218" t="str">
            <v>1405/04/10</v>
          </cell>
          <cell r="AF218">
            <v>2</v>
          </cell>
        </row>
        <row r="219">
          <cell r="D219" t="str">
            <v>خیرخواه</v>
          </cell>
          <cell r="O219" t="str">
            <v>مونتاژ</v>
          </cell>
          <cell r="AC219" t="str">
            <v>1405/04/10</v>
          </cell>
          <cell r="AF219">
            <v>1.5</v>
          </cell>
        </row>
        <row r="220">
          <cell r="D220" t="str">
            <v>خیرخواه</v>
          </cell>
          <cell r="O220" t="str">
            <v>مونتاژ</v>
          </cell>
          <cell r="AC220" t="str">
            <v>1405/04/10</v>
          </cell>
          <cell r="AF220">
            <v>2.5</v>
          </cell>
        </row>
        <row r="221">
          <cell r="D221" t="str">
            <v>خیرخواه</v>
          </cell>
          <cell r="O221">
            <v>7401</v>
          </cell>
          <cell r="AC221" t="str">
            <v>1405/04/10</v>
          </cell>
          <cell r="AF221">
            <v>1</v>
          </cell>
        </row>
        <row r="222">
          <cell r="D222" t="str">
            <v>خیرخواه</v>
          </cell>
          <cell r="O222" t="str">
            <v>مونتاژ</v>
          </cell>
          <cell r="AC222" t="str">
            <v>1405/04/10</v>
          </cell>
          <cell r="AF222">
            <v>1.5</v>
          </cell>
        </row>
        <row r="223">
          <cell r="D223" t="str">
            <v>خیرخواه</v>
          </cell>
          <cell r="O223">
            <v>7401</v>
          </cell>
          <cell r="AC223" t="str">
            <v>1405/04/10</v>
          </cell>
          <cell r="AF223">
            <v>1</v>
          </cell>
        </row>
        <row r="224">
          <cell r="D224" t="str">
            <v>خیرخواه</v>
          </cell>
          <cell r="O224" t="str">
            <v>مونتاژ</v>
          </cell>
          <cell r="AC224" t="str">
            <v>1405/04/10</v>
          </cell>
          <cell r="AF224">
            <v>2</v>
          </cell>
        </row>
        <row r="225">
          <cell r="D225" t="str">
            <v>خیرخواه</v>
          </cell>
          <cell r="O225" t="str">
            <v>مونتاژ</v>
          </cell>
          <cell r="AC225" t="str">
            <v>1405/04/10</v>
          </cell>
          <cell r="AF225">
            <v>1</v>
          </cell>
        </row>
        <row r="226">
          <cell r="D226" t="str">
            <v>زیلویی</v>
          </cell>
          <cell r="O226">
            <v>7203</v>
          </cell>
          <cell r="AC226" t="str">
            <v>1405/04/11</v>
          </cell>
          <cell r="AF226">
            <v>7.5</v>
          </cell>
        </row>
        <row r="227">
          <cell r="D227" t="str">
            <v>قیطاسوند</v>
          </cell>
          <cell r="O227">
            <v>7102</v>
          </cell>
          <cell r="AC227" t="str">
            <v>1405/04/11</v>
          </cell>
          <cell r="AF227">
            <v>7.5</v>
          </cell>
        </row>
        <row r="228">
          <cell r="D228" t="str">
            <v>باقری اصل</v>
          </cell>
          <cell r="O228">
            <v>7204</v>
          </cell>
          <cell r="AC228" t="str">
            <v>1405/04/11</v>
          </cell>
          <cell r="AF228">
            <v>5.5</v>
          </cell>
        </row>
        <row r="229">
          <cell r="D229" t="str">
            <v>باقری اصل</v>
          </cell>
          <cell r="O229">
            <v>7204</v>
          </cell>
          <cell r="AC229" t="str">
            <v>1405/04/11</v>
          </cell>
          <cell r="AF229">
            <v>2</v>
          </cell>
        </row>
        <row r="230">
          <cell r="D230" t="str">
            <v>باقری اصل</v>
          </cell>
          <cell r="O230">
            <v>7204</v>
          </cell>
          <cell r="AC230" t="str">
            <v>1405/04/12</v>
          </cell>
          <cell r="AF230">
            <v>3</v>
          </cell>
        </row>
        <row r="231">
          <cell r="D231" t="str">
            <v>یاراحمدی</v>
          </cell>
          <cell r="O231">
            <v>7502</v>
          </cell>
          <cell r="AC231" t="str">
            <v>1405/04/11</v>
          </cell>
          <cell r="AF231">
            <v>7.5</v>
          </cell>
        </row>
        <row r="232">
          <cell r="D232" t="str">
            <v>یاراحمدی</v>
          </cell>
          <cell r="O232">
            <v>7501</v>
          </cell>
          <cell r="AC232" t="str">
            <v>1405/04/11</v>
          </cell>
          <cell r="AF232">
            <v>3.6666666666666665</v>
          </cell>
        </row>
        <row r="233">
          <cell r="D233" t="str">
            <v>یاراحمدی</v>
          </cell>
          <cell r="O233">
            <v>7501</v>
          </cell>
          <cell r="AC233" t="str">
            <v>1405/04/11</v>
          </cell>
          <cell r="AF233">
            <v>3.8333333333333335</v>
          </cell>
        </row>
        <row r="234">
          <cell r="D234" t="str">
            <v>موسوی</v>
          </cell>
          <cell r="O234">
            <v>7302</v>
          </cell>
          <cell r="AC234" t="str">
            <v>1405/04/11</v>
          </cell>
          <cell r="AF234">
            <v>3</v>
          </cell>
        </row>
        <row r="235">
          <cell r="D235" t="str">
            <v>موسوی</v>
          </cell>
          <cell r="O235">
            <v>7302</v>
          </cell>
          <cell r="AC235" t="str">
            <v>1405/04/11</v>
          </cell>
          <cell r="AF235">
            <v>2</v>
          </cell>
        </row>
        <row r="236">
          <cell r="D236" t="str">
            <v>موسوی</v>
          </cell>
          <cell r="O236">
            <v>7302</v>
          </cell>
          <cell r="AC236" t="str">
            <v>1405/04/11</v>
          </cell>
          <cell r="AF236">
            <v>1</v>
          </cell>
        </row>
        <row r="237">
          <cell r="D237" t="str">
            <v>موسوی</v>
          </cell>
          <cell r="O237">
            <v>7302</v>
          </cell>
          <cell r="AC237" t="str">
            <v>1405/04/11</v>
          </cell>
          <cell r="AF237">
            <v>1</v>
          </cell>
        </row>
        <row r="238">
          <cell r="D238" t="str">
            <v>صلواتی</v>
          </cell>
          <cell r="O238">
            <v>7601</v>
          </cell>
          <cell r="AC238" t="str">
            <v>1405/04/11</v>
          </cell>
          <cell r="AF238">
            <v>5</v>
          </cell>
        </row>
        <row r="239">
          <cell r="D239" t="str">
            <v>صلواتی</v>
          </cell>
          <cell r="O239">
            <v>7602</v>
          </cell>
          <cell r="AC239" t="str">
            <v>1405/04/11</v>
          </cell>
          <cell r="AF239">
            <v>8</v>
          </cell>
        </row>
        <row r="240">
          <cell r="D240" t="str">
            <v>صلواتی</v>
          </cell>
          <cell r="O240">
            <v>7603</v>
          </cell>
          <cell r="AC240" t="str">
            <v>1405/04/11</v>
          </cell>
          <cell r="AF240">
            <v>3</v>
          </cell>
        </row>
        <row r="241">
          <cell r="D241" t="str">
            <v>صلواتی</v>
          </cell>
          <cell r="O241">
            <v>7603</v>
          </cell>
          <cell r="AC241" t="str">
            <v>1405/04/11</v>
          </cell>
          <cell r="AF241">
            <v>5</v>
          </cell>
        </row>
        <row r="242">
          <cell r="D242" t="str">
            <v>هاشم زاده</v>
          </cell>
          <cell r="O242" t="str">
            <v>مونتاژ</v>
          </cell>
          <cell r="AC242" t="str">
            <v>1405/04/11</v>
          </cell>
          <cell r="AF242">
            <v>3</v>
          </cell>
        </row>
        <row r="243">
          <cell r="D243" t="str">
            <v>هاشم زاده</v>
          </cell>
          <cell r="O243" t="str">
            <v>دمونتاژ</v>
          </cell>
          <cell r="AC243" t="str">
            <v>1405/04/11</v>
          </cell>
          <cell r="AF243">
            <v>2</v>
          </cell>
        </row>
        <row r="244">
          <cell r="D244" t="str">
            <v>هاشم زاده</v>
          </cell>
          <cell r="O244" t="str">
            <v>مونتاژ</v>
          </cell>
          <cell r="AC244" t="str">
            <v>1405/04/11</v>
          </cell>
          <cell r="AF244">
            <v>1.5</v>
          </cell>
        </row>
        <row r="245">
          <cell r="D245" t="str">
            <v>هاشم زاده</v>
          </cell>
          <cell r="O245" t="str">
            <v>نظافت</v>
          </cell>
          <cell r="AC245" t="str">
            <v>1405/04/11</v>
          </cell>
          <cell r="AF245">
            <v>1</v>
          </cell>
        </row>
        <row r="246">
          <cell r="D246" t="str">
            <v>هاشم زاده</v>
          </cell>
          <cell r="O246" t="str">
            <v>مونتاژ</v>
          </cell>
          <cell r="AC246" t="str">
            <v>1405/04/12</v>
          </cell>
          <cell r="AF246">
            <v>4</v>
          </cell>
        </row>
        <row r="247">
          <cell r="D247" t="str">
            <v>هاشم زاده</v>
          </cell>
          <cell r="O247" t="str">
            <v>دمونتاژ</v>
          </cell>
          <cell r="AC247" t="str">
            <v>1405/04/12</v>
          </cell>
          <cell r="AF247">
            <v>1</v>
          </cell>
        </row>
        <row r="248">
          <cell r="D248" t="str">
            <v>هاشم زاده</v>
          </cell>
          <cell r="O248" t="str">
            <v>دمونتاژ</v>
          </cell>
          <cell r="AC248" t="str">
            <v>1405/04/12</v>
          </cell>
          <cell r="AF248">
            <v>1.5</v>
          </cell>
        </row>
        <row r="249">
          <cell r="D249" t="str">
            <v>خیرخواه</v>
          </cell>
          <cell r="O249">
            <v>7401</v>
          </cell>
          <cell r="AC249" t="str">
            <v>1405/04/11</v>
          </cell>
          <cell r="AF249">
            <v>0.5</v>
          </cell>
        </row>
        <row r="250">
          <cell r="D250" t="str">
            <v>خیرخواه</v>
          </cell>
          <cell r="O250">
            <v>7401</v>
          </cell>
          <cell r="AC250" t="str">
            <v>1405/04/11</v>
          </cell>
          <cell r="AF250">
            <v>3</v>
          </cell>
        </row>
        <row r="251">
          <cell r="D251" t="str">
            <v>خیرخواه</v>
          </cell>
          <cell r="O251" t="str">
            <v>مونتاژ</v>
          </cell>
          <cell r="AC251" t="str">
            <v>1405/04/11</v>
          </cell>
          <cell r="AF251">
            <v>1.5</v>
          </cell>
        </row>
        <row r="252">
          <cell r="D252" t="str">
            <v>خیرخواه</v>
          </cell>
          <cell r="O252" t="str">
            <v>دمونتاژ</v>
          </cell>
          <cell r="AC252" t="str">
            <v>1405/04/11</v>
          </cell>
          <cell r="AF252">
            <v>1</v>
          </cell>
        </row>
        <row r="253">
          <cell r="D253" t="str">
            <v>خیرخواه</v>
          </cell>
          <cell r="O253" t="str">
            <v>دمونتاژ</v>
          </cell>
          <cell r="AC253" t="str">
            <v>1405/04/11</v>
          </cell>
          <cell r="AF253">
            <v>1</v>
          </cell>
        </row>
        <row r="254">
          <cell r="D254" t="str">
            <v>خیرخواه</v>
          </cell>
          <cell r="O254" t="str">
            <v>مونتاژ</v>
          </cell>
          <cell r="AC254" t="str">
            <v>1405/04/12</v>
          </cell>
          <cell r="AF254">
            <v>4</v>
          </cell>
        </row>
        <row r="255">
          <cell r="D255" t="str">
            <v>خیرخواه</v>
          </cell>
          <cell r="O255">
            <v>7501</v>
          </cell>
          <cell r="AC255" t="str">
            <v>1405/04/12</v>
          </cell>
          <cell r="AF255">
            <v>2</v>
          </cell>
        </row>
        <row r="256">
          <cell r="D256" t="str">
            <v>خیرخواه</v>
          </cell>
          <cell r="O256">
            <v>7302</v>
          </cell>
          <cell r="AC256" t="str">
            <v>1405/04/12</v>
          </cell>
          <cell r="AF256">
            <v>0.5</v>
          </cell>
        </row>
        <row r="257">
          <cell r="D257" t="str">
            <v>یاراحمدی</v>
          </cell>
          <cell r="O257">
            <v>7502</v>
          </cell>
          <cell r="AC257" t="str">
            <v>1405/04/13</v>
          </cell>
          <cell r="AF257">
            <v>9</v>
          </cell>
        </row>
        <row r="258">
          <cell r="D258" t="str">
            <v>یاراحمدی</v>
          </cell>
          <cell r="O258">
            <v>7501</v>
          </cell>
          <cell r="AC258" t="str">
            <v>1405/04/13</v>
          </cell>
          <cell r="AF258">
            <v>2</v>
          </cell>
        </row>
        <row r="259">
          <cell r="D259" t="str">
            <v>یاراحمدی</v>
          </cell>
          <cell r="O259">
            <v>7501</v>
          </cell>
          <cell r="AC259" t="str">
            <v>1405/04/13</v>
          </cell>
          <cell r="AF259">
            <v>1</v>
          </cell>
        </row>
        <row r="260">
          <cell r="D260" t="str">
            <v>یاراحمدی</v>
          </cell>
          <cell r="O260">
            <v>7501</v>
          </cell>
          <cell r="AC260" t="str">
            <v>1405/04/13</v>
          </cell>
          <cell r="AF260">
            <v>1</v>
          </cell>
        </row>
        <row r="261">
          <cell r="D261" t="str">
            <v>یاراحمدی</v>
          </cell>
          <cell r="O261">
            <v>7501</v>
          </cell>
          <cell r="AC261" t="str">
            <v>1405/04/13</v>
          </cell>
          <cell r="AF261">
            <v>4</v>
          </cell>
        </row>
        <row r="262">
          <cell r="D262" t="str">
            <v>کریم پرست</v>
          </cell>
          <cell r="O262">
            <v>7301</v>
          </cell>
          <cell r="AC262" t="str">
            <v>1405/04/13</v>
          </cell>
          <cell r="AF262">
            <v>5.5</v>
          </cell>
        </row>
        <row r="263">
          <cell r="D263" t="str">
            <v>کریم پرست</v>
          </cell>
          <cell r="O263">
            <v>7301</v>
          </cell>
          <cell r="AC263" t="str">
            <v>1405/04/13</v>
          </cell>
          <cell r="AF263">
            <v>5.5</v>
          </cell>
        </row>
        <row r="264">
          <cell r="D264" t="str">
            <v>فراهی</v>
          </cell>
          <cell r="O264">
            <v>7103</v>
          </cell>
          <cell r="AC264" t="str">
            <v>1405/04/13</v>
          </cell>
          <cell r="AF264">
            <v>11</v>
          </cell>
        </row>
        <row r="265">
          <cell r="D265" t="str">
            <v>قیطاسوند</v>
          </cell>
          <cell r="O265">
            <v>7102</v>
          </cell>
          <cell r="AC265" t="str">
            <v>1405/04/13</v>
          </cell>
          <cell r="AF265">
            <v>11</v>
          </cell>
        </row>
        <row r="266">
          <cell r="D266" t="str">
            <v>هاشم زاده</v>
          </cell>
          <cell r="O266" t="str">
            <v>مونتاژ</v>
          </cell>
          <cell r="AC266" t="str">
            <v>1405/04/13</v>
          </cell>
          <cell r="AF266">
            <v>3</v>
          </cell>
        </row>
        <row r="267">
          <cell r="D267" t="str">
            <v>هاشم زاده</v>
          </cell>
          <cell r="O267" t="str">
            <v>مونتاژ</v>
          </cell>
          <cell r="AC267" t="str">
            <v>1405/04/13</v>
          </cell>
          <cell r="AF267">
            <v>2</v>
          </cell>
        </row>
        <row r="268">
          <cell r="D268" t="str">
            <v>هاشم زاده</v>
          </cell>
          <cell r="O268" t="str">
            <v>دمونتاژ</v>
          </cell>
          <cell r="AC268" t="str">
            <v>1405/04/13</v>
          </cell>
          <cell r="AF268">
            <v>2</v>
          </cell>
        </row>
        <row r="269">
          <cell r="D269" t="str">
            <v>هاشم زاده</v>
          </cell>
          <cell r="O269" t="str">
            <v>مونتاژ</v>
          </cell>
          <cell r="AC269" t="str">
            <v>1405/04/13</v>
          </cell>
          <cell r="AF269">
            <v>2</v>
          </cell>
        </row>
        <row r="270">
          <cell r="D270" t="str">
            <v>هاشم زاده</v>
          </cell>
          <cell r="O270">
            <v>7501</v>
          </cell>
          <cell r="AC270" t="str">
            <v>1405/04/13</v>
          </cell>
          <cell r="AF270">
            <v>2</v>
          </cell>
        </row>
        <row r="271">
          <cell r="D271" t="str">
            <v>حیدری</v>
          </cell>
          <cell r="O271" t="str">
            <v>دمونتاژ</v>
          </cell>
          <cell r="AC271" t="str">
            <v>1405/04/13</v>
          </cell>
          <cell r="AF271">
            <v>2</v>
          </cell>
        </row>
        <row r="272">
          <cell r="D272" t="str">
            <v>حیدری</v>
          </cell>
          <cell r="O272">
            <v>7101</v>
          </cell>
          <cell r="AC272" t="str">
            <v>1405/04/13</v>
          </cell>
          <cell r="AF272">
            <v>2</v>
          </cell>
        </row>
        <row r="273">
          <cell r="D273" t="str">
            <v>حیدری</v>
          </cell>
          <cell r="O273" t="str">
            <v>مونتاژ</v>
          </cell>
          <cell r="AC273" t="str">
            <v>1405/04/13</v>
          </cell>
          <cell r="AF273">
            <v>3</v>
          </cell>
        </row>
        <row r="274">
          <cell r="D274" t="str">
            <v>حیدری</v>
          </cell>
          <cell r="O274" t="str">
            <v>مونتاژ</v>
          </cell>
          <cell r="AC274" t="str">
            <v>1405/04/13</v>
          </cell>
          <cell r="AF274">
            <v>3</v>
          </cell>
        </row>
        <row r="275">
          <cell r="D275" t="str">
            <v>خیرخواه</v>
          </cell>
          <cell r="O275" t="str">
            <v>مونتاژ</v>
          </cell>
          <cell r="AC275" t="str">
            <v>1405/04/13</v>
          </cell>
          <cell r="AF275">
            <v>3</v>
          </cell>
        </row>
        <row r="276">
          <cell r="D276" t="str">
            <v>خیرخواه</v>
          </cell>
          <cell r="O276" t="str">
            <v>مونتاژ</v>
          </cell>
          <cell r="AC276" t="str">
            <v>1405/04/13</v>
          </cell>
          <cell r="AF276">
            <v>2.5</v>
          </cell>
        </row>
        <row r="277">
          <cell r="D277" t="str">
            <v>خیرخواه</v>
          </cell>
          <cell r="O277">
            <v>7401</v>
          </cell>
          <cell r="AC277" t="str">
            <v>1405/04/13</v>
          </cell>
          <cell r="AF277">
            <v>1.5</v>
          </cell>
        </row>
        <row r="278">
          <cell r="D278" t="str">
            <v>خیرخواه</v>
          </cell>
          <cell r="O278">
            <v>7401</v>
          </cell>
          <cell r="AC278" t="str">
            <v>1405/04/13</v>
          </cell>
          <cell r="AF278">
            <v>1</v>
          </cell>
        </row>
        <row r="279">
          <cell r="D279" t="str">
            <v>خیرخواه</v>
          </cell>
          <cell r="O279" t="str">
            <v>دمونتاژ</v>
          </cell>
          <cell r="AC279" t="str">
            <v>1405/04/14</v>
          </cell>
          <cell r="AF279">
            <v>2</v>
          </cell>
        </row>
        <row r="280">
          <cell r="D280" t="str">
            <v>خیرخواه</v>
          </cell>
          <cell r="O280" t="str">
            <v>دمونتاژ</v>
          </cell>
          <cell r="AC280" t="str">
            <v>1405/04/14</v>
          </cell>
          <cell r="AF280">
            <v>2</v>
          </cell>
        </row>
        <row r="281">
          <cell r="D281" t="str">
            <v>خیرخواه</v>
          </cell>
          <cell r="O281" t="str">
            <v>مونتاژ</v>
          </cell>
          <cell r="AC281" t="str">
            <v>1405/04/14</v>
          </cell>
          <cell r="AF281">
            <v>2</v>
          </cell>
        </row>
        <row r="282">
          <cell r="D282" t="str">
            <v>خیرخواه</v>
          </cell>
          <cell r="O282" t="str">
            <v>دمونتاژ</v>
          </cell>
          <cell r="AC282" t="str">
            <v>1405/04/14</v>
          </cell>
          <cell r="AF282">
            <v>2</v>
          </cell>
        </row>
        <row r="283">
          <cell r="D283" t="str">
            <v>باقری اصل</v>
          </cell>
          <cell r="O283">
            <v>7204</v>
          </cell>
          <cell r="AC283" t="str">
            <v>1405/04/13</v>
          </cell>
          <cell r="AF283">
            <v>11</v>
          </cell>
        </row>
        <row r="284">
          <cell r="D284" t="str">
            <v>کاظمی</v>
          </cell>
          <cell r="O284">
            <v>7202</v>
          </cell>
          <cell r="AC284" t="str">
            <v>1405/04/13</v>
          </cell>
          <cell r="AF284">
            <v>5</v>
          </cell>
        </row>
        <row r="285">
          <cell r="D285" t="str">
            <v>زیلویی</v>
          </cell>
          <cell r="O285">
            <v>7202</v>
          </cell>
          <cell r="AC285" t="str">
            <v>1405/04/13</v>
          </cell>
          <cell r="AF285">
            <v>5.5</v>
          </cell>
        </row>
        <row r="286">
          <cell r="D286" t="str">
            <v>موسوی</v>
          </cell>
          <cell r="O286">
            <v>7302</v>
          </cell>
          <cell r="AC286" t="str">
            <v>1405/04/13</v>
          </cell>
          <cell r="AF286">
            <v>3</v>
          </cell>
        </row>
        <row r="287">
          <cell r="D287" t="str">
            <v>موسوی</v>
          </cell>
          <cell r="O287">
            <v>7302</v>
          </cell>
          <cell r="AC287" t="str">
            <v>1405/04/13</v>
          </cell>
          <cell r="AF287">
            <v>2</v>
          </cell>
        </row>
        <row r="288">
          <cell r="D288" t="str">
            <v>موسوی</v>
          </cell>
          <cell r="O288">
            <v>7302</v>
          </cell>
          <cell r="AC288" t="str">
            <v>1405/04/13</v>
          </cell>
          <cell r="AF288">
            <v>3</v>
          </cell>
        </row>
        <row r="289">
          <cell r="D289" t="str">
            <v>موسوی</v>
          </cell>
          <cell r="O289">
            <v>7302</v>
          </cell>
          <cell r="AC289" t="str">
            <v>1405/04/13</v>
          </cell>
          <cell r="AF289">
            <v>2</v>
          </cell>
        </row>
        <row r="290">
          <cell r="D290" t="str">
            <v>صلواتی</v>
          </cell>
          <cell r="O290">
            <v>7601</v>
          </cell>
          <cell r="AC290" t="str">
            <v>1405/04/13</v>
          </cell>
          <cell r="AF290">
            <v>12</v>
          </cell>
        </row>
        <row r="291">
          <cell r="D291" t="str">
            <v>صلواتی</v>
          </cell>
          <cell r="O291">
            <v>7605</v>
          </cell>
          <cell r="AC291" t="str">
            <v>1405/04/13</v>
          </cell>
          <cell r="AF291">
            <v>12</v>
          </cell>
        </row>
        <row r="292">
          <cell r="D292" t="str">
            <v>صلواتی</v>
          </cell>
          <cell r="O292">
            <v>7602</v>
          </cell>
          <cell r="AC292" t="str">
            <v>1405/04/13</v>
          </cell>
          <cell r="AF292">
            <v>4</v>
          </cell>
        </row>
        <row r="293">
          <cell r="D293" t="str">
            <v>صلواتی</v>
          </cell>
          <cell r="O293">
            <v>7602</v>
          </cell>
          <cell r="AC293" t="str">
            <v>1405/04/13</v>
          </cell>
          <cell r="AF293">
            <v>2</v>
          </cell>
        </row>
        <row r="294">
          <cell r="D294" t="str">
            <v>صلواتی</v>
          </cell>
          <cell r="O294">
            <v>7603</v>
          </cell>
          <cell r="AC294" t="str">
            <v>1405/04/13</v>
          </cell>
          <cell r="AF294">
            <v>9</v>
          </cell>
        </row>
        <row r="295">
          <cell r="D295" t="str">
            <v>صلواتی</v>
          </cell>
          <cell r="O295">
            <v>7602</v>
          </cell>
          <cell r="AC295" t="str">
            <v>1405/04/13</v>
          </cell>
          <cell r="AF295">
            <v>6</v>
          </cell>
        </row>
        <row r="296">
          <cell r="D296" t="str">
            <v>کاظمی</v>
          </cell>
          <cell r="O296">
            <v>7202</v>
          </cell>
          <cell r="AC296" t="str">
            <v>1405/04/14</v>
          </cell>
          <cell r="AF296">
            <v>11</v>
          </cell>
        </row>
        <row r="297">
          <cell r="D297" t="str">
            <v>زیلویی</v>
          </cell>
          <cell r="O297">
            <v>7203</v>
          </cell>
          <cell r="AC297" t="str">
            <v>1405/04/14</v>
          </cell>
          <cell r="AF297">
            <v>11</v>
          </cell>
        </row>
        <row r="298">
          <cell r="D298" t="str">
            <v>فراهی</v>
          </cell>
          <cell r="O298">
            <v>7103</v>
          </cell>
          <cell r="AC298" t="str">
            <v>1405/04/14</v>
          </cell>
          <cell r="AF298">
            <v>11</v>
          </cell>
        </row>
        <row r="299">
          <cell r="D299" t="str">
            <v>باقری اصل</v>
          </cell>
          <cell r="O299">
            <v>7204</v>
          </cell>
          <cell r="AC299" t="str">
            <v>1405/04/14</v>
          </cell>
          <cell r="AF299">
            <v>6.5</v>
          </cell>
        </row>
        <row r="300">
          <cell r="D300" t="str">
            <v>باقری اصل</v>
          </cell>
          <cell r="O300">
            <v>7204</v>
          </cell>
          <cell r="AC300" t="str">
            <v>1405/04/14</v>
          </cell>
          <cell r="AF300">
            <v>4.5</v>
          </cell>
        </row>
        <row r="301">
          <cell r="D301" t="str">
            <v>حیدری</v>
          </cell>
          <cell r="O301">
            <v>7401</v>
          </cell>
          <cell r="AC301" t="str">
            <v>1405/04/11</v>
          </cell>
          <cell r="AF301">
            <v>0.5</v>
          </cell>
        </row>
        <row r="302">
          <cell r="D302" t="str">
            <v>حیدری</v>
          </cell>
          <cell r="O302">
            <v>7401</v>
          </cell>
          <cell r="AC302" t="str">
            <v>1405/04/11</v>
          </cell>
          <cell r="AF302">
            <v>3</v>
          </cell>
        </row>
        <row r="303">
          <cell r="D303" t="str">
            <v>حیدری</v>
          </cell>
          <cell r="O303" t="str">
            <v>مونتاژ</v>
          </cell>
          <cell r="AC303" t="str">
            <v>1405/04/11</v>
          </cell>
          <cell r="AF303">
            <v>1.5</v>
          </cell>
        </row>
        <row r="304">
          <cell r="D304" t="str">
            <v>حیدری</v>
          </cell>
          <cell r="O304" t="str">
            <v>دمونتاژ</v>
          </cell>
          <cell r="AC304" t="str">
            <v>1405/04/11</v>
          </cell>
          <cell r="AF304">
            <v>1</v>
          </cell>
        </row>
        <row r="305">
          <cell r="D305" t="str">
            <v>حیدری</v>
          </cell>
          <cell r="O305" t="str">
            <v>دمونتاژ</v>
          </cell>
          <cell r="AC305" t="str">
            <v>1405/04/11</v>
          </cell>
          <cell r="AF305">
            <v>1</v>
          </cell>
        </row>
        <row r="306">
          <cell r="D306" t="str">
            <v>کریم پرست</v>
          </cell>
          <cell r="O306">
            <v>7301</v>
          </cell>
          <cell r="AC306" t="str">
            <v>1405/04/14</v>
          </cell>
          <cell r="AF306">
            <v>3.8333333333333335</v>
          </cell>
        </row>
        <row r="307">
          <cell r="D307" t="str">
            <v>کریم پرست</v>
          </cell>
          <cell r="O307">
            <v>7301</v>
          </cell>
          <cell r="AC307" t="str">
            <v>1405/04/14</v>
          </cell>
          <cell r="AF307">
            <v>7.166666666666667</v>
          </cell>
        </row>
        <row r="308">
          <cell r="D308" t="str">
            <v>یاراحمدی</v>
          </cell>
          <cell r="O308">
            <v>7502</v>
          </cell>
          <cell r="AC308" t="str">
            <v>1405/04/14</v>
          </cell>
          <cell r="AF308">
            <v>11</v>
          </cell>
        </row>
        <row r="309">
          <cell r="D309" t="str">
            <v>یاراحمدی</v>
          </cell>
          <cell r="O309">
            <v>7501</v>
          </cell>
          <cell r="AC309" t="str">
            <v>1405/04/14</v>
          </cell>
          <cell r="AF309">
            <v>4</v>
          </cell>
        </row>
        <row r="310">
          <cell r="D310" t="str">
            <v>یاراحمدی</v>
          </cell>
          <cell r="O310">
            <v>7501</v>
          </cell>
          <cell r="AC310" t="str">
            <v>1405/04/14</v>
          </cell>
          <cell r="AF310">
            <v>1</v>
          </cell>
        </row>
        <row r="311">
          <cell r="D311" t="str">
            <v>یاراحمدی</v>
          </cell>
          <cell r="O311">
            <v>7501</v>
          </cell>
          <cell r="AC311" t="str">
            <v>1405/04/14</v>
          </cell>
          <cell r="AF311">
            <v>1</v>
          </cell>
        </row>
        <row r="312">
          <cell r="D312" t="str">
            <v>حیدری</v>
          </cell>
          <cell r="O312">
            <v>7401</v>
          </cell>
          <cell r="AC312" t="str">
            <v>1405/04/14</v>
          </cell>
          <cell r="AF312">
            <v>1</v>
          </cell>
        </row>
        <row r="313">
          <cell r="D313" t="str">
            <v>حیدری</v>
          </cell>
          <cell r="O313">
            <v>7101</v>
          </cell>
          <cell r="AC313" t="str">
            <v>1405/04/14</v>
          </cell>
          <cell r="AF313">
            <v>1</v>
          </cell>
        </row>
        <row r="314">
          <cell r="D314" t="str">
            <v>حیدری</v>
          </cell>
          <cell r="O314" t="str">
            <v>مونتاژ</v>
          </cell>
          <cell r="AC314" t="str">
            <v>1405/04/14</v>
          </cell>
          <cell r="AF314">
            <v>4</v>
          </cell>
        </row>
        <row r="315">
          <cell r="D315" t="str">
            <v>حیدری</v>
          </cell>
          <cell r="O315" t="str">
            <v>دمونتاژ</v>
          </cell>
          <cell r="AC315" t="str">
            <v>1405/04/14</v>
          </cell>
          <cell r="AF315">
            <v>4</v>
          </cell>
        </row>
        <row r="316">
          <cell r="D316" t="str">
            <v>حیدری</v>
          </cell>
          <cell r="O316" t="str">
            <v>مونتاژ</v>
          </cell>
          <cell r="AC316" t="str">
            <v>1405/04/14</v>
          </cell>
          <cell r="AF316">
            <v>1</v>
          </cell>
        </row>
        <row r="317">
          <cell r="D317" t="str">
            <v>موسوی</v>
          </cell>
          <cell r="O317">
            <v>7302</v>
          </cell>
          <cell r="AC317" t="str">
            <v>1405/04/14</v>
          </cell>
          <cell r="AF317">
            <v>2.5</v>
          </cell>
        </row>
        <row r="318">
          <cell r="D318" t="str">
            <v>موسوی</v>
          </cell>
          <cell r="O318">
            <v>7302</v>
          </cell>
          <cell r="AC318" t="str">
            <v>1405/04/14</v>
          </cell>
          <cell r="AF318">
            <v>0.75</v>
          </cell>
        </row>
        <row r="319">
          <cell r="D319" t="str">
            <v>موسوی</v>
          </cell>
          <cell r="O319">
            <v>7302</v>
          </cell>
          <cell r="AC319" t="str">
            <v>1405/04/14</v>
          </cell>
          <cell r="AF319">
            <v>0.75</v>
          </cell>
        </row>
        <row r="320">
          <cell r="D320" t="str">
            <v>موسوی</v>
          </cell>
          <cell r="O320">
            <v>7302</v>
          </cell>
          <cell r="AC320" t="str">
            <v>1405/04/14</v>
          </cell>
          <cell r="AF320">
            <v>1.5</v>
          </cell>
        </row>
        <row r="321">
          <cell r="D321" t="str">
            <v>موسوی</v>
          </cell>
          <cell r="O321">
            <v>7302</v>
          </cell>
          <cell r="AC321" t="str">
            <v>1405/04/14</v>
          </cell>
          <cell r="AF321">
            <v>2</v>
          </cell>
        </row>
        <row r="322">
          <cell r="D322" t="str">
            <v>موسوی</v>
          </cell>
          <cell r="O322">
            <v>7302</v>
          </cell>
          <cell r="AC322" t="str">
            <v>1405/04/14</v>
          </cell>
          <cell r="AF322">
            <v>2</v>
          </cell>
        </row>
        <row r="323">
          <cell r="D323" t="str">
            <v>صلواتی</v>
          </cell>
          <cell r="O323">
            <v>7601</v>
          </cell>
          <cell r="AC323" t="str">
            <v>1405/04/14</v>
          </cell>
          <cell r="AF323">
            <v>10</v>
          </cell>
        </row>
        <row r="324">
          <cell r="D324" t="str">
            <v>صلواتی</v>
          </cell>
          <cell r="O324">
            <v>7605</v>
          </cell>
          <cell r="AC324" t="str">
            <v>1405/04/14</v>
          </cell>
          <cell r="AF324">
            <v>10</v>
          </cell>
        </row>
        <row r="325">
          <cell r="D325" t="str">
            <v>صلواتی</v>
          </cell>
          <cell r="O325">
            <v>7603</v>
          </cell>
          <cell r="AC325" t="str">
            <v>1405/04/14</v>
          </cell>
          <cell r="AF325">
            <v>10</v>
          </cell>
        </row>
        <row r="326">
          <cell r="D326" t="str">
            <v>صلواتی</v>
          </cell>
          <cell r="O326">
            <v>7602</v>
          </cell>
          <cell r="AC326" t="str">
            <v>1405/04/14</v>
          </cell>
          <cell r="AF326">
            <v>2</v>
          </cell>
        </row>
        <row r="327">
          <cell r="D327" t="str">
            <v>صلواتی</v>
          </cell>
          <cell r="O327">
            <v>7602</v>
          </cell>
          <cell r="AC327" t="str">
            <v>1405/04/14</v>
          </cell>
          <cell r="AF327">
            <v>5</v>
          </cell>
        </row>
        <row r="328">
          <cell r="D328" t="str">
            <v>صلواتی</v>
          </cell>
          <cell r="O328">
            <v>7602</v>
          </cell>
          <cell r="AC328" t="str">
            <v>1405/04/14</v>
          </cell>
          <cell r="AF328">
            <v>3</v>
          </cell>
        </row>
        <row r="329">
          <cell r="D329" t="str">
            <v>هاشم زاده</v>
          </cell>
          <cell r="O329" t="str">
            <v>مونتاژ</v>
          </cell>
          <cell r="AC329" t="str">
            <v>1405/04/14</v>
          </cell>
          <cell r="AF329">
            <v>3</v>
          </cell>
        </row>
        <row r="330">
          <cell r="D330" t="str">
            <v>هاشم زاده</v>
          </cell>
          <cell r="O330">
            <v>8001</v>
          </cell>
          <cell r="AC330" t="str">
            <v>1405/04/14</v>
          </cell>
          <cell r="AF330">
            <v>2</v>
          </cell>
        </row>
        <row r="331">
          <cell r="D331" t="str">
            <v>هاشم زاده</v>
          </cell>
          <cell r="O331" t="str">
            <v>مونتاژ</v>
          </cell>
          <cell r="AC331" t="str">
            <v>1405/04/14</v>
          </cell>
          <cell r="AF331">
            <v>3</v>
          </cell>
        </row>
        <row r="332">
          <cell r="D332" t="str">
            <v>هاشم زاده</v>
          </cell>
          <cell r="O332" t="str">
            <v>مونتاژ</v>
          </cell>
          <cell r="AC332" t="str">
            <v>1405/04/14</v>
          </cell>
          <cell r="AF332">
            <v>3</v>
          </cell>
        </row>
        <row r="333">
          <cell r="D333" t="str">
            <v>هاشم زاده</v>
          </cell>
          <cell r="O333" t="str">
            <v>مونتاژ</v>
          </cell>
          <cell r="AC333" t="str">
            <v>1405/04/15</v>
          </cell>
          <cell r="AF333">
            <v>5.5</v>
          </cell>
        </row>
        <row r="334">
          <cell r="D334" t="str">
            <v>هاشم زاده</v>
          </cell>
          <cell r="O334" t="str">
            <v>مونتاژ</v>
          </cell>
          <cell r="AC334" t="str">
            <v>1405/04/15</v>
          </cell>
          <cell r="AF334">
            <v>5.5</v>
          </cell>
        </row>
        <row r="335">
          <cell r="D335" t="str">
            <v>زاهدی</v>
          </cell>
          <cell r="O335">
            <v>7202</v>
          </cell>
          <cell r="AC335" t="str">
            <v>1405/04/15</v>
          </cell>
          <cell r="AF335">
            <v>11</v>
          </cell>
        </row>
        <row r="336">
          <cell r="D336" t="str">
            <v>فراهی</v>
          </cell>
          <cell r="O336">
            <v>7103</v>
          </cell>
          <cell r="AC336" t="str">
            <v>1405/04/15</v>
          </cell>
          <cell r="AF336">
            <v>5.5</v>
          </cell>
        </row>
        <row r="337">
          <cell r="D337" t="str">
            <v>قیطاسوند</v>
          </cell>
          <cell r="O337">
            <v>7102</v>
          </cell>
          <cell r="AC337" t="str">
            <v>1405/04/14</v>
          </cell>
          <cell r="AF337">
            <v>11</v>
          </cell>
        </row>
        <row r="338">
          <cell r="D338" t="str">
            <v>کریم پرست</v>
          </cell>
          <cell r="O338">
            <v>7301</v>
          </cell>
          <cell r="AC338" t="str">
            <v>1405/04/15</v>
          </cell>
          <cell r="AF338">
            <v>4.75</v>
          </cell>
        </row>
        <row r="339">
          <cell r="D339" t="str">
            <v>کریم پرست</v>
          </cell>
          <cell r="O339">
            <v>7301</v>
          </cell>
          <cell r="AC339" t="str">
            <v>1405/04/15</v>
          </cell>
          <cell r="AF339">
            <v>4.75</v>
          </cell>
        </row>
        <row r="340">
          <cell r="D340" t="str">
            <v>یاراحمدی</v>
          </cell>
          <cell r="O340">
            <v>7502</v>
          </cell>
          <cell r="AC340" t="str">
            <v>1405/04/15</v>
          </cell>
          <cell r="AF340">
            <v>11</v>
          </cell>
        </row>
        <row r="341">
          <cell r="D341" t="str">
            <v>یاراحمدی</v>
          </cell>
          <cell r="O341">
            <v>7501</v>
          </cell>
          <cell r="AC341" t="str">
            <v>1405/04/15</v>
          </cell>
          <cell r="AF341">
            <v>2</v>
          </cell>
        </row>
        <row r="342">
          <cell r="D342" t="str">
            <v>زیلویی</v>
          </cell>
          <cell r="O342">
            <v>7203</v>
          </cell>
          <cell r="AC342" t="str">
            <v>1405/04/15</v>
          </cell>
          <cell r="AF342">
            <v>5.5</v>
          </cell>
        </row>
        <row r="343">
          <cell r="D343" t="str">
            <v>زیلویی</v>
          </cell>
          <cell r="O343">
            <v>7203</v>
          </cell>
          <cell r="AC343" t="str">
            <v>1405/04/15</v>
          </cell>
          <cell r="AF343">
            <v>5.5</v>
          </cell>
        </row>
        <row r="344">
          <cell r="D344" t="str">
            <v>باقری اصل</v>
          </cell>
          <cell r="O344">
            <v>7204</v>
          </cell>
          <cell r="AC344" t="str">
            <v>1405/04/15</v>
          </cell>
          <cell r="AF344">
            <v>4.5</v>
          </cell>
        </row>
        <row r="345">
          <cell r="D345" t="str">
            <v>باقری اصل</v>
          </cell>
          <cell r="O345">
            <v>7204</v>
          </cell>
          <cell r="AC345" t="str">
            <v>1405/04/15</v>
          </cell>
          <cell r="AF345">
            <v>6.5</v>
          </cell>
        </row>
        <row r="346">
          <cell r="D346" t="str">
            <v>حیدری</v>
          </cell>
          <cell r="O346" t="str">
            <v>مونتاژ</v>
          </cell>
          <cell r="AC346" t="str">
            <v>1405/04/15</v>
          </cell>
          <cell r="AF346">
            <v>4</v>
          </cell>
        </row>
        <row r="347">
          <cell r="D347" t="str">
            <v>حیدری</v>
          </cell>
          <cell r="O347" t="str">
            <v>مونتاژ</v>
          </cell>
          <cell r="AC347" t="str">
            <v>1405/04/15</v>
          </cell>
          <cell r="AF347">
            <v>3</v>
          </cell>
        </row>
        <row r="348">
          <cell r="D348" t="str">
            <v>حیدری</v>
          </cell>
          <cell r="O348" t="str">
            <v>مونتاژ</v>
          </cell>
          <cell r="AC348" t="str">
            <v>1405/04/15</v>
          </cell>
          <cell r="AF348">
            <v>4</v>
          </cell>
        </row>
        <row r="349">
          <cell r="D349" t="str">
            <v>خیرخواه</v>
          </cell>
          <cell r="O349" t="str">
            <v>مونتاژ</v>
          </cell>
          <cell r="AC349" t="str">
            <v>1405/04/15</v>
          </cell>
          <cell r="AF349">
            <v>2</v>
          </cell>
        </row>
        <row r="350">
          <cell r="D350" t="str">
            <v>خیرخواه</v>
          </cell>
          <cell r="O350" t="str">
            <v>مونتاژ</v>
          </cell>
          <cell r="AC350" t="str">
            <v>1405/04/15</v>
          </cell>
          <cell r="AF350">
            <v>3</v>
          </cell>
        </row>
        <row r="351">
          <cell r="D351" t="str">
            <v>خیرخواه</v>
          </cell>
          <cell r="O351" t="str">
            <v>مونتاژ</v>
          </cell>
          <cell r="AC351" t="str">
            <v>1405/04/15</v>
          </cell>
          <cell r="AF351">
            <v>2</v>
          </cell>
        </row>
        <row r="352">
          <cell r="D352" t="str">
            <v>خیرخواه</v>
          </cell>
          <cell r="O352">
            <v>7401</v>
          </cell>
          <cell r="AC352" t="str">
            <v>1405/04/15</v>
          </cell>
          <cell r="AF352">
            <v>1</v>
          </cell>
        </row>
        <row r="353">
          <cell r="D353" t="str">
            <v>خیرخواه</v>
          </cell>
          <cell r="O353">
            <v>7401</v>
          </cell>
          <cell r="AC353" t="str">
            <v>1405/04/15</v>
          </cell>
          <cell r="AF353">
            <v>1</v>
          </cell>
        </row>
        <row r="354">
          <cell r="D354" t="str">
            <v>خیرخواه</v>
          </cell>
          <cell r="O354" t="str">
            <v>دمونتاژ</v>
          </cell>
          <cell r="AC354" t="str">
            <v>1405/04/15</v>
          </cell>
          <cell r="AF354">
            <v>1</v>
          </cell>
        </row>
        <row r="355">
          <cell r="D355" t="str">
            <v>صلواتی</v>
          </cell>
          <cell r="O355">
            <v>7601</v>
          </cell>
          <cell r="AC355" t="str">
            <v>1405/04/15</v>
          </cell>
          <cell r="AF355">
            <v>10</v>
          </cell>
        </row>
        <row r="356">
          <cell r="D356" t="str">
            <v>صلواتی</v>
          </cell>
          <cell r="O356">
            <v>7605</v>
          </cell>
          <cell r="AC356" t="str">
            <v>1405/04/15</v>
          </cell>
          <cell r="AF356">
            <v>10</v>
          </cell>
        </row>
        <row r="357">
          <cell r="D357" t="str">
            <v>صلواتی</v>
          </cell>
          <cell r="O357">
            <v>7602</v>
          </cell>
          <cell r="AC357" t="str">
            <v>1405/04/15</v>
          </cell>
          <cell r="AF357">
            <v>10</v>
          </cell>
        </row>
        <row r="358">
          <cell r="D358" t="str">
            <v>صلواتی</v>
          </cell>
          <cell r="O358">
            <v>7603</v>
          </cell>
          <cell r="AC358" t="str">
            <v>1405/04/15</v>
          </cell>
          <cell r="AF358">
            <v>3</v>
          </cell>
        </row>
        <row r="359">
          <cell r="D359" t="str">
            <v>صلواتی</v>
          </cell>
          <cell r="O359">
            <v>7603</v>
          </cell>
          <cell r="AC359" t="str">
            <v>1405/04/15</v>
          </cell>
          <cell r="AF359">
            <v>7</v>
          </cell>
        </row>
        <row r="360">
          <cell r="D360" t="str">
            <v>موسوی</v>
          </cell>
          <cell r="O360">
            <v>7302</v>
          </cell>
          <cell r="AC360" t="str">
            <v>1405/04/15</v>
          </cell>
          <cell r="AF360">
            <v>2</v>
          </cell>
        </row>
        <row r="361">
          <cell r="D361" t="str">
            <v>موسوی</v>
          </cell>
          <cell r="O361">
            <v>7302</v>
          </cell>
          <cell r="AC361" t="str">
            <v>1405/04/15</v>
          </cell>
          <cell r="AF361">
            <v>2</v>
          </cell>
        </row>
        <row r="362">
          <cell r="D362" t="str">
            <v>موسوی</v>
          </cell>
          <cell r="O362">
            <v>7302</v>
          </cell>
          <cell r="AC362" t="str">
            <v>1405/04/15</v>
          </cell>
          <cell r="AF362">
            <v>2</v>
          </cell>
        </row>
        <row r="363">
          <cell r="D363" t="str">
            <v>موسوی</v>
          </cell>
          <cell r="O363">
            <v>7302</v>
          </cell>
          <cell r="AC363" t="str">
            <v>1405/04/15</v>
          </cell>
          <cell r="AF363">
            <v>2</v>
          </cell>
        </row>
        <row r="364">
          <cell r="D364" t="str">
            <v>موسوی</v>
          </cell>
          <cell r="O364">
            <v>7302</v>
          </cell>
          <cell r="AC364" t="str">
            <v>1405/04/15</v>
          </cell>
          <cell r="AF364">
            <v>3</v>
          </cell>
        </row>
        <row r="365">
          <cell r="D365" t="str">
            <v>هاشم زاده</v>
          </cell>
          <cell r="O365" t="str">
            <v>مونتاژ</v>
          </cell>
          <cell r="AC365" t="str">
            <v>1405/04/15</v>
          </cell>
          <cell r="AF365">
            <v>4</v>
          </cell>
        </row>
        <row r="366">
          <cell r="D366" t="str">
            <v>هاشم زاده</v>
          </cell>
          <cell r="O366" t="str">
            <v>مونتاژ</v>
          </cell>
          <cell r="AC366" t="str">
            <v>1405/04/15</v>
          </cell>
          <cell r="AF366">
            <v>2</v>
          </cell>
        </row>
        <row r="367">
          <cell r="D367" t="str">
            <v>هاشم زاده</v>
          </cell>
          <cell r="O367" t="str">
            <v>مونتاژ</v>
          </cell>
          <cell r="AC367" t="str">
            <v>1405/04/15</v>
          </cell>
          <cell r="AF367">
            <v>1</v>
          </cell>
        </row>
        <row r="368">
          <cell r="D368" t="str">
            <v>هاشم زاده</v>
          </cell>
          <cell r="O368" t="str">
            <v>دمونتاژ</v>
          </cell>
          <cell r="AC368" t="str">
            <v>1405/04/15</v>
          </cell>
          <cell r="AF368">
            <v>1</v>
          </cell>
        </row>
        <row r="369">
          <cell r="D369" t="str">
            <v>هاشم زاده</v>
          </cell>
          <cell r="O369" t="str">
            <v>دمونتاژ</v>
          </cell>
          <cell r="AC369" t="str">
            <v>1405/04/15</v>
          </cell>
          <cell r="AF369">
            <v>3</v>
          </cell>
        </row>
        <row r="370">
          <cell r="D370" t="str">
            <v>زیلویی</v>
          </cell>
          <cell r="O370">
            <v>7203</v>
          </cell>
          <cell r="AC370" t="str">
            <v>1405/04/16</v>
          </cell>
          <cell r="AF370">
            <v>10</v>
          </cell>
        </row>
        <row r="371">
          <cell r="D371" t="str">
            <v>زیلویی</v>
          </cell>
          <cell r="O371">
            <v>7203</v>
          </cell>
          <cell r="AC371" t="str">
            <v>1405/04/16</v>
          </cell>
          <cell r="AF371">
            <v>1</v>
          </cell>
        </row>
        <row r="372">
          <cell r="D372" t="str">
            <v>باقری اصل</v>
          </cell>
          <cell r="O372">
            <v>7204</v>
          </cell>
          <cell r="AC372" t="str">
            <v>1405/04/16</v>
          </cell>
          <cell r="AF372">
            <v>11</v>
          </cell>
        </row>
        <row r="373">
          <cell r="D373" t="str">
            <v>زاهدی</v>
          </cell>
          <cell r="O373">
            <v>7202</v>
          </cell>
          <cell r="AC373" t="str">
            <v>1405/04/16</v>
          </cell>
          <cell r="AF373">
            <v>11</v>
          </cell>
        </row>
        <row r="374">
          <cell r="D374" t="str">
            <v>هاشم زاده</v>
          </cell>
          <cell r="O374" t="str">
            <v>مونتاژ</v>
          </cell>
          <cell r="AC374" t="str">
            <v>1405/04/16</v>
          </cell>
          <cell r="AF374">
            <v>11</v>
          </cell>
        </row>
        <row r="375">
          <cell r="D375" t="str">
            <v>یاراحمدی</v>
          </cell>
          <cell r="O375">
            <v>7502</v>
          </cell>
          <cell r="AC375" t="str">
            <v>1405/04/16</v>
          </cell>
          <cell r="AF375">
            <v>11</v>
          </cell>
        </row>
        <row r="376">
          <cell r="D376" t="str">
            <v>یاراحمدی</v>
          </cell>
          <cell r="O376">
            <v>7501</v>
          </cell>
          <cell r="AC376" t="str">
            <v>1405/04/16</v>
          </cell>
          <cell r="AF376">
            <v>1</v>
          </cell>
        </row>
        <row r="377">
          <cell r="D377" t="str">
            <v>قیطاسوند</v>
          </cell>
          <cell r="O377">
            <v>7102</v>
          </cell>
          <cell r="AC377" t="str">
            <v>1405/04/16</v>
          </cell>
          <cell r="AF377">
            <v>11</v>
          </cell>
        </row>
        <row r="378">
          <cell r="D378" t="str">
            <v>فراهی</v>
          </cell>
          <cell r="O378">
            <v>7103</v>
          </cell>
          <cell r="AC378" t="str">
            <v>1405/04/16</v>
          </cell>
          <cell r="AF378">
            <v>4</v>
          </cell>
        </row>
        <row r="379">
          <cell r="D379" t="str">
            <v>فراهی</v>
          </cell>
          <cell r="O379">
            <v>7103</v>
          </cell>
          <cell r="AC379" t="str">
            <v>1405/04/16</v>
          </cell>
          <cell r="AF379">
            <v>2.5</v>
          </cell>
        </row>
        <row r="380">
          <cell r="D380" t="str">
            <v>موسوی</v>
          </cell>
          <cell r="O380">
            <v>7302</v>
          </cell>
          <cell r="AC380" t="str">
            <v>1405/04/16</v>
          </cell>
          <cell r="AF380">
            <v>2</v>
          </cell>
        </row>
        <row r="381">
          <cell r="D381" t="str">
            <v>موسوی</v>
          </cell>
          <cell r="O381">
            <v>7302</v>
          </cell>
          <cell r="AC381" t="str">
            <v>1405/04/16</v>
          </cell>
          <cell r="AF381">
            <v>2</v>
          </cell>
        </row>
        <row r="382">
          <cell r="D382" t="str">
            <v>کریم پرست</v>
          </cell>
          <cell r="O382">
            <v>7301</v>
          </cell>
          <cell r="AC382" t="str">
            <v>1405/04/16</v>
          </cell>
          <cell r="AF382">
            <v>3.3333333333333335</v>
          </cell>
        </row>
        <row r="383">
          <cell r="D383" t="str">
            <v>کریم پرست</v>
          </cell>
          <cell r="O383">
            <v>7301</v>
          </cell>
          <cell r="AC383" t="str">
            <v>1405/04/16</v>
          </cell>
          <cell r="AF383">
            <v>3.3333333333333335</v>
          </cell>
        </row>
        <row r="384">
          <cell r="D384" t="str">
            <v>کریم پرست</v>
          </cell>
          <cell r="O384">
            <v>7301</v>
          </cell>
          <cell r="AC384" t="str">
            <v>1405/04/16</v>
          </cell>
          <cell r="AF384">
            <v>2</v>
          </cell>
        </row>
        <row r="385">
          <cell r="D385" t="str">
            <v>کریم پرست</v>
          </cell>
          <cell r="O385">
            <v>7301</v>
          </cell>
          <cell r="AC385" t="str">
            <v>1405/04/16</v>
          </cell>
          <cell r="AF385">
            <v>2</v>
          </cell>
        </row>
        <row r="386">
          <cell r="D386" t="str">
            <v>صلواتی</v>
          </cell>
          <cell r="O386">
            <v>7601</v>
          </cell>
          <cell r="AC386" t="str">
            <v>1405/04/16</v>
          </cell>
          <cell r="AF386">
            <v>12</v>
          </cell>
        </row>
        <row r="387">
          <cell r="D387" t="str">
            <v>صلواتی</v>
          </cell>
          <cell r="O387">
            <v>7602</v>
          </cell>
          <cell r="AC387" t="str">
            <v>1405/04/16</v>
          </cell>
          <cell r="AF387">
            <v>6</v>
          </cell>
        </row>
        <row r="388">
          <cell r="D388" t="str">
            <v>صلواتی</v>
          </cell>
          <cell r="O388">
            <v>7603</v>
          </cell>
          <cell r="AC388" t="str">
            <v>1405/04/16</v>
          </cell>
          <cell r="AF388">
            <v>6</v>
          </cell>
        </row>
        <row r="389">
          <cell r="D389" t="str">
            <v>صلواتی</v>
          </cell>
          <cell r="O389">
            <v>7602</v>
          </cell>
          <cell r="AC389" t="str">
            <v>1405/04/16</v>
          </cell>
          <cell r="AF389">
            <v>6</v>
          </cell>
        </row>
        <row r="390">
          <cell r="D390" t="str">
            <v>صلواتی</v>
          </cell>
          <cell r="O390">
            <v>7605</v>
          </cell>
          <cell r="AC390" t="str">
            <v>1405/04/16</v>
          </cell>
          <cell r="AF390">
            <v>12</v>
          </cell>
        </row>
        <row r="391">
          <cell r="D391" t="str">
            <v>صلواتی</v>
          </cell>
          <cell r="O391">
            <v>7603</v>
          </cell>
          <cell r="AC391" t="str">
            <v>1405/04/16</v>
          </cell>
          <cell r="AF391">
            <v>4</v>
          </cell>
        </row>
        <row r="392">
          <cell r="D392" t="str">
            <v>خیرخواه</v>
          </cell>
          <cell r="O392" t="str">
            <v>مونتاژ</v>
          </cell>
          <cell r="AC392" t="str">
            <v>1405/04/16</v>
          </cell>
          <cell r="AF392">
            <v>2.5</v>
          </cell>
        </row>
        <row r="393">
          <cell r="D393" t="str">
            <v>خیرخواه</v>
          </cell>
          <cell r="O393" t="str">
            <v>مونتاژ</v>
          </cell>
          <cell r="AC393" t="str">
            <v>1405/04/16</v>
          </cell>
          <cell r="AF393">
            <v>2.5</v>
          </cell>
        </row>
        <row r="394">
          <cell r="D394" t="str">
            <v>خیرخواه</v>
          </cell>
          <cell r="O394" t="str">
            <v>مونتاژ</v>
          </cell>
          <cell r="AC394" t="str">
            <v>1405/04/16</v>
          </cell>
          <cell r="AF394">
            <v>2.5</v>
          </cell>
        </row>
        <row r="395">
          <cell r="D395" t="str">
            <v>خیرخواه</v>
          </cell>
          <cell r="O395" t="str">
            <v>مونتاژ</v>
          </cell>
          <cell r="AC395" t="str">
            <v>1405/04/16</v>
          </cell>
          <cell r="AF395">
            <v>1</v>
          </cell>
        </row>
        <row r="396">
          <cell r="D396" t="str">
            <v>خیرخواه</v>
          </cell>
          <cell r="O396">
            <v>7401</v>
          </cell>
          <cell r="AC396" t="str">
            <v>1405/04/16</v>
          </cell>
          <cell r="AF396">
            <v>1</v>
          </cell>
        </row>
        <row r="397">
          <cell r="D397" t="str">
            <v>خیرخواه</v>
          </cell>
          <cell r="O397" t="str">
            <v>مونتاژ</v>
          </cell>
          <cell r="AC397" t="str">
            <v>1405/04/16</v>
          </cell>
          <cell r="AF397">
            <v>0.5</v>
          </cell>
        </row>
        <row r="398">
          <cell r="D398" t="str">
            <v>هاشم زاده</v>
          </cell>
          <cell r="O398" t="str">
            <v>مونتاژ</v>
          </cell>
          <cell r="AC398" t="str">
            <v>1405/04/16</v>
          </cell>
          <cell r="AF398">
            <v>2.5</v>
          </cell>
        </row>
        <row r="399">
          <cell r="D399" t="str">
            <v>هاشم زاده</v>
          </cell>
          <cell r="O399" t="str">
            <v>مونتاژ</v>
          </cell>
          <cell r="AC399" t="str">
            <v>1405/04/16</v>
          </cell>
          <cell r="AF399">
            <v>2.5</v>
          </cell>
        </row>
        <row r="400">
          <cell r="D400" t="str">
            <v>هاشم زاده</v>
          </cell>
          <cell r="O400" t="str">
            <v>مونتاژ</v>
          </cell>
          <cell r="AC400" t="str">
            <v>1405/04/16</v>
          </cell>
          <cell r="AF400">
            <v>2.5</v>
          </cell>
        </row>
        <row r="401">
          <cell r="D401" t="str">
            <v>هاشم زاده</v>
          </cell>
          <cell r="O401" t="str">
            <v>مونتاژ</v>
          </cell>
          <cell r="AC401" t="str">
            <v>1405/04/16</v>
          </cell>
          <cell r="AF401">
            <v>1.5</v>
          </cell>
        </row>
        <row r="402">
          <cell r="D402" t="str">
            <v>هاشم زاده</v>
          </cell>
          <cell r="O402">
            <v>7401</v>
          </cell>
          <cell r="AC402" t="str">
            <v>1405/04/16</v>
          </cell>
          <cell r="AF402">
            <v>1</v>
          </cell>
        </row>
        <row r="403">
          <cell r="D403" t="str">
            <v>زاهدی</v>
          </cell>
          <cell r="O403">
            <v>7202</v>
          </cell>
          <cell r="AC403" t="str">
            <v>1405/04/17</v>
          </cell>
          <cell r="AF403">
            <v>11</v>
          </cell>
        </row>
        <row r="404">
          <cell r="D404" t="str">
            <v>هاشم زاده</v>
          </cell>
          <cell r="O404" t="str">
            <v>مونتاژ</v>
          </cell>
          <cell r="AC404" t="str">
            <v>1405/04/17</v>
          </cell>
          <cell r="AF404">
            <v>11</v>
          </cell>
        </row>
        <row r="405">
          <cell r="D405" t="str">
            <v>قیطاسوند</v>
          </cell>
          <cell r="O405">
            <v>7102</v>
          </cell>
          <cell r="AC405" t="str">
            <v>1405/04/17</v>
          </cell>
          <cell r="AF405">
            <v>11</v>
          </cell>
        </row>
        <row r="406">
          <cell r="D406" t="str">
            <v>یاراحمدی</v>
          </cell>
          <cell r="O406">
            <v>7502</v>
          </cell>
          <cell r="AC406" t="str">
            <v>1405/04/17</v>
          </cell>
          <cell r="AF406">
            <v>11</v>
          </cell>
        </row>
        <row r="407">
          <cell r="D407" t="str">
            <v>زیلویی</v>
          </cell>
          <cell r="O407">
            <v>7203</v>
          </cell>
          <cell r="AC407" t="str">
            <v>1405/04/17</v>
          </cell>
          <cell r="AF407">
            <v>8</v>
          </cell>
        </row>
        <row r="408">
          <cell r="D408" t="str">
            <v>زیلویی</v>
          </cell>
          <cell r="O408">
            <v>7203</v>
          </cell>
          <cell r="AC408" t="str">
            <v>1405/04/17</v>
          </cell>
          <cell r="AF408">
            <v>3</v>
          </cell>
        </row>
        <row r="409">
          <cell r="D409" t="str">
            <v>باقری اصل</v>
          </cell>
          <cell r="O409">
            <v>7204</v>
          </cell>
          <cell r="AC409" t="str">
            <v>1405/04/17</v>
          </cell>
          <cell r="AF409">
            <v>9</v>
          </cell>
        </row>
        <row r="410">
          <cell r="D410" t="str">
            <v>باقری اصل</v>
          </cell>
          <cell r="O410">
            <v>7204</v>
          </cell>
          <cell r="AC410" t="str">
            <v>1405/04/17</v>
          </cell>
          <cell r="AF410">
            <v>2</v>
          </cell>
        </row>
        <row r="411">
          <cell r="D411" t="str">
            <v>کریم پرست</v>
          </cell>
          <cell r="O411">
            <v>7301</v>
          </cell>
          <cell r="AC411" t="str">
            <v>1405/04/17</v>
          </cell>
          <cell r="AF411">
            <v>2</v>
          </cell>
        </row>
        <row r="412">
          <cell r="D412" t="str">
            <v>کریم پرست</v>
          </cell>
          <cell r="O412">
            <v>7302</v>
          </cell>
          <cell r="AC412" t="str">
            <v>1405/04/17</v>
          </cell>
          <cell r="AF412">
            <v>4</v>
          </cell>
        </row>
        <row r="413">
          <cell r="D413" t="str">
            <v>کریم پرست</v>
          </cell>
          <cell r="O413">
            <v>7302</v>
          </cell>
          <cell r="AC413" t="str">
            <v>1405/04/17</v>
          </cell>
          <cell r="AF413">
            <v>5</v>
          </cell>
        </row>
        <row r="414">
          <cell r="D414" t="str">
            <v>خیرخواه</v>
          </cell>
          <cell r="O414">
            <v>7401</v>
          </cell>
          <cell r="AC414" t="str">
            <v>1405/04/17</v>
          </cell>
          <cell r="AF414">
            <v>1.5</v>
          </cell>
        </row>
        <row r="415">
          <cell r="D415" t="str">
            <v>خیرخواه</v>
          </cell>
          <cell r="O415" t="str">
            <v>مونتاژ</v>
          </cell>
          <cell r="AC415" t="str">
            <v>1405/04/17</v>
          </cell>
          <cell r="AF415">
            <v>1.5</v>
          </cell>
        </row>
        <row r="416">
          <cell r="D416" t="str">
            <v>خیرخواه</v>
          </cell>
          <cell r="O416" t="str">
            <v>دمونتاژ</v>
          </cell>
          <cell r="AC416" t="str">
            <v>1405/04/17</v>
          </cell>
          <cell r="AF416">
            <v>1.5</v>
          </cell>
        </row>
        <row r="417">
          <cell r="D417" t="str">
            <v>خیرخواه</v>
          </cell>
          <cell r="O417" t="str">
            <v>دمونتاژ</v>
          </cell>
          <cell r="AC417" t="str">
            <v>1405/04/17</v>
          </cell>
          <cell r="AF417">
            <v>1.5</v>
          </cell>
        </row>
        <row r="418">
          <cell r="D418" t="str">
            <v>خیرخواه</v>
          </cell>
          <cell r="O418" t="str">
            <v>مونتاژ</v>
          </cell>
          <cell r="AC418" t="str">
            <v>1405/04/17</v>
          </cell>
          <cell r="AF418">
            <v>5</v>
          </cell>
        </row>
        <row r="419">
          <cell r="D419" t="str">
            <v>زیلویی</v>
          </cell>
          <cell r="O419">
            <v>7203</v>
          </cell>
          <cell r="AC419" t="str">
            <v>1405/04/18</v>
          </cell>
          <cell r="AF419">
            <v>7.5</v>
          </cell>
        </row>
        <row r="420">
          <cell r="D420" t="str">
            <v>باقری اصل</v>
          </cell>
          <cell r="O420">
            <v>7204</v>
          </cell>
          <cell r="AC420" t="str">
            <v>1405/04/18</v>
          </cell>
          <cell r="AF420">
            <v>7.5</v>
          </cell>
        </row>
        <row r="421">
          <cell r="D421" t="str">
            <v>زاهدی</v>
          </cell>
          <cell r="O421">
            <v>7202</v>
          </cell>
          <cell r="AC421" t="str">
            <v>1405/04/18</v>
          </cell>
          <cell r="AF421">
            <v>7.5</v>
          </cell>
        </row>
        <row r="422">
          <cell r="D422" t="str">
            <v>فراهی</v>
          </cell>
          <cell r="O422">
            <v>7103</v>
          </cell>
          <cell r="AC422" t="str">
            <v>1405/04/17</v>
          </cell>
          <cell r="AF422">
            <v>6.5</v>
          </cell>
        </row>
        <row r="423">
          <cell r="D423" t="str">
            <v>قیطاسوند</v>
          </cell>
          <cell r="O423">
            <v>7102</v>
          </cell>
          <cell r="AC423" t="str">
            <v>1405/04/18</v>
          </cell>
          <cell r="AF423">
            <v>7.5</v>
          </cell>
        </row>
        <row r="424">
          <cell r="D424" t="str">
            <v>یاراحمدی</v>
          </cell>
          <cell r="O424">
            <v>7502</v>
          </cell>
          <cell r="AC424" t="str">
            <v>1405/04/18</v>
          </cell>
          <cell r="AF424">
            <v>7.5</v>
          </cell>
        </row>
        <row r="425">
          <cell r="D425" t="str">
            <v>یاراحمدی</v>
          </cell>
          <cell r="O425">
            <v>7501</v>
          </cell>
          <cell r="AC425" t="str">
            <v>1405/04/18</v>
          </cell>
          <cell r="AF425">
            <v>1</v>
          </cell>
        </row>
        <row r="426">
          <cell r="D426" t="str">
            <v>هاشم زاده</v>
          </cell>
          <cell r="O426" t="str">
            <v>مونتاژ</v>
          </cell>
          <cell r="AC426" t="str">
            <v>1405/04/18</v>
          </cell>
          <cell r="AF426">
            <v>4</v>
          </cell>
        </row>
        <row r="427">
          <cell r="D427" t="str">
            <v>هاشم زاده</v>
          </cell>
          <cell r="O427" t="str">
            <v>مونتاژ</v>
          </cell>
          <cell r="AC427" t="str">
            <v>1405/04/18</v>
          </cell>
          <cell r="AF427">
            <v>2</v>
          </cell>
        </row>
        <row r="428">
          <cell r="D428" t="str">
            <v>هاشم زاده</v>
          </cell>
          <cell r="O428" t="str">
            <v>نظافت</v>
          </cell>
          <cell r="AC428" t="str">
            <v>1405/04/18</v>
          </cell>
          <cell r="AF428">
            <v>1</v>
          </cell>
        </row>
        <row r="429">
          <cell r="D429" t="str">
            <v>کریم پرست</v>
          </cell>
          <cell r="O429">
            <v>7301</v>
          </cell>
          <cell r="AC429" t="str">
            <v>1405/04/18</v>
          </cell>
          <cell r="AF429">
            <v>2</v>
          </cell>
        </row>
        <row r="430">
          <cell r="D430" t="str">
            <v>کریم پرست</v>
          </cell>
          <cell r="O430">
            <v>7301</v>
          </cell>
          <cell r="AC430" t="str">
            <v>1405/04/18</v>
          </cell>
          <cell r="AF430">
            <v>1</v>
          </cell>
        </row>
        <row r="431">
          <cell r="D431" t="str">
            <v>کریم پرست</v>
          </cell>
          <cell r="O431">
            <v>7301</v>
          </cell>
          <cell r="AC431" t="str">
            <v>1405/04/18</v>
          </cell>
          <cell r="AF431">
            <v>4</v>
          </cell>
        </row>
        <row r="432">
          <cell r="D432" t="str">
            <v>کریم پرست</v>
          </cell>
          <cell r="O432" t="str">
            <v>نظافت</v>
          </cell>
          <cell r="AC432" t="str">
            <v>1405/04/18</v>
          </cell>
          <cell r="AF432">
            <v>0.5</v>
          </cell>
        </row>
        <row r="433">
          <cell r="D433" t="str">
            <v>حیدری</v>
          </cell>
          <cell r="O433" t="str">
            <v>مونتاژ</v>
          </cell>
          <cell r="AC433" t="str">
            <v>1405/04/18</v>
          </cell>
          <cell r="AF433">
            <v>2.5</v>
          </cell>
        </row>
        <row r="434">
          <cell r="D434" t="str">
            <v>حیدری</v>
          </cell>
          <cell r="O434" t="str">
            <v>مونتاژ</v>
          </cell>
          <cell r="AC434" t="str">
            <v>1405/04/18</v>
          </cell>
          <cell r="AF434">
            <v>2.5</v>
          </cell>
        </row>
        <row r="435">
          <cell r="D435" t="str">
            <v>حیدری</v>
          </cell>
          <cell r="O435" t="str">
            <v>مونتاژ</v>
          </cell>
          <cell r="AC435" t="str">
            <v>1405/04/18</v>
          </cell>
          <cell r="AF435">
            <v>2</v>
          </cell>
        </row>
        <row r="436">
          <cell r="D436" t="str">
            <v>حیدری</v>
          </cell>
          <cell r="O436" t="str">
            <v>مونتاژ</v>
          </cell>
          <cell r="AC436" t="str">
            <v>1405/04/19</v>
          </cell>
          <cell r="AF436">
            <v>4</v>
          </cell>
        </row>
        <row r="437">
          <cell r="D437" t="str">
            <v>حیدری</v>
          </cell>
          <cell r="O437">
            <v>7101</v>
          </cell>
          <cell r="AC437" t="str">
            <v>1405/04/19</v>
          </cell>
          <cell r="AF437">
            <v>1</v>
          </cell>
        </row>
        <row r="438">
          <cell r="D438" t="str">
            <v>حیدری</v>
          </cell>
          <cell r="O438" t="str">
            <v>مونتاژ</v>
          </cell>
          <cell r="AC438" t="str">
            <v>1405/04/19</v>
          </cell>
          <cell r="AF438">
            <v>3</v>
          </cell>
        </row>
        <row r="439">
          <cell r="D439" t="str">
            <v>خیرخواه</v>
          </cell>
          <cell r="O439" t="str">
            <v>مونتاژ</v>
          </cell>
          <cell r="AC439" t="str">
            <v>1405/04/18</v>
          </cell>
          <cell r="AF439">
            <v>4</v>
          </cell>
        </row>
        <row r="440">
          <cell r="D440" t="str">
            <v>خیرخواه</v>
          </cell>
          <cell r="O440">
            <v>7401</v>
          </cell>
          <cell r="AC440" t="str">
            <v>1405/04/18</v>
          </cell>
          <cell r="AF440">
            <v>0.5</v>
          </cell>
        </row>
        <row r="441">
          <cell r="D441" t="str">
            <v>خیرخواه</v>
          </cell>
          <cell r="O441" t="str">
            <v>مونتاژ</v>
          </cell>
          <cell r="AC441" t="str">
            <v>1405/04/18</v>
          </cell>
          <cell r="AF441">
            <v>1</v>
          </cell>
        </row>
        <row r="442">
          <cell r="D442" t="str">
            <v>خیرخواه</v>
          </cell>
          <cell r="O442" t="str">
            <v>مونتاژ</v>
          </cell>
          <cell r="AC442" t="str">
            <v>1405/04/18</v>
          </cell>
          <cell r="AF442">
            <v>2</v>
          </cell>
        </row>
        <row r="443">
          <cell r="D443" t="str">
            <v>موسوی</v>
          </cell>
          <cell r="O443">
            <v>7302</v>
          </cell>
          <cell r="AC443" t="str">
            <v>1405/04/18</v>
          </cell>
          <cell r="AF443">
            <v>2</v>
          </cell>
        </row>
        <row r="444">
          <cell r="D444" t="str">
            <v>موسوی</v>
          </cell>
          <cell r="O444">
            <v>7302</v>
          </cell>
          <cell r="AC444" t="str">
            <v>1405/04/18</v>
          </cell>
          <cell r="AF444">
            <v>2</v>
          </cell>
        </row>
        <row r="445">
          <cell r="D445" t="str">
            <v>موسوی</v>
          </cell>
          <cell r="O445" t="str">
            <v>نظافت</v>
          </cell>
          <cell r="AC445" t="str">
            <v>1405/04/18</v>
          </cell>
          <cell r="AF445">
            <v>2</v>
          </cell>
        </row>
        <row r="446">
          <cell r="D446" t="str">
            <v>صلواتی</v>
          </cell>
          <cell r="O446">
            <v>7601</v>
          </cell>
          <cell r="AC446" t="str">
            <v>1405/04/17</v>
          </cell>
          <cell r="AF446">
            <v>10</v>
          </cell>
        </row>
        <row r="447">
          <cell r="D447" t="str">
            <v>صلواتی</v>
          </cell>
          <cell r="O447">
            <v>7602</v>
          </cell>
          <cell r="AC447" t="str">
            <v>1405/04/17</v>
          </cell>
          <cell r="AF447">
            <v>12</v>
          </cell>
        </row>
        <row r="448">
          <cell r="D448" t="str">
            <v>صلواتی</v>
          </cell>
          <cell r="O448">
            <v>7603</v>
          </cell>
          <cell r="AC448" t="str">
            <v>1405/04/17</v>
          </cell>
          <cell r="AF448">
            <v>12</v>
          </cell>
        </row>
        <row r="449">
          <cell r="D449" t="str">
            <v>صلواتی</v>
          </cell>
          <cell r="O449">
            <v>7605</v>
          </cell>
          <cell r="AC449" t="str">
            <v>1405/04/17</v>
          </cell>
          <cell r="AF449">
            <v>8</v>
          </cell>
        </row>
        <row r="450">
          <cell r="D450" t="str">
            <v>صلواتی</v>
          </cell>
          <cell r="O450">
            <v>7601</v>
          </cell>
          <cell r="AC450" t="str">
            <v>1405/04/17</v>
          </cell>
          <cell r="AF450">
            <v>2</v>
          </cell>
        </row>
        <row r="451">
          <cell r="D451" t="str">
            <v>صلواتی</v>
          </cell>
          <cell r="O451">
            <v>7601</v>
          </cell>
          <cell r="AC451" t="str">
            <v>1405/04/18</v>
          </cell>
          <cell r="AF451">
            <v>6</v>
          </cell>
        </row>
        <row r="452">
          <cell r="D452" t="str">
            <v>صلواتی</v>
          </cell>
          <cell r="O452">
            <v>7602</v>
          </cell>
          <cell r="AC452" t="str">
            <v>1405/04/18</v>
          </cell>
          <cell r="AF452">
            <v>6</v>
          </cell>
        </row>
        <row r="453">
          <cell r="D453" t="str">
            <v>صلواتی</v>
          </cell>
          <cell r="O453">
            <v>7603</v>
          </cell>
          <cell r="AC453" t="str">
            <v>1405/04/18</v>
          </cell>
          <cell r="AF453">
            <v>6</v>
          </cell>
        </row>
        <row r="454">
          <cell r="D454" t="str">
            <v>صلواتی</v>
          </cell>
          <cell r="O454">
            <v>7605</v>
          </cell>
          <cell r="AC454" t="str">
            <v>1405/04/18</v>
          </cell>
          <cell r="AF454">
            <v>6</v>
          </cell>
        </row>
        <row r="455">
          <cell r="D455" t="str">
            <v>موسوی</v>
          </cell>
          <cell r="O455">
            <v>7302</v>
          </cell>
          <cell r="AC455" t="str">
            <v>1405/04/18</v>
          </cell>
          <cell r="AF455">
            <v>2</v>
          </cell>
        </row>
        <row r="456">
          <cell r="D456" t="str">
            <v>موسوی</v>
          </cell>
          <cell r="O456">
            <v>7302</v>
          </cell>
          <cell r="AC456" t="str">
            <v>1405/04/18</v>
          </cell>
          <cell r="AF456">
            <v>2</v>
          </cell>
        </row>
        <row r="457">
          <cell r="D457" t="str">
            <v>موسوی</v>
          </cell>
          <cell r="O457">
            <v>7302</v>
          </cell>
          <cell r="AC457" t="str">
            <v>1405/04/18</v>
          </cell>
          <cell r="AF457">
            <v>1</v>
          </cell>
        </row>
        <row r="458">
          <cell r="D458" t="str">
            <v>موسوی</v>
          </cell>
          <cell r="O458">
            <v>7302</v>
          </cell>
          <cell r="AC458" t="str">
            <v>1405/04/18</v>
          </cell>
          <cell r="AF458">
            <v>2</v>
          </cell>
        </row>
        <row r="459">
          <cell r="D459" t="str">
            <v>باقری اصل</v>
          </cell>
          <cell r="O459">
            <v>7204</v>
          </cell>
          <cell r="AC459" t="str">
            <v>1405/04/20</v>
          </cell>
          <cell r="AF459">
            <v>11</v>
          </cell>
        </row>
        <row r="460">
          <cell r="D460" t="str">
            <v>زیلویی</v>
          </cell>
          <cell r="O460">
            <v>7203</v>
          </cell>
          <cell r="AC460" t="str">
            <v>1405/04/20</v>
          </cell>
          <cell r="AF460">
            <v>11</v>
          </cell>
        </row>
        <row r="461">
          <cell r="D461" t="str">
            <v>یاراحمدی</v>
          </cell>
          <cell r="O461">
            <v>7502</v>
          </cell>
          <cell r="AC461" t="str">
            <v>1405/04/20</v>
          </cell>
          <cell r="AF461">
            <v>11</v>
          </cell>
        </row>
        <row r="462">
          <cell r="D462" t="str">
            <v>قیطاسوند</v>
          </cell>
          <cell r="O462">
            <v>7102</v>
          </cell>
          <cell r="AC462" t="str">
            <v>1405/04/20</v>
          </cell>
          <cell r="AF462">
            <v>5.5</v>
          </cell>
        </row>
        <row r="463">
          <cell r="D463" t="str">
            <v>قیطاسوند</v>
          </cell>
          <cell r="O463">
            <v>7102</v>
          </cell>
          <cell r="AC463" t="str">
            <v>1405/04/20</v>
          </cell>
          <cell r="AF463">
            <v>5.5</v>
          </cell>
        </row>
        <row r="464">
          <cell r="D464" t="str">
            <v>کریم پرست</v>
          </cell>
          <cell r="O464">
            <v>7301</v>
          </cell>
          <cell r="AC464" t="str">
            <v>1405/04/20</v>
          </cell>
          <cell r="AF464">
            <v>5</v>
          </cell>
        </row>
        <row r="465">
          <cell r="D465" t="str">
            <v>کریم پرست</v>
          </cell>
          <cell r="O465">
            <v>7301</v>
          </cell>
          <cell r="AC465" t="str">
            <v>1405/04/20</v>
          </cell>
          <cell r="AF465">
            <v>5</v>
          </cell>
        </row>
        <row r="466">
          <cell r="D466" t="str">
            <v>فراهی</v>
          </cell>
          <cell r="O466">
            <v>7103</v>
          </cell>
          <cell r="AC466" t="str">
            <v>1405/04/20</v>
          </cell>
          <cell r="AF466">
            <v>2.5</v>
          </cell>
        </row>
        <row r="467">
          <cell r="D467" t="str">
            <v>فراهی</v>
          </cell>
          <cell r="O467">
            <v>7103</v>
          </cell>
          <cell r="AC467" t="str">
            <v>1405/04/20</v>
          </cell>
          <cell r="AF467">
            <v>4</v>
          </cell>
        </row>
        <row r="468">
          <cell r="D468" t="str">
            <v>زاهدی</v>
          </cell>
          <cell r="O468">
            <v>7202</v>
          </cell>
          <cell r="AC468" t="str">
            <v>1405/04/20</v>
          </cell>
          <cell r="AF468">
            <v>11</v>
          </cell>
        </row>
        <row r="469">
          <cell r="D469" t="str">
            <v>صلواتی</v>
          </cell>
          <cell r="O469">
            <v>7601</v>
          </cell>
          <cell r="AC469" t="str">
            <v>1405/04/20</v>
          </cell>
          <cell r="AF469">
            <v>12</v>
          </cell>
        </row>
        <row r="470">
          <cell r="D470" t="str">
            <v>صلواتی</v>
          </cell>
          <cell r="O470">
            <v>7602</v>
          </cell>
          <cell r="AC470" t="str">
            <v>1405/04/20</v>
          </cell>
          <cell r="AF470">
            <v>12</v>
          </cell>
        </row>
        <row r="471">
          <cell r="D471" t="str">
            <v>صلواتی</v>
          </cell>
          <cell r="O471">
            <v>7601</v>
          </cell>
          <cell r="AC471" t="str">
            <v>1405/04/21</v>
          </cell>
          <cell r="AF471">
            <v>12</v>
          </cell>
        </row>
        <row r="472">
          <cell r="D472" t="str">
            <v>حیدری</v>
          </cell>
          <cell r="O472" t="str">
            <v>مونتاژ</v>
          </cell>
          <cell r="AC472" t="str">
            <v>1405/04/20</v>
          </cell>
          <cell r="AF472">
            <v>4</v>
          </cell>
        </row>
        <row r="473">
          <cell r="D473" t="str">
            <v>حیدری</v>
          </cell>
          <cell r="O473" t="str">
            <v>مونتاژ</v>
          </cell>
          <cell r="AC473" t="str">
            <v>1405/04/20</v>
          </cell>
          <cell r="AF473">
            <v>4</v>
          </cell>
        </row>
        <row r="474">
          <cell r="D474" t="str">
            <v>حیدری</v>
          </cell>
          <cell r="O474" t="str">
            <v>مونتاژ</v>
          </cell>
          <cell r="AC474" t="str">
            <v>1405/04/20</v>
          </cell>
          <cell r="AF474">
            <v>2</v>
          </cell>
        </row>
        <row r="475">
          <cell r="D475" t="str">
            <v>هاشم زاده</v>
          </cell>
          <cell r="O475" t="str">
            <v>مونتاژ</v>
          </cell>
          <cell r="AC475" t="str">
            <v>1405/04/20</v>
          </cell>
          <cell r="AF475">
            <v>4</v>
          </cell>
        </row>
        <row r="476">
          <cell r="D476" t="str">
            <v>هاشم زاده</v>
          </cell>
          <cell r="O476" t="str">
            <v>مونتاژ</v>
          </cell>
          <cell r="AC476" t="str">
            <v>1405/04/20</v>
          </cell>
          <cell r="AF476">
            <v>4</v>
          </cell>
        </row>
        <row r="477">
          <cell r="D477" t="str">
            <v>هاشم زاده</v>
          </cell>
          <cell r="O477" t="str">
            <v>مونتاژ</v>
          </cell>
          <cell r="AC477" t="str">
            <v>1405/04/20</v>
          </cell>
          <cell r="AF477">
            <v>2</v>
          </cell>
        </row>
        <row r="478">
          <cell r="D478" t="str">
            <v>خیرخواه</v>
          </cell>
          <cell r="O478" t="str">
            <v>دمونتاژ</v>
          </cell>
          <cell r="AC478" t="str">
            <v>1405/04/20</v>
          </cell>
          <cell r="AF478">
            <v>4</v>
          </cell>
        </row>
        <row r="479">
          <cell r="D479" t="str">
            <v>خیرخواه</v>
          </cell>
          <cell r="O479" t="str">
            <v>مونتاژ</v>
          </cell>
          <cell r="AC479" t="str">
            <v>1405/04/20</v>
          </cell>
          <cell r="AF479">
            <v>2</v>
          </cell>
        </row>
        <row r="480">
          <cell r="D480" t="str">
            <v>خیرخواه</v>
          </cell>
          <cell r="O480" t="str">
            <v>مونتاژ</v>
          </cell>
          <cell r="AC480" t="str">
            <v>1405/04/20</v>
          </cell>
          <cell r="AF480">
            <v>3</v>
          </cell>
        </row>
        <row r="481">
          <cell r="D481" t="str">
            <v>خیرخواه</v>
          </cell>
          <cell r="O481" t="str">
            <v>دمونتاژ</v>
          </cell>
          <cell r="AC481" t="str">
            <v>1405/04/20</v>
          </cell>
          <cell r="AF481">
            <v>1</v>
          </cell>
        </row>
        <row r="482">
          <cell r="D482" t="str">
            <v>خیرخواه</v>
          </cell>
          <cell r="O482" t="str">
            <v>مونتاژ</v>
          </cell>
          <cell r="AC482" t="str">
            <v>1405/04/20</v>
          </cell>
          <cell r="AF482">
            <v>2</v>
          </cell>
        </row>
        <row r="483">
          <cell r="D483" t="str">
            <v>موسوی</v>
          </cell>
          <cell r="O483">
            <v>7302</v>
          </cell>
          <cell r="AC483" t="str">
            <v>1405/04/20</v>
          </cell>
          <cell r="AF483">
            <v>2</v>
          </cell>
        </row>
        <row r="484">
          <cell r="D484" t="str">
            <v>موسوی</v>
          </cell>
          <cell r="O484">
            <v>7302</v>
          </cell>
          <cell r="AC484" t="str">
            <v>1405/04/20</v>
          </cell>
          <cell r="AF484">
            <v>2</v>
          </cell>
        </row>
        <row r="485">
          <cell r="D485" t="str">
            <v>موسوی</v>
          </cell>
          <cell r="O485">
            <v>7302</v>
          </cell>
          <cell r="AC485" t="str">
            <v>1405/04/20</v>
          </cell>
          <cell r="AF485">
            <v>2</v>
          </cell>
        </row>
        <row r="486">
          <cell r="D486" t="str">
            <v>موسوی</v>
          </cell>
          <cell r="O486">
            <v>7302</v>
          </cell>
          <cell r="AC486" t="str">
            <v>1405/04/20</v>
          </cell>
          <cell r="AF486">
            <v>2</v>
          </cell>
        </row>
        <row r="487">
          <cell r="D487" t="str">
            <v>موسوی</v>
          </cell>
          <cell r="O487">
            <v>7302</v>
          </cell>
          <cell r="AC487" t="str">
            <v>1405/04/20</v>
          </cell>
          <cell r="AF487">
            <v>1.5</v>
          </cell>
        </row>
        <row r="488">
          <cell r="D488" t="str">
            <v>قیطاسوند</v>
          </cell>
          <cell r="O488">
            <v>7102</v>
          </cell>
          <cell r="AC488" t="str">
            <v>1405/04/21</v>
          </cell>
          <cell r="AF488">
            <v>11</v>
          </cell>
        </row>
        <row r="489">
          <cell r="D489" t="str">
            <v>باقری اصل</v>
          </cell>
          <cell r="O489">
            <v>7204</v>
          </cell>
          <cell r="AC489" t="str">
            <v>1405/04/21</v>
          </cell>
          <cell r="AF489">
            <v>11</v>
          </cell>
        </row>
        <row r="490">
          <cell r="D490" t="str">
            <v>زیلویی</v>
          </cell>
          <cell r="O490">
            <v>7203</v>
          </cell>
          <cell r="AC490" t="str">
            <v>1405/04/21</v>
          </cell>
          <cell r="AF490">
            <v>5.5</v>
          </cell>
        </row>
        <row r="491">
          <cell r="D491" t="str">
            <v>زاهدی</v>
          </cell>
          <cell r="O491">
            <v>7202</v>
          </cell>
          <cell r="AC491" t="str">
            <v>1405/04/21</v>
          </cell>
          <cell r="AF491">
            <v>7.5</v>
          </cell>
        </row>
        <row r="492">
          <cell r="D492" t="str">
            <v>زاهدی</v>
          </cell>
          <cell r="O492">
            <v>7202</v>
          </cell>
          <cell r="AC492" t="str">
            <v>1405/04/21</v>
          </cell>
          <cell r="AF492">
            <v>3.5</v>
          </cell>
        </row>
        <row r="493">
          <cell r="D493" t="str">
            <v>یاراحمدی</v>
          </cell>
          <cell r="O493">
            <v>7502</v>
          </cell>
          <cell r="AC493" t="str">
            <v>1405/04/21</v>
          </cell>
          <cell r="AF493">
            <v>3.5</v>
          </cell>
        </row>
        <row r="494">
          <cell r="D494" t="str">
            <v>یاراحمدی</v>
          </cell>
          <cell r="O494">
            <v>7502</v>
          </cell>
          <cell r="AC494" t="str">
            <v>1405/04/21</v>
          </cell>
          <cell r="AF494">
            <v>7.5</v>
          </cell>
        </row>
        <row r="495">
          <cell r="D495" t="str">
            <v>فراهی</v>
          </cell>
          <cell r="O495">
            <v>7103</v>
          </cell>
          <cell r="AC495" t="str">
            <v>1405/04/21</v>
          </cell>
          <cell r="AF495">
            <v>1.5</v>
          </cell>
        </row>
        <row r="496">
          <cell r="D496" t="str">
            <v>فراهی</v>
          </cell>
          <cell r="O496">
            <v>7103</v>
          </cell>
          <cell r="AC496" t="str">
            <v>1405/04/21</v>
          </cell>
          <cell r="AF496">
            <v>5</v>
          </cell>
        </row>
        <row r="497">
          <cell r="D497" t="str">
            <v>کریم پرست</v>
          </cell>
          <cell r="O497">
            <v>7301</v>
          </cell>
          <cell r="AC497" t="str">
            <v>1405/04/21</v>
          </cell>
          <cell r="AF497">
            <v>4.333333333333333</v>
          </cell>
        </row>
        <row r="498">
          <cell r="D498" t="str">
            <v>کریم پرست</v>
          </cell>
          <cell r="O498">
            <v>7301</v>
          </cell>
          <cell r="AC498" t="str">
            <v>1405/04/21</v>
          </cell>
          <cell r="AF498">
            <v>4.333333333333333</v>
          </cell>
        </row>
        <row r="499">
          <cell r="D499" t="str">
            <v>کریم پرست</v>
          </cell>
          <cell r="O499">
            <v>7301</v>
          </cell>
          <cell r="AC499" t="str">
            <v>1405/04/21</v>
          </cell>
          <cell r="AF499">
            <v>2</v>
          </cell>
        </row>
        <row r="500">
          <cell r="D500" t="str">
            <v>حیدری</v>
          </cell>
          <cell r="O500" t="str">
            <v>مونتاژ</v>
          </cell>
          <cell r="AC500" t="str">
            <v>1405/04/21</v>
          </cell>
          <cell r="AF500">
            <v>2</v>
          </cell>
        </row>
        <row r="501">
          <cell r="D501" t="str">
            <v>حیدری</v>
          </cell>
          <cell r="O501" t="str">
            <v>مونتاژ</v>
          </cell>
          <cell r="AC501" t="str">
            <v>1405/04/21</v>
          </cell>
          <cell r="AF501">
            <v>3</v>
          </cell>
        </row>
        <row r="502">
          <cell r="D502" t="str">
            <v>حیدری</v>
          </cell>
          <cell r="O502" t="str">
            <v>دمونتاژ</v>
          </cell>
          <cell r="AC502" t="str">
            <v>1405/04/21</v>
          </cell>
          <cell r="AF502">
            <v>5</v>
          </cell>
        </row>
        <row r="503">
          <cell r="D503" t="str">
            <v>خیرخواه</v>
          </cell>
          <cell r="O503" t="str">
            <v>مونتاژ</v>
          </cell>
          <cell r="AC503" t="str">
            <v>1405/04/21</v>
          </cell>
          <cell r="AF503">
            <v>3</v>
          </cell>
        </row>
        <row r="504">
          <cell r="D504" t="str">
            <v>خیرخواه</v>
          </cell>
          <cell r="O504" t="str">
            <v>مونتاژ</v>
          </cell>
          <cell r="AC504" t="str">
            <v>1405/04/21</v>
          </cell>
          <cell r="AF504">
            <v>2</v>
          </cell>
        </row>
        <row r="505">
          <cell r="D505" t="str">
            <v>خیرخواه</v>
          </cell>
          <cell r="O505" t="str">
            <v>دمونتاژ</v>
          </cell>
          <cell r="AC505" t="str">
            <v>1405/04/21</v>
          </cell>
          <cell r="AF505">
            <v>4</v>
          </cell>
        </row>
        <row r="506">
          <cell r="D506" t="str">
            <v>خیرخواه</v>
          </cell>
          <cell r="O506">
            <v>7401</v>
          </cell>
          <cell r="AC506" t="str">
            <v>1405/04/21</v>
          </cell>
          <cell r="AF506">
            <v>2</v>
          </cell>
        </row>
        <row r="507">
          <cell r="D507" t="str">
            <v>صلواتی</v>
          </cell>
          <cell r="O507">
            <v>7701</v>
          </cell>
          <cell r="AC507" t="str">
            <v>1405/04/21</v>
          </cell>
          <cell r="AF507">
            <v>12</v>
          </cell>
        </row>
        <row r="508">
          <cell r="D508" t="str">
            <v>صلواتی</v>
          </cell>
          <cell r="O508">
            <v>7602</v>
          </cell>
          <cell r="AC508" t="str">
            <v>1405/04/21</v>
          </cell>
          <cell r="AF508">
            <v>4</v>
          </cell>
        </row>
        <row r="509">
          <cell r="D509" t="str">
            <v>موسوی</v>
          </cell>
          <cell r="O509">
            <v>7302</v>
          </cell>
          <cell r="AC509" t="str">
            <v>1405/04/21</v>
          </cell>
          <cell r="AF509">
            <v>2</v>
          </cell>
        </row>
        <row r="510">
          <cell r="D510" t="str">
            <v>موسوی</v>
          </cell>
          <cell r="O510">
            <v>7302</v>
          </cell>
          <cell r="AC510" t="str">
            <v>1405/04/21</v>
          </cell>
          <cell r="AF510">
            <v>2</v>
          </cell>
        </row>
        <row r="511">
          <cell r="D511" t="str">
            <v>موسوی</v>
          </cell>
          <cell r="O511">
            <v>7302</v>
          </cell>
          <cell r="AC511" t="str">
            <v>1405/04/21</v>
          </cell>
          <cell r="AF511">
            <v>3</v>
          </cell>
        </row>
        <row r="512">
          <cell r="D512" t="str">
            <v>موسوی</v>
          </cell>
          <cell r="O512">
            <v>7302</v>
          </cell>
          <cell r="AC512" t="str">
            <v>1405/04/21</v>
          </cell>
          <cell r="AF512">
            <v>2</v>
          </cell>
        </row>
        <row r="513">
          <cell r="D513" t="str">
            <v>هاشم زاده</v>
          </cell>
          <cell r="O513" t="str">
            <v>مونتاژ</v>
          </cell>
          <cell r="AC513" t="str">
            <v>1405/04/21</v>
          </cell>
          <cell r="AF513">
            <v>4</v>
          </cell>
        </row>
        <row r="514">
          <cell r="D514" t="str">
            <v>هاشم زاده</v>
          </cell>
          <cell r="O514">
            <v>8001</v>
          </cell>
          <cell r="AC514" t="str">
            <v>1405/04/21</v>
          </cell>
          <cell r="AF514">
            <v>3</v>
          </cell>
        </row>
        <row r="515">
          <cell r="D515" t="str">
            <v>هاشم زاده</v>
          </cell>
          <cell r="O515" t="str">
            <v>مونتاژ</v>
          </cell>
          <cell r="AC515" t="str">
            <v>1405/04/21</v>
          </cell>
          <cell r="AF515">
            <v>2</v>
          </cell>
        </row>
        <row r="516">
          <cell r="D516" t="str">
            <v>هاشم زاده</v>
          </cell>
          <cell r="O516">
            <v>7501</v>
          </cell>
          <cell r="AC516" t="str">
            <v>1405/04/21</v>
          </cell>
          <cell r="AF516">
            <v>2</v>
          </cell>
        </row>
        <row r="517">
          <cell r="D517" t="str">
            <v>زیلویی</v>
          </cell>
          <cell r="O517">
            <v>7203</v>
          </cell>
          <cell r="AC517" t="str">
            <v>1405/04/22</v>
          </cell>
          <cell r="AF517">
            <v>11</v>
          </cell>
        </row>
        <row r="518">
          <cell r="D518" t="str">
            <v>فراهی</v>
          </cell>
          <cell r="O518">
            <v>7103</v>
          </cell>
          <cell r="AC518" t="str">
            <v>1405/04/22</v>
          </cell>
          <cell r="AF518">
            <v>6.5</v>
          </cell>
        </row>
        <row r="519">
          <cell r="D519" t="str">
            <v>باقری اصل</v>
          </cell>
          <cell r="O519">
            <v>7204</v>
          </cell>
          <cell r="AC519" t="str">
            <v>1405/04/22</v>
          </cell>
          <cell r="AF519">
            <v>11</v>
          </cell>
        </row>
        <row r="520">
          <cell r="D520" t="str">
            <v>حیدری</v>
          </cell>
          <cell r="O520">
            <v>7101</v>
          </cell>
          <cell r="AC520" t="str">
            <v>1405/04/22</v>
          </cell>
          <cell r="AF520">
            <v>7</v>
          </cell>
        </row>
        <row r="521">
          <cell r="D521" t="str">
            <v>حیدری</v>
          </cell>
          <cell r="O521" t="str">
            <v>مونتاژ</v>
          </cell>
          <cell r="AC521" t="str">
            <v>1405/04/22</v>
          </cell>
          <cell r="AF521">
            <v>4</v>
          </cell>
        </row>
        <row r="522">
          <cell r="D522" t="str">
            <v>یاراحمدی</v>
          </cell>
          <cell r="O522">
            <v>7502</v>
          </cell>
          <cell r="AC522" t="str">
            <v>1405/04/22</v>
          </cell>
          <cell r="AF522">
            <v>11</v>
          </cell>
        </row>
        <row r="523">
          <cell r="D523" t="str">
            <v>یاراحمدی</v>
          </cell>
          <cell r="O523">
            <v>7501</v>
          </cell>
          <cell r="AC523" t="str">
            <v>1405/04/22</v>
          </cell>
          <cell r="AF523">
            <v>1</v>
          </cell>
        </row>
        <row r="524">
          <cell r="D524" t="str">
            <v>قیطاسوند</v>
          </cell>
          <cell r="O524">
            <v>7102</v>
          </cell>
          <cell r="AC524" t="str">
            <v>1405/04/22</v>
          </cell>
          <cell r="AF524">
            <v>5.5</v>
          </cell>
        </row>
        <row r="525">
          <cell r="D525" t="str">
            <v>قیطاسوند</v>
          </cell>
          <cell r="O525">
            <v>7102</v>
          </cell>
          <cell r="AC525" t="str">
            <v>1405/04/22</v>
          </cell>
          <cell r="AF525">
            <v>5.5</v>
          </cell>
        </row>
        <row r="526">
          <cell r="D526" t="str">
            <v>زاهدی</v>
          </cell>
          <cell r="O526">
            <v>7202</v>
          </cell>
          <cell r="AC526" t="str">
            <v>1405/04/22</v>
          </cell>
          <cell r="AF526">
            <v>6.5</v>
          </cell>
        </row>
        <row r="527">
          <cell r="D527" t="str">
            <v>زاهدی</v>
          </cell>
          <cell r="O527">
            <v>7202</v>
          </cell>
          <cell r="AC527" t="str">
            <v>1405/04/22</v>
          </cell>
          <cell r="AF527">
            <v>4.5</v>
          </cell>
        </row>
        <row r="528">
          <cell r="D528" t="str">
            <v>صلواتی</v>
          </cell>
          <cell r="O528">
            <v>7601</v>
          </cell>
          <cell r="AC528" t="str">
            <v>1405/04/22</v>
          </cell>
          <cell r="AF528">
            <v>9</v>
          </cell>
        </row>
        <row r="529">
          <cell r="D529" t="str">
            <v>صلواتی</v>
          </cell>
          <cell r="O529" t="str">
            <v>مونتاژ</v>
          </cell>
          <cell r="AC529" t="str">
            <v>1405/04/22</v>
          </cell>
          <cell r="AF529">
            <v>1</v>
          </cell>
        </row>
        <row r="530">
          <cell r="D530" t="str">
            <v>کریم پرست</v>
          </cell>
          <cell r="O530">
            <v>7301</v>
          </cell>
          <cell r="AC530" t="str">
            <v>1405/04/22</v>
          </cell>
          <cell r="AF530">
            <v>4.5</v>
          </cell>
        </row>
        <row r="531">
          <cell r="D531" t="str">
            <v>کریم پرست</v>
          </cell>
          <cell r="O531">
            <v>7301</v>
          </cell>
          <cell r="AC531" t="str">
            <v>1405/04/22</v>
          </cell>
          <cell r="AF531">
            <v>2</v>
          </cell>
        </row>
        <row r="532">
          <cell r="D532" t="str">
            <v>کریم پرست</v>
          </cell>
          <cell r="O532">
            <v>7301</v>
          </cell>
          <cell r="AC532" t="str">
            <v>1405/04/22</v>
          </cell>
          <cell r="AF532">
            <v>4.5</v>
          </cell>
        </row>
        <row r="533">
          <cell r="D533" t="str">
            <v>موسوی</v>
          </cell>
          <cell r="O533">
            <v>7302</v>
          </cell>
          <cell r="AC533" t="str">
            <v>1405/04/22</v>
          </cell>
          <cell r="AF533">
            <v>4</v>
          </cell>
        </row>
        <row r="534">
          <cell r="D534" t="str">
            <v>موسوی</v>
          </cell>
          <cell r="O534">
            <v>7302</v>
          </cell>
          <cell r="AC534" t="str">
            <v>1405/04/22</v>
          </cell>
          <cell r="AF534">
            <v>3</v>
          </cell>
        </row>
        <row r="535">
          <cell r="D535" t="str">
            <v>موسوی</v>
          </cell>
          <cell r="O535">
            <v>7302</v>
          </cell>
          <cell r="AC535" t="str">
            <v>1405/04/22</v>
          </cell>
          <cell r="AF535">
            <v>2</v>
          </cell>
        </row>
        <row r="536">
          <cell r="D536" t="str">
            <v>موسوی</v>
          </cell>
          <cell r="O536">
            <v>7302</v>
          </cell>
          <cell r="AC536" t="str">
            <v>1405/04/22</v>
          </cell>
          <cell r="AF536">
            <v>2</v>
          </cell>
        </row>
        <row r="537">
          <cell r="D537" t="str">
            <v>هاشم زاده</v>
          </cell>
          <cell r="O537" t="str">
            <v>مونتاژ</v>
          </cell>
          <cell r="AC537" t="str">
            <v>1405/04/22</v>
          </cell>
          <cell r="AF537">
            <v>5</v>
          </cell>
        </row>
        <row r="538">
          <cell r="D538" t="str">
            <v>هاشم زاده</v>
          </cell>
          <cell r="O538" t="str">
            <v>دمونتاژ</v>
          </cell>
          <cell r="AC538" t="str">
            <v>1405/04/22</v>
          </cell>
          <cell r="AF538">
            <v>6</v>
          </cell>
        </row>
        <row r="539">
          <cell r="D539" t="str">
            <v>خیرخواه</v>
          </cell>
          <cell r="O539" t="str">
            <v>مونتاژ</v>
          </cell>
          <cell r="AC539" t="str">
            <v>1405/04/22</v>
          </cell>
          <cell r="AF539">
            <v>2.5</v>
          </cell>
        </row>
        <row r="540">
          <cell r="D540" t="str">
            <v>خیرخواه</v>
          </cell>
          <cell r="O540" t="str">
            <v>مونتاژ</v>
          </cell>
          <cell r="AC540" t="str">
            <v>1405/04/22</v>
          </cell>
          <cell r="AF540">
            <v>1.5</v>
          </cell>
        </row>
        <row r="541">
          <cell r="D541" t="str">
            <v>خیرخواه</v>
          </cell>
          <cell r="O541" t="str">
            <v>دمونتاژ</v>
          </cell>
          <cell r="AC541" t="str">
            <v>1405/04/22</v>
          </cell>
          <cell r="AF541">
            <v>4</v>
          </cell>
        </row>
        <row r="542">
          <cell r="D542" t="str">
            <v>خیرخواه</v>
          </cell>
          <cell r="O542">
            <v>7401</v>
          </cell>
          <cell r="AC542" t="str">
            <v>1405/04/22</v>
          </cell>
          <cell r="AF542">
            <v>1</v>
          </cell>
        </row>
        <row r="543">
          <cell r="D543" t="str">
            <v>خیرخواه</v>
          </cell>
          <cell r="O543">
            <v>7401</v>
          </cell>
          <cell r="AC543" t="str">
            <v>1405/04/22</v>
          </cell>
          <cell r="AF543">
            <v>1.5</v>
          </cell>
        </row>
        <row r="544">
          <cell r="D544" t="str">
            <v>زیلویی</v>
          </cell>
          <cell r="O544">
            <v>7203</v>
          </cell>
          <cell r="AC544" t="str">
            <v>1405/04/23</v>
          </cell>
          <cell r="AF544">
            <v>8</v>
          </cell>
        </row>
        <row r="545">
          <cell r="D545" t="str">
            <v>زیلویی</v>
          </cell>
          <cell r="O545">
            <v>7203</v>
          </cell>
          <cell r="AC545" t="str">
            <v>1405/04/23</v>
          </cell>
          <cell r="AF545">
            <v>3</v>
          </cell>
        </row>
        <row r="546">
          <cell r="D546" t="str">
            <v>حیدری</v>
          </cell>
          <cell r="O546">
            <v>7101</v>
          </cell>
          <cell r="AC546" t="str">
            <v>1405/04/23</v>
          </cell>
          <cell r="AF546">
            <v>11</v>
          </cell>
        </row>
        <row r="547">
          <cell r="D547" t="str">
            <v>باقری اصل</v>
          </cell>
          <cell r="O547">
            <v>7204</v>
          </cell>
          <cell r="AC547" t="str">
            <v>1405/04/23</v>
          </cell>
          <cell r="AF547">
            <v>9</v>
          </cell>
        </row>
        <row r="548">
          <cell r="D548" t="str">
            <v>باقری اصل</v>
          </cell>
          <cell r="O548">
            <v>7204</v>
          </cell>
          <cell r="AC548" t="str">
            <v>1405/04/23</v>
          </cell>
          <cell r="AF548">
            <v>2</v>
          </cell>
        </row>
        <row r="549">
          <cell r="D549" t="str">
            <v>قیطاسوند</v>
          </cell>
          <cell r="O549">
            <v>7102</v>
          </cell>
          <cell r="AC549" t="str">
            <v>1405/04/23</v>
          </cell>
          <cell r="AF549">
            <v>5.5</v>
          </cell>
        </row>
        <row r="550">
          <cell r="D550" t="str">
            <v>قیطاسوند</v>
          </cell>
          <cell r="O550">
            <v>7102</v>
          </cell>
          <cell r="AC550" t="str">
            <v>1405/04/23</v>
          </cell>
          <cell r="AF550">
            <v>5.5</v>
          </cell>
        </row>
        <row r="551">
          <cell r="D551" t="str">
            <v>فراهی</v>
          </cell>
          <cell r="O551">
            <v>7103</v>
          </cell>
          <cell r="AC551" t="str">
            <v>1405/04/23</v>
          </cell>
          <cell r="AF551">
            <v>4.166666666666667</v>
          </cell>
        </row>
        <row r="552">
          <cell r="D552" t="str">
            <v>فراهی</v>
          </cell>
          <cell r="O552">
            <v>7103</v>
          </cell>
          <cell r="AC552" t="str">
            <v>1405/04/23</v>
          </cell>
          <cell r="AF552">
            <v>2.3333333333333335</v>
          </cell>
        </row>
        <row r="553">
          <cell r="D553" t="str">
            <v>کاظمی</v>
          </cell>
          <cell r="O553">
            <v>7202</v>
          </cell>
          <cell r="AC553" t="str">
            <v>1405/04/23</v>
          </cell>
          <cell r="AF553">
            <v>7.5</v>
          </cell>
        </row>
        <row r="554">
          <cell r="D554" t="str">
            <v>زاهدی</v>
          </cell>
          <cell r="O554" t="str">
            <v>دمونتاژ</v>
          </cell>
          <cell r="AC554" t="str">
            <v>1405/04/23</v>
          </cell>
          <cell r="AF554">
            <v>3</v>
          </cell>
        </row>
        <row r="555">
          <cell r="D555" t="str">
            <v>کریم پرست</v>
          </cell>
          <cell r="O555">
            <v>7301</v>
          </cell>
          <cell r="AC555" t="str">
            <v>1405/04/23</v>
          </cell>
          <cell r="AF555">
            <v>3</v>
          </cell>
        </row>
        <row r="556">
          <cell r="D556" t="str">
            <v>کریم پرست</v>
          </cell>
          <cell r="O556">
            <v>7301</v>
          </cell>
          <cell r="AC556" t="str">
            <v>1405/04/23</v>
          </cell>
          <cell r="AF556">
            <v>3</v>
          </cell>
        </row>
        <row r="557">
          <cell r="D557" t="str">
            <v>کریم پرست</v>
          </cell>
          <cell r="O557">
            <v>7301</v>
          </cell>
          <cell r="AC557" t="str">
            <v>1405/04/23</v>
          </cell>
          <cell r="AF557">
            <v>1.5</v>
          </cell>
        </row>
        <row r="558">
          <cell r="D558" t="str">
            <v>کریم پرست</v>
          </cell>
          <cell r="O558">
            <v>7301</v>
          </cell>
          <cell r="AC558" t="str">
            <v>1405/04/23</v>
          </cell>
          <cell r="AF558">
            <v>1.5</v>
          </cell>
        </row>
        <row r="559">
          <cell r="D559" t="str">
            <v>موسوی</v>
          </cell>
          <cell r="O559">
            <v>7302</v>
          </cell>
          <cell r="AC559" t="str">
            <v>1405/04/23</v>
          </cell>
          <cell r="AF559">
            <v>3</v>
          </cell>
        </row>
        <row r="560">
          <cell r="D560" t="str">
            <v>موسوی</v>
          </cell>
          <cell r="O560">
            <v>7302</v>
          </cell>
          <cell r="AC560" t="str">
            <v>1405/04/23</v>
          </cell>
          <cell r="AF560">
            <v>2</v>
          </cell>
        </row>
        <row r="561">
          <cell r="D561" t="str">
            <v>موسوی</v>
          </cell>
          <cell r="O561">
            <v>7302</v>
          </cell>
          <cell r="AC561" t="str">
            <v>1405/04/23</v>
          </cell>
          <cell r="AF561">
            <v>2</v>
          </cell>
        </row>
        <row r="562">
          <cell r="D562" t="str">
            <v>موسوی</v>
          </cell>
          <cell r="O562">
            <v>7302</v>
          </cell>
          <cell r="AC562" t="str">
            <v>1405/04/23</v>
          </cell>
          <cell r="AF562">
            <v>1</v>
          </cell>
        </row>
        <row r="563">
          <cell r="D563" t="str">
            <v>هاشم زاده</v>
          </cell>
          <cell r="O563" t="str">
            <v>دمونتاژ</v>
          </cell>
          <cell r="AC563" t="str">
            <v>1405/04/23</v>
          </cell>
          <cell r="AF563">
            <v>2</v>
          </cell>
        </row>
        <row r="564">
          <cell r="D564" t="str">
            <v>هاشم زاده</v>
          </cell>
          <cell r="O564" t="str">
            <v>مونتاژ</v>
          </cell>
          <cell r="AC564" t="str">
            <v>1405/04/23</v>
          </cell>
          <cell r="AF564">
            <v>3</v>
          </cell>
        </row>
        <row r="565">
          <cell r="D565" t="str">
            <v>هاشم زاده</v>
          </cell>
          <cell r="O565" t="str">
            <v>مونتاژ</v>
          </cell>
          <cell r="AC565" t="str">
            <v>1405/04/23</v>
          </cell>
          <cell r="AF565">
            <v>2</v>
          </cell>
        </row>
        <row r="566">
          <cell r="D566" t="str">
            <v>هاشم زاده</v>
          </cell>
          <cell r="O566" t="str">
            <v>مونتاژ</v>
          </cell>
          <cell r="AC566" t="str">
            <v>1405/04/23</v>
          </cell>
          <cell r="AF566">
            <v>3</v>
          </cell>
        </row>
        <row r="567">
          <cell r="D567" t="str">
            <v>هاشم زاده</v>
          </cell>
          <cell r="O567">
            <v>7501</v>
          </cell>
          <cell r="AC567" t="str">
            <v>1405/04/23</v>
          </cell>
          <cell r="AF567">
            <v>1</v>
          </cell>
        </row>
        <row r="568">
          <cell r="D568" t="str">
            <v>یاراحمدی</v>
          </cell>
          <cell r="O568">
            <v>7502</v>
          </cell>
          <cell r="AC568" t="str">
            <v>1405/04/23</v>
          </cell>
          <cell r="AF568">
            <v>11</v>
          </cell>
        </row>
        <row r="569">
          <cell r="D569" t="str">
            <v>یاراحمدی</v>
          </cell>
          <cell r="O569">
            <v>7501</v>
          </cell>
          <cell r="AC569" t="str">
            <v>1405/04/23</v>
          </cell>
          <cell r="AF569">
            <v>1</v>
          </cell>
        </row>
        <row r="570">
          <cell r="D570" t="str">
            <v>یاراحمدی</v>
          </cell>
          <cell r="O570">
            <v>7501</v>
          </cell>
          <cell r="AC570" t="str">
            <v>1405/04/23</v>
          </cell>
          <cell r="AF570">
            <v>2</v>
          </cell>
        </row>
        <row r="571">
          <cell r="D571" t="str">
            <v>هاشم زاده</v>
          </cell>
          <cell r="O571">
            <v>7501</v>
          </cell>
          <cell r="AC571" t="str">
            <v>1405/04/23</v>
          </cell>
          <cell r="AF571">
            <v>2</v>
          </cell>
        </row>
        <row r="572">
          <cell r="D572" t="str">
            <v>خیرخواه</v>
          </cell>
          <cell r="O572" t="str">
            <v>مونتاژ</v>
          </cell>
          <cell r="AC572" t="str">
            <v>1405/04/23</v>
          </cell>
          <cell r="AF572">
            <v>3</v>
          </cell>
        </row>
        <row r="573">
          <cell r="D573" t="str">
            <v>خیرخواه</v>
          </cell>
          <cell r="O573">
            <v>7401</v>
          </cell>
          <cell r="AC573" t="str">
            <v>1405/04/23</v>
          </cell>
          <cell r="AF573">
            <v>1</v>
          </cell>
        </row>
        <row r="574">
          <cell r="D574" t="str">
            <v>خیرخواه</v>
          </cell>
          <cell r="O574" t="str">
            <v>مونتاژ</v>
          </cell>
          <cell r="AC574" t="str">
            <v>1405/04/23</v>
          </cell>
          <cell r="AF574">
            <v>1</v>
          </cell>
        </row>
        <row r="575">
          <cell r="D575" t="str">
            <v>خیرخواه</v>
          </cell>
          <cell r="O575" t="str">
            <v>دمونتاژ</v>
          </cell>
          <cell r="AC575" t="str">
            <v>1405/04/23</v>
          </cell>
          <cell r="AF575">
            <v>2</v>
          </cell>
        </row>
        <row r="576">
          <cell r="D576" t="str">
            <v>خیرخواه</v>
          </cell>
          <cell r="O576" t="str">
            <v>مونتاژ</v>
          </cell>
          <cell r="AC576" t="str">
            <v>1405/04/23</v>
          </cell>
          <cell r="AF576">
            <v>1</v>
          </cell>
        </row>
        <row r="577">
          <cell r="D577" t="str">
            <v>فراهی</v>
          </cell>
          <cell r="O577">
            <v>7103</v>
          </cell>
          <cell r="AC577" t="str">
            <v>1405/04/24</v>
          </cell>
          <cell r="AF577">
            <v>6.5</v>
          </cell>
        </row>
        <row r="578">
          <cell r="D578" t="str">
            <v>زیلویی</v>
          </cell>
          <cell r="O578">
            <v>7203</v>
          </cell>
          <cell r="AC578" t="str">
            <v>1405/04/24</v>
          </cell>
          <cell r="AF578">
            <v>11</v>
          </cell>
        </row>
        <row r="579">
          <cell r="D579" t="str">
            <v>قیطاسوند</v>
          </cell>
          <cell r="O579">
            <v>7102</v>
          </cell>
          <cell r="AC579" t="str">
            <v>1405/04/24</v>
          </cell>
          <cell r="AF579">
            <v>11</v>
          </cell>
        </row>
        <row r="580">
          <cell r="D580" t="str">
            <v>باقری اصل</v>
          </cell>
          <cell r="O580">
            <v>7204</v>
          </cell>
          <cell r="AC580" t="str">
            <v>1405/04/24</v>
          </cell>
          <cell r="AF580">
            <v>11</v>
          </cell>
        </row>
        <row r="581">
          <cell r="D581" t="str">
            <v>هاشم زاده</v>
          </cell>
          <cell r="O581" t="str">
            <v>مونتاژ</v>
          </cell>
          <cell r="AC581" t="str">
            <v>1405/04/24</v>
          </cell>
          <cell r="AF581">
            <v>7.5</v>
          </cell>
        </row>
        <row r="582">
          <cell r="D582" t="str">
            <v>هاشم زاده</v>
          </cell>
          <cell r="O582" t="str">
            <v>دمونتاژ</v>
          </cell>
          <cell r="AC582" t="str">
            <v>1405/04/24</v>
          </cell>
          <cell r="AF582">
            <v>3</v>
          </cell>
        </row>
        <row r="583">
          <cell r="D583" t="str">
            <v>یاراحمدی</v>
          </cell>
          <cell r="O583">
            <v>7502</v>
          </cell>
          <cell r="AC583" t="str">
            <v>1405/04/24</v>
          </cell>
          <cell r="AF583">
            <v>11</v>
          </cell>
        </row>
        <row r="584">
          <cell r="D584" t="str">
            <v>یاراحمدی</v>
          </cell>
          <cell r="O584">
            <v>7501</v>
          </cell>
          <cell r="AC584" t="str">
            <v>1405/04/24</v>
          </cell>
          <cell r="AF584">
            <v>6</v>
          </cell>
        </row>
        <row r="585">
          <cell r="D585" t="str">
            <v>موسوی</v>
          </cell>
          <cell r="O585" t="str">
            <v>مونتاژ</v>
          </cell>
          <cell r="AC585" t="str">
            <v>1405/04/24</v>
          </cell>
          <cell r="AF585">
            <v>1.5</v>
          </cell>
        </row>
        <row r="586">
          <cell r="D586" t="str">
            <v>موسوی</v>
          </cell>
          <cell r="O586">
            <v>7302</v>
          </cell>
          <cell r="AC586" t="str">
            <v>1405/04/24</v>
          </cell>
          <cell r="AF586">
            <v>9.5</v>
          </cell>
        </row>
        <row r="587">
          <cell r="D587" t="str">
            <v>حیدری</v>
          </cell>
          <cell r="O587">
            <v>7101</v>
          </cell>
          <cell r="AC587" t="str">
            <v>1405/04/24</v>
          </cell>
          <cell r="AF587">
            <v>5</v>
          </cell>
        </row>
        <row r="588">
          <cell r="D588" t="str">
            <v>حیدری</v>
          </cell>
          <cell r="O588" t="str">
            <v>دمونتاژ</v>
          </cell>
          <cell r="AC588" t="str">
            <v>1405/04/24</v>
          </cell>
          <cell r="AF588">
            <v>4</v>
          </cell>
        </row>
        <row r="589">
          <cell r="D589" t="str">
            <v>حیدری</v>
          </cell>
          <cell r="O589" t="str">
            <v>مونتاژ</v>
          </cell>
          <cell r="AC589" t="str">
            <v>1405/04/24</v>
          </cell>
          <cell r="AF589">
            <v>2</v>
          </cell>
        </row>
        <row r="590">
          <cell r="D590" t="str">
            <v>کریم پرست</v>
          </cell>
          <cell r="O590">
            <v>7301</v>
          </cell>
          <cell r="AC590" t="str">
            <v>1405/04/24</v>
          </cell>
          <cell r="AF590">
            <v>4</v>
          </cell>
        </row>
        <row r="591">
          <cell r="D591" t="str">
            <v>کریم پرست</v>
          </cell>
          <cell r="O591">
            <v>7301</v>
          </cell>
          <cell r="AC591" t="str">
            <v>1405/04/24</v>
          </cell>
          <cell r="AF591">
            <v>4</v>
          </cell>
        </row>
        <row r="592">
          <cell r="D592" t="str">
            <v>کریم پرست</v>
          </cell>
          <cell r="O592">
            <v>7301</v>
          </cell>
          <cell r="AC592" t="str">
            <v>1405/04/24</v>
          </cell>
          <cell r="AF592">
            <v>2</v>
          </cell>
        </row>
        <row r="593">
          <cell r="D593" t="str">
            <v>کریم پرست</v>
          </cell>
          <cell r="O593">
            <v>7301</v>
          </cell>
          <cell r="AC593" t="str">
            <v>1405/04/24</v>
          </cell>
          <cell r="AF593">
            <v>1</v>
          </cell>
        </row>
        <row r="594">
          <cell r="D594" t="str">
            <v>خیرخواه</v>
          </cell>
          <cell r="O594" t="str">
            <v>دمونتاژ</v>
          </cell>
          <cell r="AC594" t="str">
            <v>1405/04/24</v>
          </cell>
          <cell r="AF594">
            <v>2</v>
          </cell>
        </row>
        <row r="595">
          <cell r="D595" t="str">
            <v>خیرخواه</v>
          </cell>
          <cell r="O595" t="str">
            <v>مونتاژ</v>
          </cell>
          <cell r="AC595" t="str">
            <v>1405/04/24</v>
          </cell>
          <cell r="AF595">
            <v>2</v>
          </cell>
        </row>
        <row r="596">
          <cell r="D596" t="str">
            <v>خیرخواه</v>
          </cell>
          <cell r="O596" t="str">
            <v>دمونتاژ</v>
          </cell>
          <cell r="AC596" t="str">
            <v>1405/04/24</v>
          </cell>
          <cell r="AF596">
            <v>2</v>
          </cell>
        </row>
        <row r="597">
          <cell r="D597" t="str">
            <v>حیدری</v>
          </cell>
          <cell r="O597" t="str">
            <v>مونتاژ</v>
          </cell>
          <cell r="AC597" t="str">
            <v>1405/04/24</v>
          </cell>
          <cell r="AF597">
            <v>4</v>
          </cell>
        </row>
        <row r="598">
          <cell r="D598" t="str">
            <v>باقری اصل</v>
          </cell>
          <cell r="O598">
            <v>7204</v>
          </cell>
          <cell r="AC598" t="str">
            <v>1405/04/25</v>
          </cell>
          <cell r="AF598">
            <v>7.5</v>
          </cell>
        </row>
        <row r="599">
          <cell r="D599" t="str">
            <v>باقری اصل</v>
          </cell>
          <cell r="O599">
            <v>7204</v>
          </cell>
          <cell r="AC599" t="str">
            <v>1405/04/26</v>
          </cell>
          <cell r="AF599">
            <v>5.5</v>
          </cell>
        </row>
        <row r="600">
          <cell r="D600" t="str">
            <v>زیلویی</v>
          </cell>
          <cell r="O600">
            <v>7203</v>
          </cell>
          <cell r="AC600" t="str">
            <v>1405/04/25</v>
          </cell>
          <cell r="AF600">
            <v>7.5</v>
          </cell>
        </row>
        <row r="601">
          <cell r="D601" t="str">
            <v>قیطاسوند</v>
          </cell>
          <cell r="O601">
            <v>7102</v>
          </cell>
          <cell r="AC601" t="str">
            <v>1405/04/25</v>
          </cell>
          <cell r="AF601">
            <v>7.5</v>
          </cell>
        </row>
        <row r="602">
          <cell r="D602" t="str">
            <v>کریم پرست</v>
          </cell>
          <cell r="O602">
            <v>7301</v>
          </cell>
          <cell r="AC602" t="str">
            <v>1405/04/25</v>
          </cell>
          <cell r="AF602">
            <v>3</v>
          </cell>
        </row>
        <row r="603">
          <cell r="D603" t="str">
            <v>کریم پرست</v>
          </cell>
          <cell r="O603">
            <v>7301</v>
          </cell>
          <cell r="AC603" t="str">
            <v>1405/04/25</v>
          </cell>
          <cell r="AF603">
            <v>3</v>
          </cell>
        </row>
        <row r="604">
          <cell r="D604" t="str">
            <v>کریم پرست</v>
          </cell>
          <cell r="O604" t="str">
            <v>نظافت</v>
          </cell>
          <cell r="AC604" t="str">
            <v>1405/04/25</v>
          </cell>
          <cell r="AF604">
            <v>0.5</v>
          </cell>
        </row>
        <row r="605">
          <cell r="D605" t="str">
            <v>حیدری</v>
          </cell>
          <cell r="O605" t="str">
            <v>دمونتاژ</v>
          </cell>
          <cell r="AC605" t="str">
            <v>1405/04/25</v>
          </cell>
          <cell r="AF605">
            <v>4</v>
          </cell>
        </row>
        <row r="606">
          <cell r="D606" t="str">
            <v>حیدری</v>
          </cell>
          <cell r="O606">
            <v>7101</v>
          </cell>
          <cell r="AC606" t="str">
            <v>1405/04/25</v>
          </cell>
          <cell r="AF606">
            <v>1</v>
          </cell>
        </row>
        <row r="607">
          <cell r="D607" t="str">
            <v>موسوی</v>
          </cell>
          <cell r="O607">
            <v>7302</v>
          </cell>
          <cell r="AC607" t="str">
            <v>1405/04/25</v>
          </cell>
          <cell r="AF607">
            <v>3</v>
          </cell>
        </row>
        <row r="608">
          <cell r="D608" t="str">
            <v>موسوی</v>
          </cell>
          <cell r="O608">
            <v>7302</v>
          </cell>
          <cell r="AC608" t="str">
            <v>1405/04/25</v>
          </cell>
          <cell r="AF608">
            <v>2</v>
          </cell>
        </row>
        <row r="609">
          <cell r="D609" t="str">
            <v>موسوی</v>
          </cell>
          <cell r="O609" t="str">
            <v>نظافت</v>
          </cell>
          <cell r="AC609" t="str">
            <v>1405/04/25</v>
          </cell>
          <cell r="AF609">
            <v>2</v>
          </cell>
        </row>
        <row r="610">
          <cell r="D610" t="str">
            <v>هاشم زاده</v>
          </cell>
          <cell r="O610" t="str">
            <v>دمونتاژ</v>
          </cell>
          <cell r="AC610" t="str">
            <v>1405/04/25</v>
          </cell>
          <cell r="AF610">
            <v>3</v>
          </cell>
        </row>
        <row r="611">
          <cell r="D611" t="str">
            <v>هاشم زاده</v>
          </cell>
          <cell r="O611">
            <v>7501</v>
          </cell>
          <cell r="AC611" t="str">
            <v>1405/04/25</v>
          </cell>
          <cell r="AF611">
            <v>2</v>
          </cell>
        </row>
        <row r="612">
          <cell r="D612" t="str">
            <v>هاشم زاده</v>
          </cell>
          <cell r="O612" t="str">
            <v>نظافت</v>
          </cell>
          <cell r="AC612" t="str">
            <v>1405/04/25</v>
          </cell>
          <cell r="AF612">
            <v>1</v>
          </cell>
        </row>
        <row r="613">
          <cell r="D613" t="str">
            <v>خیرخواه</v>
          </cell>
          <cell r="O613" t="str">
            <v>دمونتاژ</v>
          </cell>
          <cell r="AC613" t="str">
            <v>1405/04/25</v>
          </cell>
          <cell r="AF613">
            <v>1</v>
          </cell>
        </row>
        <row r="614">
          <cell r="D614" t="str">
            <v>خیرخواه</v>
          </cell>
          <cell r="O614" t="str">
            <v>مونتاژ</v>
          </cell>
          <cell r="AC614" t="str">
            <v>1405/04/25</v>
          </cell>
          <cell r="AF614">
            <v>2</v>
          </cell>
        </row>
        <row r="615">
          <cell r="D615" t="str">
            <v>خیرخواه</v>
          </cell>
          <cell r="O615" t="str">
            <v>دمونتاژ</v>
          </cell>
          <cell r="AC615" t="str">
            <v>1405/04/25</v>
          </cell>
          <cell r="AF615">
            <v>2.5</v>
          </cell>
        </row>
        <row r="616">
          <cell r="D616" t="str">
            <v>خیرخواه</v>
          </cell>
          <cell r="O616" t="str">
            <v>نظافت</v>
          </cell>
          <cell r="AC616" t="str">
            <v>1405/04/25</v>
          </cell>
          <cell r="AF616">
            <v>0.5</v>
          </cell>
        </row>
        <row r="617">
          <cell r="D617" t="str">
            <v>یاراحمدی</v>
          </cell>
          <cell r="O617">
            <v>7502</v>
          </cell>
          <cell r="AC617" t="str">
            <v>1405/04/25</v>
          </cell>
          <cell r="AF617">
            <v>4</v>
          </cell>
        </row>
        <row r="618">
          <cell r="D618" t="str">
            <v>یاراحمدی</v>
          </cell>
          <cell r="O618">
            <v>7501</v>
          </cell>
          <cell r="AC618" t="str">
            <v>1405/04/25</v>
          </cell>
          <cell r="AF618">
            <v>1</v>
          </cell>
        </row>
        <row r="619">
          <cell r="D619" t="str">
            <v>یاراحمدی</v>
          </cell>
          <cell r="O619">
            <v>7501</v>
          </cell>
          <cell r="AC619" t="str">
            <v>1405/04/25</v>
          </cell>
          <cell r="AF619">
            <v>1</v>
          </cell>
        </row>
        <row r="620">
          <cell r="D620" t="str">
            <v>هاشم زاده</v>
          </cell>
          <cell r="O620">
            <v>7501</v>
          </cell>
          <cell r="AC620" t="str">
            <v>1405/04/25</v>
          </cell>
          <cell r="AF620">
            <v>1</v>
          </cell>
        </row>
        <row r="621">
          <cell r="D621" t="str">
            <v>صلواتی</v>
          </cell>
          <cell r="O621">
            <v>7601</v>
          </cell>
          <cell r="AC621" t="str">
            <v>1405/04/25</v>
          </cell>
          <cell r="AF621">
            <v>8</v>
          </cell>
        </row>
        <row r="622">
          <cell r="D622" t="str">
            <v>صلواتی</v>
          </cell>
          <cell r="O622">
            <v>7605</v>
          </cell>
          <cell r="AC622" t="str">
            <v>1405/04/25</v>
          </cell>
          <cell r="AF622">
            <v>8</v>
          </cell>
        </row>
        <row r="623">
          <cell r="D623" t="str">
            <v>صلواتی</v>
          </cell>
          <cell r="O623">
            <v>7603</v>
          </cell>
          <cell r="AC623" t="str">
            <v>1405/04/25</v>
          </cell>
          <cell r="AF623">
            <v>8</v>
          </cell>
        </row>
        <row r="624">
          <cell r="D624" t="str">
            <v>صلواتی</v>
          </cell>
          <cell r="O624">
            <v>7602</v>
          </cell>
          <cell r="AC624" t="str">
            <v>1405/04/25</v>
          </cell>
          <cell r="AF624">
            <v>8</v>
          </cell>
        </row>
        <row r="625">
          <cell r="D625" t="str">
            <v>صلواتی</v>
          </cell>
          <cell r="O625">
            <v>7701</v>
          </cell>
          <cell r="AC625" t="str">
            <v>1405/04/25</v>
          </cell>
          <cell r="AF625">
            <v>4</v>
          </cell>
        </row>
        <row r="626">
          <cell r="D626" t="str">
            <v>صلواتی</v>
          </cell>
          <cell r="O626">
            <v>7603</v>
          </cell>
          <cell r="AC626" t="str">
            <v>1405/04/26</v>
          </cell>
          <cell r="AF626">
            <v>5</v>
          </cell>
        </row>
        <row r="627">
          <cell r="D627" t="str">
            <v>صلواتی</v>
          </cell>
          <cell r="O627">
            <v>7601</v>
          </cell>
          <cell r="AC627" t="str">
            <v>1405/04/26</v>
          </cell>
          <cell r="AF627">
            <v>5</v>
          </cell>
        </row>
        <row r="628">
          <cell r="D628" t="str">
            <v>صلواتی</v>
          </cell>
          <cell r="O628">
            <v>7605</v>
          </cell>
          <cell r="AC628" t="str">
            <v>1405/04/26</v>
          </cell>
          <cell r="AF628">
            <v>5</v>
          </cell>
        </row>
        <row r="629">
          <cell r="D629" t="str">
            <v>صلواتی</v>
          </cell>
          <cell r="O629">
            <v>7602</v>
          </cell>
          <cell r="AC629" t="str">
            <v>1405/04/26</v>
          </cell>
          <cell r="AF629">
            <v>5</v>
          </cell>
        </row>
        <row r="630">
          <cell r="D630" t="str">
            <v>صلواتی</v>
          </cell>
          <cell r="O630">
            <v>7701</v>
          </cell>
          <cell r="AC630" t="str">
            <v>1405/04/26</v>
          </cell>
          <cell r="AF630">
            <v>5</v>
          </cell>
        </row>
        <row r="631">
          <cell r="D631" t="str">
            <v>خیرخواه</v>
          </cell>
          <cell r="O631" t="str">
            <v>دمونتاژ</v>
          </cell>
          <cell r="AC631" t="str">
            <v>1405/04/26</v>
          </cell>
          <cell r="AF631">
            <v>2</v>
          </cell>
        </row>
        <row r="632">
          <cell r="D632" t="str">
            <v>خیرخواه</v>
          </cell>
          <cell r="O632" t="str">
            <v>دمونتاژ</v>
          </cell>
          <cell r="AC632" t="str">
            <v>1405/04/26</v>
          </cell>
          <cell r="AF632">
            <v>2</v>
          </cell>
        </row>
        <row r="633">
          <cell r="D633" t="str">
            <v>قیطاسوند</v>
          </cell>
          <cell r="O633">
            <v>7102</v>
          </cell>
          <cell r="AC633" t="str">
            <v>1405/04/27</v>
          </cell>
          <cell r="AF633">
            <v>11</v>
          </cell>
        </row>
        <row r="634">
          <cell r="D634" t="str">
            <v>باقری اصل</v>
          </cell>
          <cell r="O634">
            <v>7204</v>
          </cell>
          <cell r="AC634" t="str">
            <v>1405/04/27</v>
          </cell>
          <cell r="AF634">
            <v>4.5</v>
          </cell>
        </row>
        <row r="635">
          <cell r="D635" t="str">
            <v>باقری اصل</v>
          </cell>
          <cell r="O635">
            <v>7204</v>
          </cell>
          <cell r="AC635" t="str">
            <v>1405/04/27</v>
          </cell>
          <cell r="AF635">
            <v>6.5</v>
          </cell>
        </row>
        <row r="636">
          <cell r="D636" t="str">
            <v>یاراحمدی</v>
          </cell>
          <cell r="O636">
            <v>7502</v>
          </cell>
          <cell r="AC636" t="str">
            <v>1405/04/27</v>
          </cell>
          <cell r="AF636">
            <v>11</v>
          </cell>
        </row>
        <row r="637">
          <cell r="D637" t="str">
            <v>یاراحمدی</v>
          </cell>
          <cell r="O637">
            <v>7501</v>
          </cell>
          <cell r="AC637" t="str">
            <v>1405/04/27</v>
          </cell>
          <cell r="AF637">
            <v>11</v>
          </cell>
        </row>
        <row r="638">
          <cell r="D638" t="str">
            <v>زیلویی</v>
          </cell>
          <cell r="O638">
            <v>7203</v>
          </cell>
          <cell r="AC638" t="str">
            <v>1405/04/27</v>
          </cell>
          <cell r="AF638">
            <v>7.5</v>
          </cell>
        </row>
        <row r="639">
          <cell r="D639" t="str">
            <v>زیلویی</v>
          </cell>
          <cell r="O639">
            <v>7203</v>
          </cell>
          <cell r="AC639" t="str">
            <v>1405/04/27</v>
          </cell>
          <cell r="AF639">
            <v>3.5</v>
          </cell>
        </row>
        <row r="640">
          <cell r="D640" t="str">
            <v>حیدری</v>
          </cell>
          <cell r="O640">
            <v>7101</v>
          </cell>
          <cell r="AC640" t="str">
            <v>1405/04/27</v>
          </cell>
          <cell r="AF640">
            <v>3.6666666666666665</v>
          </cell>
        </row>
        <row r="641">
          <cell r="D641" t="str">
            <v>حیدری</v>
          </cell>
          <cell r="O641" t="str">
            <v>مونتاژ</v>
          </cell>
          <cell r="AC641" t="str">
            <v>1405/04/27</v>
          </cell>
          <cell r="AF641">
            <v>3</v>
          </cell>
        </row>
        <row r="642">
          <cell r="D642" t="str">
            <v>حیدری</v>
          </cell>
          <cell r="O642" t="str">
            <v>مونتاژ</v>
          </cell>
          <cell r="AC642" t="str">
            <v>1405/04/27</v>
          </cell>
          <cell r="AF642">
            <v>4.5</v>
          </cell>
        </row>
        <row r="643">
          <cell r="D643" t="str">
            <v>کریم پرست</v>
          </cell>
          <cell r="O643">
            <v>7301</v>
          </cell>
          <cell r="AC643" t="str">
            <v>1405/04/27</v>
          </cell>
          <cell r="AF643">
            <v>1</v>
          </cell>
        </row>
        <row r="644">
          <cell r="D644" t="str">
            <v>کریم پرست</v>
          </cell>
          <cell r="O644">
            <v>7301</v>
          </cell>
          <cell r="AC644" t="str">
            <v>1405/04/27</v>
          </cell>
          <cell r="AF644">
            <v>4</v>
          </cell>
        </row>
        <row r="645">
          <cell r="D645" t="str">
            <v>کریم پرست</v>
          </cell>
          <cell r="O645">
            <v>7301</v>
          </cell>
          <cell r="AC645" t="str">
            <v>1405/04/27</v>
          </cell>
          <cell r="AF645">
            <v>4</v>
          </cell>
        </row>
        <row r="646">
          <cell r="D646" t="str">
            <v>فراهی</v>
          </cell>
          <cell r="O646">
            <v>7103</v>
          </cell>
          <cell r="AC646" t="str">
            <v>1405/04/27</v>
          </cell>
          <cell r="AF646">
            <v>1</v>
          </cell>
        </row>
        <row r="647">
          <cell r="D647" t="str">
            <v>فراهی</v>
          </cell>
          <cell r="O647">
            <v>7103</v>
          </cell>
          <cell r="AC647" t="str">
            <v>1405/04/27</v>
          </cell>
          <cell r="AF647">
            <v>4</v>
          </cell>
        </row>
        <row r="648">
          <cell r="D648" t="str">
            <v>فراهی</v>
          </cell>
          <cell r="O648">
            <v>7103</v>
          </cell>
          <cell r="AC648" t="str">
            <v>1405/04/27</v>
          </cell>
          <cell r="AF648">
            <v>1.5</v>
          </cell>
        </row>
        <row r="649">
          <cell r="D649" t="str">
            <v>موسوی</v>
          </cell>
          <cell r="O649">
            <v>7302</v>
          </cell>
          <cell r="AC649" t="str">
            <v>1405/04/27</v>
          </cell>
          <cell r="AF649">
            <v>5</v>
          </cell>
        </row>
        <row r="650">
          <cell r="D650" t="str">
            <v>موسوی</v>
          </cell>
          <cell r="O650">
            <v>7302</v>
          </cell>
          <cell r="AC650" t="str">
            <v>1405/04/27</v>
          </cell>
          <cell r="AF650">
            <v>4</v>
          </cell>
        </row>
        <row r="651">
          <cell r="D651" t="str">
            <v>موسوی</v>
          </cell>
          <cell r="O651">
            <v>7302</v>
          </cell>
          <cell r="AC651" t="str">
            <v>1405/04/27</v>
          </cell>
          <cell r="AF651">
            <v>2</v>
          </cell>
        </row>
        <row r="652">
          <cell r="D652" t="str">
            <v>خیرخواه</v>
          </cell>
          <cell r="O652" t="str">
            <v>مونتاژ</v>
          </cell>
          <cell r="AC652" t="str">
            <v>1405/04/27</v>
          </cell>
          <cell r="AF652">
            <v>2</v>
          </cell>
        </row>
        <row r="653">
          <cell r="D653" t="str">
            <v>خیرخواه</v>
          </cell>
          <cell r="O653" t="str">
            <v>مونتاژ</v>
          </cell>
          <cell r="AC653" t="str">
            <v>1405/04/27</v>
          </cell>
          <cell r="AF653">
            <v>2</v>
          </cell>
        </row>
        <row r="654">
          <cell r="D654" t="str">
            <v>خیرخواه</v>
          </cell>
          <cell r="O654" t="str">
            <v>مونتاژ</v>
          </cell>
          <cell r="AC654" t="str">
            <v>1405/04/27</v>
          </cell>
          <cell r="AF654">
            <v>5</v>
          </cell>
        </row>
        <row r="655">
          <cell r="D655" t="str">
            <v>خیرخواه</v>
          </cell>
          <cell r="O655" t="str">
            <v>مونتاژ</v>
          </cell>
          <cell r="AC655" t="str">
            <v>1405/04/27</v>
          </cell>
          <cell r="AF655">
            <v>1</v>
          </cell>
        </row>
        <row r="656">
          <cell r="D656" t="str">
            <v>خیرخواه</v>
          </cell>
          <cell r="O656">
            <v>7401</v>
          </cell>
          <cell r="AC656" t="str">
            <v>1405/04/27</v>
          </cell>
          <cell r="AF656">
            <v>1</v>
          </cell>
        </row>
        <row r="657">
          <cell r="D657" t="str">
            <v>هاشم زاده</v>
          </cell>
          <cell r="O657" t="str">
            <v>مونتاژ</v>
          </cell>
          <cell r="AC657" t="str">
            <v>1405/04/27</v>
          </cell>
          <cell r="AF657">
            <v>3</v>
          </cell>
        </row>
        <row r="658">
          <cell r="D658" t="str">
            <v>هاشم زاده</v>
          </cell>
          <cell r="O658" t="str">
            <v>مونتاژ</v>
          </cell>
          <cell r="AC658" t="str">
            <v>1405/04/27</v>
          </cell>
          <cell r="AF658">
            <v>3</v>
          </cell>
        </row>
        <row r="659">
          <cell r="D659" t="str">
            <v>هاشم زاده</v>
          </cell>
          <cell r="O659">
            <v>8001</v>
          </cell>
          <cell r="AC659" t="str">
            <v>1405/04/27</v>
          </cell>
          <cell r="AF659">
            <v>2</v>
          </cell>
        </row>
        <row r="660">
          <cell r="D660" t="str">
            <v>هاشم زاده</v>
          </cell>
          <cell r="O660" t="str">
            <v>مونتاژ</v>
          </cell>
          <cell r="AC660" t="str">
            <v>1405/04/27</v>
          </cell>
          <cell r="AF660">
            <v>3</v>
          </cell>
        </row>
        <row r="661">
          <cell r="D661" t="str">
            <v>صلواتی</v>
          </cell>
          <cell r="O661">
            <v>7601</v>
          </cell>
          <cell r="AC661" t="str">
            <v>1405/04/27</v>
          </cell>
          <cell r="AF661">
            <v>12</v>
          </cell>
        </row>
        <row r="662">
          <cell r="D662" t="str">
            <v>صلواتی</v>
          </cell>
          <cell r="O662">
            <v>7602</v>
          </cell>
          <cell r="AC662" t="str">
            <v>1405/04/27</v>
          </cell>
          <cell r="AF662">
            <v>4</v>
          </cell>
        </row>
        <row r="663">
          <cell r="D663" t="str">
            <v>صلواتی</v>
          </cell>
          <cell r="O663">
            <v>7602</v>
          </cell>
          <cell r="AC663" t="str">
            <v>1405/04/27</v>
          </cell>
          <cell r="AF663">
            <v>2</v>
          </cell>
        </row>
        <row r="664">
          <cell r="D664" t="str">
            <v>صلواتی</v>
          </cell>
          <cell r="O664">
            <v>7603</v>
          </cell>
          <cell r="AC664" t="str">
            <v>1405/04/27</v>
          </cell>
          <cell r="AF664">
            <v>12</v>
          </cell>
        </row>
        <row r="665">
          <cell r="D665" t="str">
            <v>صلواتی</v>
          </cell>
          <cell r="O665">
            <v>7605</v>
          </cell>
          <cell r="AC665" t="str">
            <v>1405/04/27</v>
          </cell>
          <cell r="AF665">
            <v>12</v>
          </cell>
        </row>
        <row r="666">
          <cell r="D666" t="str">
            <v>صلواتی</v>
          </cell>
          <cell r="O666">
            <v>7701</v>
          </cell>
          <cell r="AC666" t="str">
            <v>1405/04/27</v>
          </cell>
          <cell r="AF666">
            <v>12</v>
          </cell>
        </row>
        <row r="667">
          <cell r="D667" t="str">
            <v>زیلویی</v>
          </cell>
          <cell r="O667">
            <v>7203</v>
          </cell>
          <cell r="AC667" t="str">
            <v>1405/04/28</v>
          </cell>
          <cell r="AF667">
            <v>11</v>
          </cell>
        </row>
        <row r="668">
          <cell r="D668" t="str">
            <v>فراهی</v>
          </cell>
          <cell r="O668">
            <v>7103</v>
          </cell>
          <cell r="AC668" t="str">
            <v>1405/04/28</v>
          </cell>
          <cell r="AF668">
            <v>6.5</v>
          </cell>
        </row>
        <row r="669">
          <cell r="D669" t="str">
            <v>حیدری</v>
          </cell>
          <cell r="O669">
            <v>7101</v>
          </cell>
          <cell r="AC669" t="str">
            <v>1405/04/28</v>
          </cell>
          <cell r="AF669">
            <v>3.5</v>
          </cell>
        </row>
        <row r="670">
          <cell r="D670" t="str">
            <v>حیدری</v>
          </cell>
          <cell r="O670">
            <v>7101</v>
          </cell>
          <cell r="AC670" t="str">
            <v>1405/04/28</v>
          </cell>
          <cell r="AF670">
            <v>7.5</v>
          </cell>
        </row>
        <row r="671">
          <cell r="D671" t="str">
            <v>باقری اصل</v>
          </cell>
          <cell r="O671">
            <v>7204</v>
          </cell>
          <cell r="AC671" t="str">
            <v>1405/04/28</v>
          </cell>
          <cell r="AF671">
            <v>3.5</v>
          </cell>
        </row>
        <row r="672">
          <cell r="D672" t="str">
            <v>باقری اصل</v>
          </cell>
          <cell r="O672">
            <v>7204</v>
          </cell>
          <cell r="AC672" t="str">
            <v>1405/04/28</v>
          </cell>
          <cell r="AF672">
            <v>7.5</v>
          </cell>
        </row>
        <row r="673">
          <cell r="D673" t="str">
            <v>قیطاسوند</v>
          </cell>
          <cell r="O673">
            <v>7102</v>
          </cell>
          <cell r="AC673" t="str">
            <v>1405/04/28</v>
          </cell>
          <cell r="AF673">
            <v>11</v>
          </cell>
        </row>
        <row r="674">
          <cell r="D674" t="str">
            <v>کریم پرست</v>
          </cell>
          <cell r="O674">
            <v>7301</v>
          </cell>
          <cell r="AC674" t="str">
            <v>1405/04/28</v>
          </cell>
          <cell r="AF674">
            <v>5</v>
          </cell>
        </row>
        <row r="675">
          <cell r="D675" t="str">
            <v>کریم پرست</v>
          </cell>
          <cell r="O675">
            <v>7301</v>
          </cell>
          <cell r="AC675" t="str">
            <v>1405/04/28</v>
          </cell>
          <cell r="AF675">
            <v>6</v>
          </cell>
        </row>
        <row r="676">
          <cell r="D676" t="str">
            <v>هاشم زاده</v>
          </cell>
          <cell r="O676" t="str">
            <v>مونتاژ</v>
          </cell>
          <cell r="AC676" t="str">
            <v>1405/04/28</v>
          </cell>
          <cell r="AF676">
            <v>3</v>
          </cell>
        </row>
        <row r="677">
          <cell r="D677" t="str">
            <v>هاشم زاده</v>
          </cell>
          <cell r="O677" t="str">
            <v>دمونتاژ</v>
          </cell>
          <cell r="AC677" t="str">
            <v>1405/04/28</v>
          </cell>
          <cell r="AF677">
            <v>3</v>
          </cell>
        </row>
        <row r="678">
          <cell r="D678" t="str">
            <v>هاشم زاده</v>
          </cell>
          <cell r="O678" t="str">
            <v>مونتاژ</v>
          </cell>
          <cell r="AC678" t="str">
            <v>1405/04/28</v>
          </cell>
          <cell r="AF678">
            <v>3</v>
          </cell>
        </row>
        <row r="679">
          <cell r="D679" t="str">
            <v>خیرخواه</v>
          </cell>
          <cell r="O679" t="str">
            <v>مونتاژ</v>
          </cell>
          <cell r="AC679" t="str">
            <v>1405/04/28</v>
          </cell>
          <cell r="AF679">
            <v>2</v>
          </cell>
        </row>
        <row r="680">
          <cell r="D680" t="str">
            <v>خیرخواه</v>
          </cell>
          <cell r="O680" t="str">
            <v>مونتاژ</v>
          </cell>
          <cell r="AC680" t="str">
            <v>1405/04/28</v>
          </cell>
          <cell r="AF680">
            <v>2</v>
          </cell>
        </row>
        <row r="681">
          <cell r="D681" t="str">
            <v>خیرخواه</v>
          </cell>
          <cell r="O681">
            <v>7401</v>
          </cell>
          <cell r="AC681" t="str">
            <v>1405/04/28</v>
          </cell>
          <cell r="AF681">
            <v>1</v>
          </cell>
        </row>
        <row r="682">
          <cell r="D682" t="str">
            <v>خیرخواه</v>
          </cell>
          <cell r="O682" t="str">
            <v>مونتاژ</v>
          </cell>
          <cell r="AC682" t="str">
            <v>1405/04/28</v>
          </cell>
          <cell r="AF682">
            <v>0.5</v>
          </cell>
        </row>
        <row r="683">
          <cell r="D683" t="str">
            <v>خیرخواه</v>
          </cell>
          <cell r="O683" t="str">
            <v>مونتاژ</v>
          </cell>
          <cell r="AC683" t="str">
            <v>1405/04/28</v>
          </cell>
          <cell r="AF683">
            <v>4</v>
          </cell>
        </row>
        <row r="684">
          <cell r="D684" t="str">
            <v>خیرخواه</v>
          </cell>
          <cell r="O684">
            <v>7401</v>
          </cell>
          <cell r="AC684" t="str">
            <v>1405/04/28</v>
          </cell>
          <cell r="AF684">
            <v>1</v>
          </cell>
        </row>
        <row r="685">
          <cell r="D685" t="str">
            <v>یاراحمدی</v>
          </cell>
          <cell r="O685">
            <v>7502</v>
          </cell>
          <cell r="AC685" t="str">
            <v>1405/04/28</v>
          </cell>
          <cell r="AF685">
            <v>2</v>
          </cell>
        </row>
        <row r="686">
          <cell r="D686" t="str">
            <v>یاراحمدی</v>
          </cell>
          <cell r="O686">
            <v>7502</v>
          </cell>
          <cell r="AC686" t="str">
            <v>1405/04/28</v>
          </cell>
          <cell r="AF686">
            <v>1.5</v>
          </cell>
        </row>
        <row r="687">
          <cell r="D687" t="str">
            <v>یاراحمدی</v>
          </cell>
          <cell r="O687">
            <v>7502</v>
          </cell>
          <cell r="AC687" t="str">
            <v>1405/04/28</v>
          </cell>
          <cell r="AF687">
            <v>1.5</v>
          </cell>
        </row>
        <row r="688">
          <cell r="D688" t="str">
            <v>یاراحمدی</v>
          </cell>
          <cell r="O688">
            <v>7501</v>
          </cell>
          <cell r="AC688" t="str">
            <v>1405/04/28</v>
          </cell>
          <cell r="AF688">
            <v>11</v>
          </cell>
        </row>
        <row r="689">
          <cell r="D689" t="str">
            <v>یاراحمدی</v>
          </cell>
          <cell r="O689">
            <v>7502</v>
          </cell>
          <cell r="AC689" t="str">
            <v>1405/04/28</v>
          </cell>
          <cell r="AF689">
            <v>1.5</v>
          </cell>
        </row>
        <row r="690">
          <cell r="D690" t="str">
            <v>یاراحمدی</v>
          </cell>
          <cell r="O690">
            <v>7502</v>
          </cell>
          <cell r="AC690" t="str">
            <v>1405/04/28</v>
          </cell>
          <cell r="AF690">
            <v>1.5</v>
          </cell>
        </row>
        <row r="691">
          <cell r="D691" t="str">
            <v>یاراحمدی</v>
          </cell>
          <cell r="O691">
            <v>7502</v>
          </cell>
          <cell r="AC691" t="str">
            <v>1405/04/28</v>
          </cell>
          <cell r="AF691">
            <v>3</v>
          </cell>
        </row>
        <row r="692">
          <cell r="D692" t="str">
            <v>موسوی</v>
          </cell>
          <cell r="O692">
            <v>7302</v>
          </cell>
          <cell r="AC692" t="str">
            <v>1405/04/28</v>
          </cell>
          <cell r="AF692">
            <v>2</v>
          </cell>
        </row>
        <row r="693">
          <cell r="D693" t="str">
            <v>موسوی</v>
          </cell>
          <cell r="O693">
            <v>7302</v>
          </cell>
          <cell r="AC693" t="str">
            <v>1405/04/28</v>
          </cell>
          <cell r="AF693">
            <v>1</v>
          </cell>
        </row>
        <row r="694">
          <cell r="D694" t="str">
            <v>موسوی</v>
          </cell>
          <cell r="O694">
            <v>7302</v>
          </cell>
          <cell r="AC694" t="str">
            <v>1405/04/28</v>
          </cell>
          <cell r="AF694">
            <v>2</v>
          </cell>
        </row>
        <row r="695">
          <cell r="D695" t="str">
            <v>موسوی</v>
          </cell>
          <cell r="O695" t="str">
            <v>مونتاژ</v>
          </cell>
          <cell r="AC695" t="str">
            <v>1405/04/28</v>
          </cell>
          <cell r="AF695">
            <v>1</v>
          </cell>
        </row>
        <row r="696">
          <cell r="D696" t="str">
            <v>صلواتی</v>
          </cell>
          <cell r="O696">
            <v>7601</v>
          </cell>
          <cell r="AC696" t="str">
            <v>1405/04/28</v>
          </cell>
          <cell r="AF696">
            <v>3</v>
          </cell>
        </row>
        <row r="697">
          <cell r="D697" t="str">
            <v>صلواتی</v>
          </cell>
          <cell r="O697">
            <v>7601</v>
          </cell>
          <cell r="AC697" t="str">
            <v>1405/04/28</v>
          </cell>
          <cell r="AF697">
            <v>9</v>
          </cell>
        </row>
        <row r="698">
          <cell r="D698" t="str">
            <v>صلواتی</v>
          </cell>
          <cell r="O698">
            <v>7603</v>
          </cell>
          <cell r="AC698" t="str">
            <v>1405/04/28</v>
          </cell>
          <cell r="AF698">
            <v>6</v>
          </cell>
        </row>
        <row r="699">
          <cell r="D699" t="str">
            <v>صلواتی</v>
          </cell>
          <cell r="O699">
            <v>7605</v>
          </cell>
          <cell r="AC699" t="str">
            <v>1405/04/28</v>
          </cell>
          <cell r="AF699">
            <v>12</v>
          </cell>
        </row>
        <row r="700">
          <cell r="D700" t="str">
            <v>صلواتی</v>
          </cell>
          <cell r="O700">
            <v>7603</v>
          </cell>
          <cell r="AC700" t="str">
            <v>1405/04/28</v>
          </cell>
          <cell r="AF700">
            <v>6</v>
          </cell>
        </row>
        <row r="701">
          <cell r="D701" t="str">
            <v>صلواتی</v>
          </cell>
          <cell r="O701">
            <v>7602</v>
          </cell>
          <cell r="AC701" t="str">
            <v>1405/04/28</v>
          </cell>
          <cell r="AF701">
            <v>6</v>
          </cell>
        </row>
        <row r="702">
          <cell r="D702" t="str">
            <v>فراهی</v>
          </cell>
          <cell r="O702">
            <v>7103</v>
          </cell>
          <cell r="AC702" t="str">
            <v>1405/04/29</v>
          </cell>
          <cell r="AF702">
            <v>6.5</v>
          </cell>
        </row>
        <row r="703">
          <cell r="D703" t="str">
            <v>باقری اصل</v>
          </cell>
          <cell r="O703">
            <v>7204</v>
          </cell>
          <cell r="AC703" t="str">
            <v>1405/04/29</v>
          </cell>
          <cell r="AF703">
            <v>7.5</v>
          </cell>
        </row>
        <row r="704">
          <cell r="D704" t="str">
            <v>باقری اصل</v>
          </cell>
          <cell r="O704">
            <v>7204</v>
          </cell>
          <cell r="AC704" t="str">
            <v>1405/04/29</v>
          </cell>
          <cell r="AF704">
            <v>3.5</v>
          </cell>
        </row>
        <row r="705">
          <cell r="D705" t="str">
            <v>زیلویی</v>
          </cell>
          <cell r="O705">
            <v>7203</v>
          </cell>
          <cell r="AC705" t="str">
            <v>1405/04/29</v>
          </cell>
          <cell r="AF705">
            <v>6.5</v>
          </cell>
        </row>
        <row r="706">
          <cell r="D706" t="str">
            <v>زیلویی</v>
          </cell>
          <cell r="O706">
            <v>7203</v>
          </cell>
          <cell r="AC706" t="str">
            <v>1405/04/29</v>
          </cell>
          <cell r="AF706">
            <v>4.5</v>
          </cell>
        </row>
        <row r="707">
          <cell r="D707" t="str">
            <v>کریم پرست</v>
          </cell>
          <cell r="O707">
            <v>7301</v>
          </cell>
          <cell r="AC707" t="str">
            <v>1405/04/29</v>
          </cell>
          <cell r="AF707">
            <v>4</v>
          </cell>
        </row>
        <row r="708">
          <cell r="D708" t="str">
            <v>کریم پرست</v>
          </cell>
          <cell r="O708">
            <v>7301</v>
          </cell>
          <cell r="AC708" t="str">
            <v>1405/04/29</v>
          </cell>
          <cell r="AF708">
            <v>4.333333333333333</v>
          </cell>
        </row>
        <row r="709">
          <cell r="D709" t="str">
            <v>حیدری</v>
          </cell>
          <cell r="O709" t="str">
            <v>مونتاژ</v>
          </cell>
          <cell r="AC709" t="str">
            <v>1405/04/29</v>
          </cell>
          <cell r="AF709">
            <v>4</v>
          </cell>
        </row>
        <row r="710">
          <cell r="D710" t="str">
            <v>حیدری</v>
          </cell>
          <cell r="O710" t="str">
            <v>مونتاژ</v>
          </cell>
          <cell r="AC710" t="str">
            <v>1405/04/29</v>
          </cell>
          <cell r="AF710">
            <v>3</v>
          </cell>
        </row>
        <row r="711">
          <cell r="D711" t="str">
            <v>قیطاسوند</v>
          </cell>
          <cell r="O711">
            <v>7102</v>
          </cell>
          <cell r="AC711" t="str">
            <v>1405/04/29</v>
          </cell>
          <cell r="AF711">
            <v>11</v>
          </cell>
        </row>
        <row r="712">
          <cell r="D712" t="str">
            <v>هاشم زاده</v>
          </cell>
          <cell r="O712" t="str">
            <v>مونتاژ</v>
          </cell>
          <cell r="AC712" t="str">
            <v>1405/04/29</v>
          </cell>
          <cell r="AF712">
            <v>5</v>
          </cell>
        </row>
        <row r="713">
          <cell r="D713" t="str">
            <v>هاشم زاده</v>
          </cell>
          <cell r="O713">
            <v>7501</v>
          </cell>
          <cell r="AC713" t="str">
            <v>1405/04/29</v>
          </cell>
          <cell r="AF713">
            <v>2</v>
          </cell>
        </row>
        <row r="714">
          <cell r="D714" t="str">
            <v>هاشم زاده</v>
          </cell>
          <cell r="O714" t="str">
            <v>مونتاژ</v>
          </cell>
          <cell r="AC714" t="str">
            <v>1405/04/29</v>
          </cell>
          <cell r="AF714">
            <v>3</v>
          </cell>
        </row>
        <row r="715">
          <cell r="D715" t="str">
            <v>صلواتی</v>
          </cell>
          <cell r="O715">
            <v>7601</v>
          </cell>
          <cell r="AC715" t="str">
            <v>1405/04/29</v>
          </cell>
          <cell r="AF715">
            <v>12</v>
          </cell>
        </row>
        <row r="716">
          <cell r="D716" t="str">
            <v>صلواتی</v>
          </cell>
          <cell r="O716">
            <v>7602</v>
          </cell>
          <cell r="AC716" t="str">
            <v>1405/04/29</v>
          </cell>
          <cell r="AF716">
            <v>6</v>
          </cell>
        </row>
        <row r="717">
          <cell r="D717" t="str">
            <v>صلواتی</v>
          </cell>
          <cell r="O717">
            <v>7605</v>
          </cell>
          <cell r="AC717" t="str">
            <v>1405/04/29</v>
          </cell>
          <cell r="AF717">
            <v>12</v>
          </cell>
        </row>
        <row r="718">
          <cell r="D718" t="str">
            <v>موسوی</v>
          </cell>
          <cell r="O718">
            <v>7302</v>
          </cell>
          <cell r="AC718" t="str">
            <v>1405/04/29</v>
          </cell>
          <cell r="AF718">
            <v>5.5</v>
          </cell>
        </row>
        <row r="719">
          <cell r="D719" t="str">
            <v>موسوی</v>
          </cell>
          <cell r="O719">
            <v>7302</v>
          </cell>
          <cell r="AC719" t="str">
            <v>1405/04/29</v>
          </cell>
          <cell r="AF719">
            <v>1</v>
          </cell>
        </row>
        <row r="720">
          <cell r="D720" t="str">
            <v>موسوی</v>
          </cell>
          <cell r="O720">
            <v>7302</v>
          </cell>
          <cell r="AC720" t="str">
            <v>1405/04/29</v>
          </cell>
          <cell r="AF720">
            <v>2.5</v>
          </cell>
        </row>
        <row r="721">
          <cell r="D721" t="str">
            <v>خیرخواه</v>
          </cell>
          <cell r="O721" t="str">
            <v>مونتاژ</v>
          </cell>
          <cell r="AC721" t="str">
            <v>1405/04/29</v>
          </cell>
          <cell r="AF721">
            <v>5</v>
          </cell>
        </row>
        <row r="722">
          <cell r="D722" t="str">
            <v>خیرخواه</v>
          </cell>
          <cell r="O722">
            <v>7502</v>
          </cell>
          <cell r="AC722" t="str">
            <v>1405/04/29</v>
          </cell>
          <cell r="AF722">
            <v>1</v>
          </cell>
        </row>
        <row r="723">
          <cell r="D723" t="str">
            <v>خیرخواه</v>
          </cell>
          <cell r="O723">
            <v>7401</v>
          </cell>
          <cell r="AC723" t="str">
            <v>1405/04/29</v>
          </cell>
          <cell r="AF723">
            <v>1</v>
          </cell>
        </row>
        <row r="724">
          <cell r="D724" t="str">
            <v>خیرخواه</v>
          </cell>
          <cell r="O724" t="str">
            <v>مونتاژ</v>
          </cell>
          <cell r="AC724" t="str">
            <v>1405/04/29</v>
          </cell>
          <cell r="AF724">
            <v>1</v>
          </cell>
        </row>
        <row r="725">
          <cell r="D725" t="str">
            <v>یاراحمدی</v>
          </cell>
          <cell r="O725">
            <v>7501</v>
          </cell>
          <cell r="AC725" t="str">
            <v>1405/04/29</v>
          </cell>
          <cell r="AF725">
            <v>9</v>
          </cell>
        </row>
        <row r="726">
          <cell r="D726" t="str">
            <v>یاراحمدی</v>
          </cell>
          <cell r="O726">
            <v>7502</v>
          </cell>
          <cell r="AC726" t="str">
            <v>1405/04/29</v>
          </cell>
          <cell r="AF726">
            <v>3</v>
          </cell>
        </row>
        <row r="727">
          <cell r="D727" t="str">
            <v>یاراحمدی</v>
          </cell>
          <cell r="O727">
            <v>7502</v>
          </cell>
          <cell r="AC727" t="str">
            <v>1405/04/29</v>
          </cell>
          <cell r="AF727">
            <v>1</v>
          </cell>
        </row>
        <row r="728">
          <cell r="D728" t="str">
            <v>یاراحمدی</v>
          </cell>
          <cell r="O728">
            <v>7502</v>
          </cell>
          <cell r="AC728" t="str">
            <v>1405/04/29</v>
          </cell>
          <cell r="AF728">
            <v>3</v>
          </cell>
        </row>
        <row r="729">
          <cell r="D729" t="str">
            <v>زیلویی</v>
          </cell>
          <cell r="O729">
            <v>7203</v>
          </cell>
          <cell r="AC729" t="str">
            <v>1405/04/30</v>
          </cell>
          <cell r="AF729">
            <v>11</v>
          </cell>
        </row>
        <row r="730">
          <cell r="D730" t="str">
            <v>حیدری</v>
          </cell>
          <cell r="O730">
            <v>7101</v>
          </cell>
          <cell r="AC730" t="str">
            <v>1405/04/30</v>
          </cell>
          <cell r="AF730">
            <v>11</v>
          </cell>
        </row>
        <row r="731">
          <cell r="D731" t="str">
            <v>فراهی</v>
          </cell>
          <cell r="O731">
            <v>7103</v>
          </cell>
          <cell r="AC731" t="str">
            <v>1405/04/30</v>
          </cell>
          <cell r="AF731">
            <v>3.5</v>
          </cell>
        </row>
        <row r="732">
          <cell r="D732" t="str">
            <v>فراهی</v>
          </cell>
          <cell r="O732">
            <v>7103</v>
          </cell>
          <cell r="AC732" t="str">
            <v>1405/04/30</v>
          </cell>
          <cell r="AF732">
            <v>3</v>
          </cell>
        </row>
        <row r="733">
          <cell r="D733" t="str">
            <v>باقری اصل</v>
          </cell>
          <cell r="O733">
            <v>7204</v>
          </cell>
          <cell r="AC733" t="str">
            <v>1405/04/30</v>
          </cell>
          <cell r="AF733">
            <v>6.5</v>
          </cell>
        </row>
        <row r="734">
          <cell r="D734" t="str">
            <v>باقری اصل</v>
          </cell>
          <cell r="O734">
            <v>7204</v>
          </cell>
          <cell r="AC734" t="str">
            <v>1405/04/30</v>
          </cell>
          <cell r="AF734">
            <v>4.5</v>
          </cell>
        </row>
        <row r="735">
          <cell r="D735" t="str">
            <v>موسوی</v>
          </cell>
          <cell r="O735">
            <v>7302</v>
          </cell>
          <cell r="AC735" t="str">
            <v>1405/04/30</v>
          </cell>
          <cell r="AF735">
            <v>2</v>
          </cell>
        </row>
        <row r="736">
          <cell r="D736" t="str">
            <v>موسوی</v>
          </cell>
          <cell r="O736">
            <v>7302</v>
          </cell>
          <cell r="AC736" t="str">
            <v>1405/04/30</v>
          </cell>
          <cell r="AF736">
            <v>9</v>
          </cell>
        </row>
        <row r="737">
          <cell r="D737" t="str">
            <v>کریم پرست</v>
          </cell>
          <cell r="O737">
            <v>7301</v>
          </cell>
          <cell r="AC737" t="str">
            <v>1405/04/30</v>
          </cell>
          <cell r="AF737">
            <v>4</v>
          </cell>
        </row>
        <row r="738">
          <cell r="D738" t="str">
            <v>کریم پرست</v>
          </cell>
          <cell r="O738">
            <v>7301</v>
          </cell>
          <cell r="AC738" t="str">
            <v>1405/04/30</v>
          </cell>
          <cell r="AF738">
            <v>4</v>
          </cell>
        </row>
        <row r="739">
          <cell r="D739" t="str">
            <v>کریم پرست</v>
          </cell>
          <cell r="O739">
            <v>7301</v>
          </cell>
          <cell r="AC739" t="str">
            <v>1405/04/30</v>
          </cell>
          <cell r="AF739">
            <v>3</v>
          </cell>
        </row>
        <row r="740">
          <cell r="D740" t="str">
            <v>قیطاسوند</v>
          </cell>
          <cell r="O740">
            <v>7102</v>
          </cell>
          <cell r="AC740" t="str">
            <v>1405/04/30</v>
          </cell>
          <cell r="AF740">
            <v>3.5</v>
          </cell>
        </row>
        <row r="741">
          <cell r="D741" t="str">
            <v>قیطاسوند</v>
          </cell>
          <cell r="O741">
            <v>8001</v>
          </cell>
          <cell r="AC741" t="str">
            <v>1405/04/30</v>
          </cell>
          <cell r="AF741">
            <v>2</v>
          </cell>
        </row>
        <row r="742">
          <cell r="D742" t="str">
            <v>قیطاسوند</v>
          </cell>
          <cell r="O742">
            <v>8001</v>
          </cell>
          <cell r="AC742" t="str">
            <v>1405/04/30</v>
          </cell>
          <cell r="AF742">
            <v>5.5</v>
          </cell>
        </row>
        <row r="743">
          <cell r="D743" t="str">
            <v>هاشم زاده</v>
          </cell>
          <cell r="O743" t="str">
            <v>مونتاژ</v>
          </cell>
          <cell r="AC743" t="str">
            <v>1405/04/30</v>
          </cell>
          <cell r="AF743">
            <v>2</v>
          </cell>
        </row>
        <row r="744">
          <cell r="D744" t="str">
            <v>هاشم زاده</v>
          </cell>
          <cell r="O744" t="str">
            <v>دمونتاژ</v>
          </cell>
          <cell r="AC744" t="str">
            <v>1405/04/30</v>
          </cell>
          <cell r="AF744">
            <v>1</v>
          </cell>
        </row>
        <row r="745">
          <cell r="D745" t="str">
            <v>هاشم زاده</v>
          </cell>
          <cell r="O745" t="str">
            <v>دمونتاژ</v>
          </cell>
          <cell r="AC745" t="str">
            <v>1405/04/30</v>
          </cell>
          <cell r="AF745">
            <v>3</v>
          </cell>
        </row>
        <row r="746">
          <cell r="D746" t="str">
            <v>هاشم زاده</v>
          </cell>
          <cell r="O746" t="str">
            <v>دمونتاژ</v>
          </cell>
          <cell r="AC746" t="str">
            <v>1405/04/30</v>
          </cell>
          <cell r="AF746">
            <v>2</v>
          </cell>
        </row>
        <row r="747">
          <cell r="D747" t="str">
            <v>خیرخواه</v>
          </cell>
          <cell r="O747" t="str">
            <v>دمونتاژ</v>
          </cell>
          <cell r="AC747" t="str">
            <v>1405/04/30</v>
          </cell>
          <cell r="AF747">
            <v>2.5</v>
          </cell>
        </row>
        <row r="748">
          <cell r="D748" t="str">
            <v>خیرخواه</v>
          </cell>
          <cell r="O748" t="str">
            <v>دمونتاژ</v>
          </cell>
          <cell r="AC748" t="str">
            <v>1405/04/30</v>
          </cell>
          <cell r="AF748">
            <v>0.5</v>
          </cell>
        </row>
        <row r="749">
          <cell r="D749" t="str">
            <v>خیرخواه</v>
          </cell>
          <cell r="O749" t="str">
            <v>مونتاژ</v>
          </cell>
          <cell r="AC749" t="str">
            <v>1405/04/30</v>
          </cell>
          <cell r="AF749">
            <v>1</v>
          </cell>
        </row>
        <row r="750">
          <cell r="D750" t="str">
            <v>خیرخواه</v>
          </cell>
          <cell r="O750" t="str">
            <v>دمونتاژ</v>
          </cell>
          <cell r="AC750" t="str">
            <v>1405/04/30</v>
          </cell>
          <cell r="AF750">
            <v>1</v>
          </cell>
        </row>
        <row r="751">
          <cell r="D751" t="str">
            <v>خیرخواه</v>
          </cell>
          <cell r="O751">
            <v>7401</v>
          </cell>
          <cell r="AC751" t="str">
            <v>1405/04/30</v>
          </cell>
          <cell r="AF751">
            <v>1</v>
          </cell>
        </row>
        <row r="752">
          <cell r="D752" t="str">
            <v>خیرخواه</v>
          </cell>
          <cell r="O752">
            <v>7401</v>
          </cell>
          <cell r="AC752" t="str">
            <v>1405/04/30</v>
          </cell>
          <cell r="AF752">
            <v>1</v>
          </cell>
        </row>
        <row r="753">
          <cell r="D753" t="str">
            <v>خیرخواه</v>
          </cell>
          <cell r="O753" t="str">
            <v>دمونتاژ</v>
          </cell>
          <cell r="AC753" t="str">
            <v>1405/04/30</v>
          </cell>
          <cell r="AF753">
            <v>1</v>
          </cell>
        </row>
        <row r="754">
          <cell r="D754" t="str">
            <v>خیرخواه</v>
          </cell>
          <cell r="O754" t="str">
            <v>دمونتاژ</v>
          </cell>
          <cell r="AC754" t="str">
            <v>1405/04/30</v>
          </cell>
          <cell r="AF754">
            <v>1</v>
          </cell>
        </row>
        <row r="755">
          <cell r="D755" t="str">
            <v>یاراحمدی</v>
          </cell>
          <cell r="O755">
            <v>7502</v>
          </cell>
          <cell r="AC755" t="str">
            <v>1405/04/30</v>
          </cell>
          <cell r="AF755">
            <v>11</v>
          </cell>
        </row>
        <row r="756">
          <cell r="D756" t="str">
            <v>یاراحمدی</v>
          </cell>
          <cell r="O756">
            <v>7501</v>
          </cell>
          <cell r="AC756" t="str">
            <v>1405/04/30</v>
          </cell>
          <cell r="AF756">
            <v>5</v>
          </cell>
        </row>
        <row r="757">
          <cell r="D757" t="str">
            <v>یاراحمدی</v>
          </cell>
          <cell r="O757">
            <v>7501</v>
          </cell>
          <cell r="AC757" t="str">
            <v>1405/04/30</v>
          </cell>
          <cell r="AF757">
            <v>1.5</v>
          </cell>
        </row>
        <row r="758">
          <cell r="D758" t="str">
            <v>یاراحمدی</v>
          </cell>
          <cell r="O758">
            <v>7501</v>
          </cell>
          <cell r="AC758" t="str">
            <v>1405/04/30</v>
          </cell>
          <cell r="AF758">
            <v>1.5</v>
          </cell>
        </row>
        <row r="759">
          <cell r="D759" t="str">
            <v>یاراحمدی</v>
          </cell>
          <cell r="O759">
            <v>7501</v>
          </cell>
          <cell r="AC759" t="str">
            <v>1405/04/30</v>
          </cell>
          <cell r="AF759">
            <v>2</v>
          </cell>
        </row>
        <row r="760">
          <cell r="D760" t="str">
            <v>حیدری</v>
          </cell>
          <cell r="O760">
            <v>7101</v>
          </cell>
          <cell r="AC760" t="str">
            <v>1405/04/31</v>
          </cell>
          <cell r="AF760">
            <v>11</v>
          </cell>
        </row>
        <row r="761">
          <cell r="D761" t="str">
            <v>قیطاسوند</v>
          </cell>
          <cell r="O761">
            <v>7303</v>
          </cell>
          <cell r="AC761" t="str">
            <v>1405/04/31</v>
          </cell>
          <cell r="AF761">
            <v>11</v>
          </cell>
        </row>
        <row r="762">
          <cell r="D762" t="str">
            <v>زیلویی</v>
          </cell>
          <cell r="O762">
            <v>7203</v>
          </cell>
          <cell r="AC762" t="str">
            <v>1405/04/31</v>
          </cell>
          <cell r="AF762">
            <v>8</v>
          </cell>
        </row>
        <row r="763">
          <cell r="D763" t="str">
            <v>زیلویی</v>
          </cell>
          <cell r="O763">
            <v>7203</v>
          </cell>
          <cell r="AC763" t="str">
            <v>1405/04/31</v>
          </cell>
          <cell r="AF763">
            <v>3</v>
          </cell>
        </row>
        <row r="764">
          <cell r="D764" t="str">
            <v>باقری اصل</v>
          </cell>
          <cell r="O764">
            <v>7204</v>
          </cell>
          <cell r="AC764" t="str">
            <v>1405/04/31</v>
          </cell>
          <cell r="AF764">
            <v>9</v>
          </cell>
        </row>
        <row r="765">
          <cell r="D765" t="str">
            <v>باقری اصل</v>
          </cell>
          <cell r="O765">
            <v>7204</v>
          </cell>
          <cell r="AC765" t="str">
            <v>1405/04/31</v>
          </cell>
          <cell r="AF765">
            <v>2</v>
          </cell>
        </row>
        <row r="766">
          <cell r="D766" t="str">
            <v>فراهی</v>
          </cell>
          <cell r="O766">
            <v>7103</v>
          </cell>
          <cell r="AC766" t="str">
            <v>1405/04/31</v>
          </cell>
          <cell r="AF766">
            <v>0.75</v>
          </cell>
        </row>
        <row r="767">
          <cell r="D767" t="str">
            <v>فراهی</v>
          </cell>
          <cell r="O767">
            <v>7103</v>
          </cell>
          <cell r="AC767" t="str">
            <v>1405/04/31</v>
          </cell>
          <cell r="AF767">
            <v>5.75</v>
          </cell>
        </row>
        <row r="768">
          <cell r="D768" t="str">
            <v>هاشم زاده</v>
          </cell>
          <cell r="O768" t="str">
            <v>مونتاژ</v>
          </cell>
          <cell r="AC768" t="str">
            <v>1405/04/31</v>
          </cell>
          <cell r="AF768">
            <v>4</v>
          </cell>
        </row>
        <row r="769">
          <cell r="D769" t="str">
            <v>هاشم زاده</v>
          </cell>
          <cell r="O769">
            <v>8001</v>
          </cell>
          <cell r="AC769" t="str">
            <v>1405/04/31</v>
          </cell>
          <cell r="AF769">
            <v>4</v>
          </cell>
        </row>
        <row r="770">
          <cell r="D770" t="str">
            <v>هاشم زاده</v>
          </cell>
          <cell r="O770" t="str">
            <v>مونتاژ</v>
          </cell>
          <cell r="AC770" t="str">
            <v>1405/04/31</v>
          </cell>
          <cell r="AF770">
            <v>2</v>
          </cell>
        </row>
        <row r="771">
          <cell r="D771" t="str">
            <v>خیرخواه</v>
          </cell>
          <cell r="O771" t="str">
            <v>مونتاژ</v>
          </cell>
          <cell r="AC771" t="str">
            <v>1405/04/31</v>
          </cell>
          <cell r="AF771">
            <v>4</v>
          </cell>
        </row>
        <row r="772">
          <cell r="D772" t="str">
            <v>خیرخواه</v>
          </cell>
          <cell r="O772">
            <v>7401</v>
          </cell>
          <cell r="AC772" t="str">
            <v>1405/04/31</v>
          </cell>
          <cell r="AF772">
            <v>1</v>
          </cell>
        </row>
        <row r="773">
          <cell r="D773" t="str">
            <v>خیرخواه</v>
          </cell>
          <cell r="O773">
            <v>7401</v>
          </cell>
          <cell r="AC773" t="str">
            <v>1405/04/31</v>
          </cell>
          <cell r="AF773">
            <v>1</v>
          </cell>
        </row>
        <row r="774">
          <cell r="D774" t="str">
            <v>خیرخواه</v>
          </cell>
          <cell r="O774" t="str">
            <v>مونتاژ</v>
          </cell>
          <cell r="AC774" t="str">
            <v>1405/04/31</v>
          </cell>
          <cell r="AF774">
            <v>2</v>
          </cell>
        </row>
        <row r="775">
          <cell r="D775" t="str">
            <v>کریم پرست</v>
          </cell>
          <cell r="O775">
            <v>7301</v>
          </cell>
          <cell r="AC775" t="str">
            <v>1405/04/31</v>
          </cell>
          <cell r="AF775">
            <v>4</v>
          </cell>
        </row>
        <row r="776">
          <cell r="D776" t="str">
            <v>کریم پرست</v>
          </cell>
          <cell r="O776">
            <v>7301</v>
          </cell>
          <cell r="AC776" t="str">
            <v>1405/04/31</v>
          </cell>
          <cell r="AF776">
            <v>3</v>
          </cell>
        </row>
        <row r="777">
          <cell r="D777" t="str">
            <v>کریم پرست</v>
          </cell>
          <cell r="O777">
            <v>7301</v>
          </cell>
          <cell r="AC777" t="str">
            <v>1405/04/31</v>
          </cell>
          <cell r="AF777">
            <v>2</v>
          </cell>
        </row>
        <row r="778">
          <cell r="D778" t="str">
            <v>خیرخواه</v>
          </cell>
          <cell r="O778">
            <v>7301</v>
          </cell>
          <cell r="AC778" t="str">
            <v>1405/04/31</v>
          </cell>
          <cell r="AF778">
            <v>2</v>
          </cell>
        </row>
        <row r="779">
          <cell r="D779" t="str">
            <v>صلواتی</v>
          </cell>
          <cell r="O779">
            <v>7601</v>
          </cell>
          <cell r="AC779" t="str">
            <v>1405/04/31</v>
          </cell>
          <cell r="AF779">
            <v>12</v>
          </cell>
        </row>
        <row r="780">
          <cell r="D780" t="str">
            <v>صلواتی</v>
          </cell>
          <cell r="O780">
            <v>7602</v>
          </cell>
          <cell r="AC780" t="str">
            <v>1405/04/31</v>
          </cell>
          <cell r="AF780">
            <v>7</v>
          </cell>
        </row>
        <row r="781">
          <cell r="D781" t="str">
            <v>صلواتی</v>
          </cell>
          <cell r="O781">
            <v>7602</v>
          </cell>
          <cell r="AC781" t="str">
            <v>1405/04/31</v>
          </cell>
          <cell r="AF781">
            <v>1</v>
          </cell>
        </row>
        <row r="782">
          <cell r="D782" t="str">
            <v>صلواتی</v>
          </cell>
          <cell r="O782">
            <v>7602</v>
          </cell>
          <cell r="AC782" t="str">
            <v>1405/04/31</v>
          </cell>
          <cell r="AF782">
            <v>4</v>
          </cell>
        </row>
        <row r="783">
          <cell r="D783" t="str">
            <v>صلواتی</v>
          </cell>
          <cell r="O783">
            <v>7603</v>
          </cell>
          <cell r="AC783" t="str">
            <v>1405/04/31</v>
          </cell>
          <cell r="AF783">
            <v>4</v>
          </cell>
        </row>
        <row r="784">
          <cell r="D784" t="str">
            <v>صلواتی</v>
          </cell>
          <cell r="O784">
            <v>7605</v>
          </cell>
          <cell r="AC784" t="str">
            <v>1405/04/31</v>
          </cell>
          <cell r="AF784">
            <v>12</v>
          </cell>
        </row>
        <row r="785">
          <cell r="D785" t="str">
            <v>موسوی</v>
          </cell>
          <cell r="O785">
            <v>7302</v>
          </cell>
          <cell r="AC785" t="str">
            <v>1405/04/31</v>
          </cell>
          <cell r="AF785">
            <v>2.5</v>
          </cell>
        </row>
        <row r="786">
          <cell r="D786" t="str">
            <v>موسوی</v>
          </cell>
          <cell r="O786">
            <v>7302</v>
          </cell>
          <cell r="AC786" t="str">
            <v>1405/04/31</v>
          </cell>
          <cell r="AF786">
            <v>2</v>
          </cell>
        </row>
        <row r="787">
          <cell r="D787" t="str">
            <v>موسوی</v>
          </cell>
          <cell r="O787" t="str">
            <v>مونتاژ</v>
          </cell>
          <cell r="AC787" t="str">
            <v>1405/04/31</v>
          </cell>
          <cell r="AF787">
            <v>1.5</v>
          </cell>
        </row>
        <row r="788">
          <cell r="D788" t="str">
            <v>موسوی</v>
          </cell>
          <cell r="O788">
            <v>7302</v>
          </cell>
          <cell r="AC788" t="str">
            <v>1405/04/31</v>
          </cell>
          <cell r="AF788">
            <v>1.5</v>
          </cell>
        </row>
        <row r="789">
          <cell r="D789" t="str">
            <v>موسوی</v>
          </cell>
          <cell r="O789">
            <v>7302</v>
          </cell>
          <cell r="AC789" t="str">
            <v>1405/04/31</v>
          </cell>
          <cell r="AF789">
            <v>1</v>
          </cell>
        </row>
      </sheetData>
      <sheetData sheetId="4">
        <row r="2">
          <cell r="D2" t="str">
            <v>باقری اصل</v>
          </cell>
          <cell r="O2">
            <v>7204</v>
          </cell>
          <cell r="AC2" t="str">
            <v>1405/05/01</v>
          </cell>
          <cell r="AF2">
            <v>7.5</v>
          </cell>
          <cell r="AH2">
            <v>0</v>
          </cell>
        </row>
        <row r="3">
          <cell r="D3" t="str">
            <v>قیطاسوند</v>
          </cell>
          <cell r="O3">
            <v>7303</v>
          </cell>
          <cell r="AC3" t="str">
            <v>1405/05/01</v>
          </cell>
          <cell r="AF3">
            <v>7.5</v>
          </cell>
          <cell r="AH3">
            <v>0</v>
          </cell>
        </row>
        <row r="4">
          <cell r="D4" t="str">
            <v>یاراحمدی</v>
          </cell>
          <cell r="O4">
            <v>7502</v>
          </cell>
          <cell r="AC4" t="str">
            <v>1405/05/01</v>
          </cell>
          <cell r="AF4">
            <v>7.5</v>
          </cell>
          <cell r="AH4">
            <v>0</v>
          </cell>
        </row>
        <row r="5">
          <cell r="D5" t="str">
            <v>حیدری</v>
          </cell>
          <cell r="O5" t="str">
            <v>مونتاژ</v>
          </cell>
          <cell r="AC5" t="str">
            <v>1405/05/01</v>
          </cell>
          <cell r="AF5">
            <v>3.5</v>
          </cell>
          <cell r="AH5">
            <v>0</v>
          </cell>
        </row>
        <row r="6">
          <cell r="D6" t="str">
            <v>حیدری</v>
          </cell>
          <cell r="O6">
            <v>7101</v>
          </cell>
          <cell r="AC6" t="str">
            <v>1405/05/01</v>
          </cell>
          <cell r="AF6">
            <v>3</v>
          </cell>
          <cell r="AH6">
            <v>0</v>
          </cell>
        </row>
        <row r="7">
          <cell r="D7" t="str">
            <v>یاراحمدی</v>
          </cell>
          <cell r="O7" t="str">
            <v>نظافت</v>
          </cell>
          <cell r="AC7" t="str">
            <v>1405/05/01</v>
          </cell>
          <cell r="AF7">
            <v>1</v>
          </cell>
          <cell r="AH7">
            <v>0</v>
          </cell>
        </row>
        <row r="8">
          <cell r="D8" t="str">
            <v>حیدری</v>
          </cell>
          <cell r="O8" t="str">
            <v>نظافت</v>
          </cell>
          <cell r="AC8" t="str">
            <v>1405/05/01</v>
          </cell>
          <cell r="AF8">
            <v>1</v>
          </cell>
          <cell r="AH8">
            <v>0</v>
          </cell>
        </row>
        <row r="9">
          <cell r="D9" t="str">
            <v>کاظمی</v>
          </cell>
          <cell r="O9">
            <v>7202</v>
          </cell>
          <cell r="AC9" t="str">
            <v>1405/05/01</v>
          </cell>
          <cell r="AF9">
            <v>2.5</v>
          </cell>
          <cell r="AH9">
            <v>0</v>
          </cell>
        </row>
        <row r="10">
          <cell r="D10" t="str">
            <v>کاظمی</v>
          </cell>
          <cell r="O10">
            <v>7202</v>
          </cell>
          <cell r="AC10" t="str">
            <v>1405/05/01</v>
          </cell>
          <cell r="AF10">
            <v>5</v>
          </cell>
          <cell r="AH10">
            <v>0</v>
          </cell>
        </row>
        <row r="11">
          <cell r="D11" t="str">
            <v>هاشم زاده</v>
          </cell>
          <cell r="O11" t="str">
            <v>مونتاژ</v>
          </cell>
          <cell r="AC11" t="str">
            <v>1405/05/01</v>
          </cell>
          <cell r="AF11">
            <v>3.3333333333333335</v>
          </cell>
          <cell r="AH11">
            <v>0</v>
          </cell>
        </row>
        <row r="12">
          <cell r="D12" t="str">
            <v>هاشم زاده</v>
          </cell>
          <cell r="O12">
            <v>8001</v>
          </cell>
          <cell r="AC12" t="str">
            <v>1405/05/01</v>
          </cell>
          <cell r="AF12">
            <v>3.3333333333333335</v>
          </cell>
          <cell r="AH12">
            <v>0</v>
          </cell>
        </row>
        <row r="13">
          <cell r="D13" t="str">
            <v>هاشم زاده</v>
          </cell>
          <cell r="O13" t="str">
            <v>نظافت</v>
          </cell>
          <cell r="AC13" t="str">
            <v>1405/05/01</v>
          </cell>
          <cell r="AF13">
            <v>0.83333333333333337</v>
          </cell>
          <cell r="AH13">
            <v>0</v>
          </cell>
        </row>
        <row r="14">
          <cell r="D14" t="str">
            <v>کریم پرست</v>
          </cell>
          <cell r="O14">
            <v>7301</v>
          </cell>
          <cell r="AC14" t="str">
            <v>1405/05/01</v>
          </cell>
          <cell r="AF14">
            <v>4</v>
          </cell>
          <cell r="AH14">
            <v>0</v>
          </cell>
        </row>
        <row r="15">
          <cell r="D15" t="str">
            <v>کریم پرست</v>
          </cell>
          <cell r="O15">
            <v>7301</v>
          </cell>
          <cell r="AC15" t="str">
            <v>1405/05/01</v>
          </cell>
          <cell r="AF15">
            <v>1</v>
          </cell>
          <cell r="AH15">
            <v>0</v>
          </cell>
        </row>
        <row r="16">
          <cell r="D16" t="str">
            <v>هاشم زاده</v>
          </cell>
          <cell r="O16" t="str">
            <v>نظافت</v>
          </cell>
          <cell r="AC16" t="str">
            <v>1405/05/01</v>
          </cell>
          <cell r="AF16">
            <v>1.5</v>
          </cell>
          <cell r="AH16">
            <v>0</v>
          </cell>
        </row>
        <row r="17">
          <cell r="D17" t="str">
            <v>موسوی</v>
          </cell>
          <cell r="O17">
            <v>7302</v>
          </cell>
          <cell r="AC17" t="str">
            <v>1405/05/01</v>
          </cell>
          <cell r="AF17">
            <v>4</v>
          </cell>
          <cell r="AH17">
            <v>0</v>
          </cell>
        </row>
        <row r="18">
          <cell r="D18" t="str">
            <v>موسوی</v>
          </cell>
          <cell r="O18">
            <v>7302</v>
          </cell>
          <cell r="AC18" t="str">
            <v>1405/05/01</v>
          </cell>
          <cell r="AF18">
            <v>1</v>
          </cell>
          <cell r="AH18">
            <v>0</v>
          </cell>
        </row>
        <row r="19">
          <cell r="D19" t="str">
            <v>موسوی</v>
          </cell>
          <cell r="O19">
            <v>7302</v>
          </cell>
          <cell r="AC19" t="str">
            <v>1405/05/01</v>
          </cell>
          <cell r="AF19">
            <v>1</v>
          </cell>
          <cell r="AH19">
            <v>0</v>
          </cell>
        </row>
        <row r="20">
          <cell r="D20" t="str">
            <v>موسوی</v>
          </cell>
          <cell r="O20" t="str">
            <v>نظافت</v>
          </cell>
          <cell r="AC20" t="str">
            <v>1405/05/01</v>
          </cell>
          <cell r="AF20">
            <v>1</v>
          </cell>
          <cell r="AH20">
            <v>0</v>
          </cell>
        </row>
        <row r="21">
          <cell r="D21" t="str">
            <v>صلواتی</v>
          </cell>
          <cell r="O21">
            <v>7601</v>
          </cell>
          <cell r="AC21" t="str">
            <v>1405/05/01</v>
          </cell>
          <cell r="AF21">
            <v>8</v>
          </cell>
          <cell r="AH21">
            <v>0</v>
          </cell>
        </row>
        <row r="22">
          <cell r="D22" t="str">
            <v>صلواتی</v>
          </cell>
          <cell r="O22">
            <v>7602</v>
          </cell>
          <cell r="AC22" t="str">
            <v>1405/05/01</v>
          </cell>
          <cell r="AF22">
            <v>8</v>
          </cell>
          <cell r="AH22">
            <v>0</v>
          </cell>
        </row>
        <row r="23">
          <cell r="D23" t="str">
            <v>صلواتی</v>
          </cell>
          <cell r="O23">
            <v>7603</v>
          </cell>
          <cell r="AC23" t="str">
            <v>1405/05/01</v>
          </cell>
          <cell r="AF23">
            <v>5</v>
          </cell>
          <cell r="AH23">
            <v>0</v>
          </cell>
        </row>
        <row r="24">
          <cell r="D24" t="str">
            <v>صلواتی</v>
          </cell>
          <cell r="O24">
            <v>7605</v>
          </cell>
          <cell r="AC24" t="str">
            <v>1405/05/01</v>
          </cell>
          <cell r="AF24">
            <v>8</v>
          </cell>
          <cell r="AH24">
            <v>0</v>
          </cell>
        </row>
        <row r="25">
          <cell r="D25" t="str">
            <v>خیرخواه</v>
          </cell>
          <cell r="O25" t="str">
            <v>دمونتاژ</v>
          </cell>
          <cell r="AC25" t="str">
            <v>1405/05/01</v>
          </cell>
          <cell r="AF25">
            <v>2.5</v>
          </cell>
          <cell r="AH25">
            <v>0</v>
          </cell>
        </row>
        <row r="26">
          <cell r="D26" t="str">
            <v>خیرخواه</v>
          </cell>
          <cell r="O26">
            <v>7401</v>
          </cell>
          <cell r="AC26" t="str">
            <v>1405/05/01</v>
          </cell>
          <cell r="AF26">
            <v>0.5</v>
          </cell>
          <cell r="AH26">
            <v>0</v>
          </cell>
        </row>
        <row r="27">
          <cell r="D27" t="str">
            <v>خیرخواه</v>
          </cell>
          <cell r="O27">
            <v>7401</v>
          </cell>
          <cell r="AC27" t="str">
            <v>1405/05/01</v>
          </cell>
          <cell r="AF27">
            <v>1</v>
          </cell>
          <cell r="AH27">
            <v>0</v>
          </cell>
        </row>
        <row r="28">
          <cell r="D28" t="str">
            <v>خیرخواه</v>
          </cell>
          <cell r="O28" t="str">
            <v>مونتاژ</v>
          </cell>
          <cell r="AC28" t="str">
            <v>1405/05/01</v>
          </cell>
          <cell r="AF28">
            <v>2.5</v>
          </cell>
          <cell r="AH28">
            <v>0</v>
          </cell>
        </row>
        <row r="29">
          <cell r="D29" t="str">
            <v>خیرخواه</v>
          </cell>
          <cell r="O29" t="str">
            <v>مونتاژ</v>
          </cell>
          <cell r="AC29" t="str">
            <v>1405/05/01</v>
          </cell>
          <cell r="AF29">
            <v>1</v>
          </cell>
          <cell r="AH29">
            <v>0</v>
          </cell>
        </row>
        <row r="30">
          <cell r="D30" t="str">
            <v>حیدری</v>
          </cell>
          <cell r="O30">
            <v>8001</v>
          </cell>
          <cell r="AC30" t="str">
            <v>1405/05/03</v>
          </cell>
          <cell r="AF30">
            <v>3</v>
          </cell>
          <cell r="AH30">
            <v>0</v>
          </cell>
        </row>
        <row r="31">
          <cell r="D31" t="str">
            <v>حیدری</v>
          </cell>
          <cell r="O31">
            <v>7101</v>
          </cell>
          <cell r="AC31" t="str">
            <v>1405/05/03</v>
          </cell>
          <cell r="AF31">
            <v>8</v>
          </cell>
          <cell r="AH31">
            <v>0</v>
          </cell>
        </row>
        <row r="32">
          <cell r="D32" t="str">
            <v>باقری اصل</v>
          </cell>
          <cell r="O32">
            <v>7204</v>
          </cell>
          <cell r="AC32" t="str">
            <v>1405/05/03</v>
          </cell>
          <cell r="AF32">
            <v>3.5</v>
          </cell>
          <cell r="AH32">
            <v>0</v>
          </cell>
        </row>
        <row r="33">
          <cell r="D33" t="str">
            <v>باقری اصل</v>
          </cell>
          <cell r="O33">
            <v>7204</v>
          </cell>
          <cell r="AC33" t="str">
            <v>1405/05/03</v>
          </cell>
          <cell r="AF33">
            <v>7.5</v>
          </cell>
          <cell r="AH33">
            <v>0</v>
          </cell>
        </row>
        <row r="34">
          <cell r="D34" t="str">
            <v>قیطاسوند</v>
          </cell>
          <cell r="O34">
            <v>7303</v>
          </cell>
          <cell r="AC34" t="str">
            <v>1405/05/03</v>
          </cell>
          <cell r="AF34">
            <v>7.5</v>
          </cell>
          <cell r="AH34">
            <v>0</v>
          </cell>
        </row>
        <row r="35">
          <cell r="D35" t="str">
            <v>قیطاسوند</v>
          </cell>
          <cell r="O35">
            <v>7303</v>
          </cell>
          <cell r="AC35" t="str">
            <v>1405/05/03</v>
          </cell>
          <cell r="AF35">
            <v>3.5</v>
          </cell>
          <cell r="AH35">
            <v>0</v>
          </cell>
        </row>
        <row r="36">
          <cell r="D36" t="str">
            <v>کریم پرست</v>
          </cell>
          <cell r="O36">
            <v>7301</v>
          </cell>
          <cell r="AC36" t="str">
            <v>1405/05/03</v>
          </cell>
          <cell r="AF36">
            <v>4.166666666666667</v>
          </cell>
          <cell r="AH36">
            <v>0</v>
          </cell>
        </row>
        <row r="37">
          <cell r="D37" t="str">
            <v>کریم پرست</v>
          </cell>
          <cell r="O37">
            <v>7301</v>
          </cell>
          <cell r="AC37" t="str">
            <v>1405/05/03</v>
          </cell>
          <cell r="AF37">
            <v>4.166666666666667</v>
          </cell>
          <cell r="AH37">
            <v>0</v>
          </cell>
        </row>
        <row r="38">
          <cell r="D38" t="str">
            <v>کریم پرست</v>
          </cell>
          <cell r="O38">
            <v>7301</v>
          </cell>
          <cell r="AC38" t="str">
            <v>1405/05/03</v>
          </cell>
          <cell r="AF38">
            <v>2.1666666666666665</v>
          </cell>
          <cell r="AH38">
            <v>0</v>
          </cell>
        </row>
        <row r="39">
          <cell r="D39" t="str">
            <v>صلواتی</v>
          </cell>
          <cell r="O39">
            <v>7601</v>
          </cell>
          <cell r="AC39" t="str">
            <v>1405/05/03</v>
          </cell>
          <cell r="AF39">
            <v>12</v>
          </cell>
          <cell r="AH39">
            <v>0</v>
          </cell>
        </row>
        <row r="40">
          <cell r="D40" t="str">
            <v>صلواتی</v>
          </cell>
          <cell r="O40">
            <v>7602</v>
          </cell>
          <cell r="AC40" t="str">
            <v>1405/05/03</v>
          </cell>
          <cell r="AF40">
            <v>8</v>
          </cell>
          <cell r="AH40">
            <v>0</v>
          </cell>
        </row>
        <row r="41">
          <cell r="D41" t="str">
            <v>صلواتی</v>
          </cell>
          <cell r="O41">
            <v>7603</v>
          </cell>
          <cell r="AC41" t="str">
            <v>1405/05/03</v>
          </cell>
          <cell r="AF41">
            <v>12</v>
          </cell>
          <cell r="AH41">
            <v>0</v>
          </cell>
        </row>
        <row r="42">
          <cell r="D42" t="str">
            <v>صلواتی</v>
          </cell>
          <cell r="O42">
            <v>7605</v>
          </cell>
          <cell r="AC42" t="str">
            <v>1405/05/03</v>
          </cell>
          <cell r="AF42">
            <v>12</v>
          </cell>
          <cell r="AH42">
            <v>0</v>
          </cell>
        </row>
        <row r="43">
          <cell r="D43" t="str">
            <v>صلواتی</v>
          </cell>
          <cell r="O43">
            <v>7602</v>
          </cell>
          <cell r="AC43" t="str">
            <v>1405/05/03</v>
          </cell>
          <cell r="AF43">
            <v>4</v>
          </cell>
          <cell r="AH43">
            <v>0</v>
          </cell>
        </row>
        <row r="44">
          <cell r="D44" t="str">
            <v>خیرخواه</v>
          </cell>
          <cell r="O44">
            <v>7401</v>
          </cell>
          <cell r="AC44" t="str">
            <v>1405/05/03</v>
          </cell>
          <cell r="AF44">
            <v>2</v>
          </cell>
          <cell r="AH44">
            <v>0</v>
          </cell>
        </row>
        <row r="45">
          <cell r="D45" t="str">
            <v>خیرخواه</v>
          </cell>
          <cell r="O45">
            <v>7401</v>
          </cell>
          <cell r="AC45" t="str">
            <v>1405/05/03</v>
          </cell>
          <cell r="AF45">
            <v>0.5</v>
          </cell>
          <cell r="AH45">
            <v>0</v>
          </cell>
        </row>
        <row r="46">
          <cell r="D46" t="str">
            <v>خیرخواه</v>
          </cell>
          <cell r="O46">
            <v>7401</v>
          </cell>
          <cell r="AC46" t="str">
            <v>1405/05/03</v>
          </cell>
          <cell r="AF46">
            <v>0.5</v>
          </cell>
          <cell r="AH46">
            <v>0</v>
          </cell>
        </row>
        <row r="47">
          <cell r="D47" t="str">
            <v>خیرخواه</v>
          </cell>
          <cell r="O47" t="str">
            <v>دمونتاژ</v>
          </cell>
          <cell r="AC47" t="str">
            <v>1405/05/03</v>
          </cell>
          <cell r="AF47">
            <v>4</v>
          </cell>
          <cell r="AH47">
            <v>0</v>
          </cell>
        </row>
        <row r="48">
          <cell r="D48" t="str">
            <v>خیرخواه</v>
          </cell>
          <cell r="O48">
            <v>7401</v>
          </cell>
          <cell r="AC48" t="str">
            <v>1405/05/03</v>
          </cell>
          <cell r="AF48">
            <v>1</v>
          </cell>
          <cell r="AH48">
            <v>0</v>
          </cell>
        </row>
        <row r="49">
          <cell r="D49" t="str">
            <v>خیرخواه</v>
          </cell>
          <cell r="O49" t="str">
            <v>مونتاژ</v>
          </cell>
          <cell r="AC49" t="str">
            <v>1405/05/03</v>
          </cell>
          <cell r="AF49">
            <v>2</v>
          </cell>
          <cell r="AH49">
            <v>0</v>
          </cell>
        </row>
        <row r="50">
          <cell r="D50" t="str">
            <v>خیرخواه</v>
          </cell>
          <cell r="O50" t="str">
            <v>دمونتاژ</v>
          </cell>
          <cell r="AC50" t="str">
            <v>1405/05/03</v>
          </cell>
          <cell r="AF50">
            <v>1</v>
          </cell>
          <cell r="AH50">
            <v>0</v>
          </cell>
        </row>
        <row r="51">
          <cell r="D51" t="str">
            <v>یاراحمدی</v>
          </cell>
          <cell r="O51">
            <v>7502</v>
          </cell>
          <cell r="AC51" t="str">
            <v>1405/05/03</v>
          </cell>
          <cell r="AF51">
            <v>3</v>
          </cell>
          <cell r="AH51">
            <v>0</v>
          </cell>
        </row>
        <row r="52">
          <cell r="D52" t="str">
            <v>یاراحمدی</v>
          </cell>
          <cell r="O52">
            <v>7501</v>
          </cell>
          <cell r="AC52" t="str">
            <v>1405/05/03</v>
          </cell>
          <cell r="AF52">
            <v>1</v>
          </cell>
          <cell r="AH52">
            <v>0</v>
          </cell>
        </row>
        <row r="53">
          <cell r="D53" t="str">
            <v>یاراحمدی</v>
          </cell>
          <cell r="O53">
            <v>7501</v>
          </cell>
          <cell r="AC53" t="str">
            <v>1405/05/03</v>
          </cell>
          <cell r="AF53">
            <v>2</v>
          </cell>
          <cell r="AH53">
            <v>0</v>
          </cell>
        </row>
        <row r="54">
          <cell r="D54" t="str">
            <v>یاراحمدی</v>
          </cell>
          <cell r="O54">
            <v>7502</v>
          </cell>
          <cell r="AC54" t="str">
            <v>1405/05/03</v>
          </cell>
          <cell r="AF54">
            <v>8</v>
          </cell>
          <cell r="AH54">
            <v>0</v>
          </cell>
        </row>
        <row r="55">
          <cell r="D55" t="str">
            <v>هاشم زاده</v>
          </cell>
          <cell r="O55" t="str">
            <v>مونتاژ</v>
          </cell>
          <cell r="AC55" t="str">
            <v>1405/05/03</v>
          </cell>
          <cell r="AF55">
            <v>3</v>
          </cell>
          <cell r="AH55">
            <v>0</v>
          </cell>
        </row>
        <row r="56">
          <cell r="D56" t="str">
            <v>هاشم زاده</v>
          </cell>
          <cell r="O56" t="str">
            <v>مونتاژ</v>
          </cell>
          <cell r="AC56" t="str">
            <v>1405/05/03</v>
          </cell>
          <cell r="AF56">
            <v>3</v>
          </cell>
          <cell r="AH56">
            <v>0</v>
          </cell>
        </row>
        <row r="57">
          <cell r="D57" t="str">
            <v>هاشم زاده</v>
          </cell>
          <cell r="O57" t="str">
            <v>دمونتاژ</v>
          </cell>
          <cell r="AC57" t="str">
            <v>1405/05/03</v>
          </cell>
          <cell r="AF57">
            <v>2</v>
          </cell>
          <cell r="AH57">
            <v>0</v>
          </cell>
        </row>
        <row r="58">
          <cell r="D58" t="str">
            <v>خیرخواه</v>
          </cell>
          <cell r="O58" t="str">
            <v>دمونتاژ</v>
          </cell>
          <cell r="AC58" t="str">
            <v>1405/05/03</v>
          </cell>
          <cell r="AF58">
            <v>2</v>
          </cell>
          <cell r="AH58">
            <v>0</v>
          </cell>
        </row>
        <row r="59">
          <cell r="D59" t="str">
            <v>یاراحمدی</v>
          </cell>
          <cell r="O59" t="str">
            <v>دمونتاژ</v>
          </cell>
          <cell r="AC59" t="str">
            <v>1405/05/03</v>
          </cell>
          <cell r="AF59">
            <v>1</v>
          </cell>
          <cell r="AH59">
            <v>0</v>
          </cell>
        </row>
        <row r="60">
          <cell r="D60" t="str">
            <v>موسوی</v>
          </cell>
          <cell r="O60">
            <v>7302</v>
          </cell>
          <cell r="AC60" t="str">
            <v>1405/05/03</v>
          </cell>
          <cell r="AF60">
            <v>4</v>
          </cell>
          <cell r="AH60">
            <v>0</v>
          </cell>
        </row>
        <row r="61">
          <cell r="D61" t="str">
            <v>موسوی</v>
          </cell>
          <cell r="O61">
            <v>7302</v>
          </cell>
          <cell r="AC61" t="str">
            <v>1405/05/03</v>
          </cell>
          <cell r="AF61">
            <v>3</v>
          </cell>
          <cell r="AH61">
            <v>0</v>
          </cell>
        </row>
        <row r="62">
          <cell r="D62" t="str">
            <v>موسوی</v>
          </cell>
          <cell r="O62">
            <v>7302</v>
          </cell>
          <cell r="AC62" t="str">
            <v>1405/05/03</v>
          </cell>
          <cell r="AF62">
            <v>1</v>
          </cell>
          <cell r="AH62">
            <v>0</v>
          </cell>
        </row>
        <row r="63">
          <cell r="D63" t="str">
            <v>موسوی</v>
          </cell>
          <cell r="O63">
            <v>7302</v>
          </cell>
          <cell r="AC63" t="str">
            <v>1405/05/03</v>
          </cell>
          <cell r="AF63">
            <v>1</v>
          </cell>
          <cell r="AH63">
            <v>0</v>
          </cell>
        </row>
        <row r="64">
          <cell r="D64" t="str">
            <v>فراهی</v>
          </cell>
          <cell r="O64">
            <v>7103</v>
          </cell>
          <cell r="AC64" t="str">
            <v>1405/05/04</v>
          </cell>
          <cell r="AF64">
            <v>6.5</v>
          </cell>
          <cell r="AH64">
            <v>0</v>
          </cell>
        </row>
        <row r="65">
          <cell r="D65" t="str">
            <v>مطهری</v>
          </cell>
          <cell r="O65">
            <v>7203</v>
          </cell>
          <cell r="AC65" t="str">
            <v>1405/05/04</v>
          </cell>
          <cell r="AF65">
            <v>7.5</v>
          </cell>
          <cell r="AH65">
            <v>0</v>
          </cell>
        </row>
        <row r="66">
          <cell r="D66" t="str">
            <v>مطهری</v>
          </cell>
          <cell r="O66">
            <v>7202</v>
          </cell>
          <cell r="AC66" t="str">
            <v>1405/05/04</v>
          </cell>
          <cell r="AF66">
            <v>7.5</v>
          </cell>
          <cell r="AH66">
            <v>0</v>
          </cell>
        </row>
        <row r="67">
          <cell r="D67" t="str">
            <v>مطهری</v>
          </cell>
          <cell r="O67">
            <v>7202</v>
          </cell>
          <cell r="AC67" t="str">
            <v>1405/05/04</v>
          </cell>
          <cell r="AF67">
            <v>3.5</v>
          </cell>
          <cell r="AH67">
            <v>0</v>
          </cell>
        </row>
        <row r="68">
          <cell r="D68" t="str">
            <v>قیطاسوند</v>
          </cell>
          <cell r="O68">
            <v>7303</v>
          </cell>
          <cell r="AC68" t="str">
            <v>1405/05/04</v>
          </cell>
          <cell r="AF68">
            <v>4.5</v>
          </cell>
          <cell r="AH68">
            <v>0</v>
          </cell>
        </row>
        <row r="69">
          <cell r="D69" t="str">
            <v>قیطاسوند</v>
          </cell>
          <cell r="O69">
            <v>7303</v>
          </cell>
          <cell r="AC69" t="str">
            <v>1405/05/04</v>
          </cell>
          <cell r="AF69">
            <v>6.5</v>
          </cell>
          <cell r="AH69">
            <v>0</v>
          </cell>
        </row>
        <row r="70">
          <cell r="D70" t="str">
            <v>هاشم زاده</v>
          </cell>
          <cell r="O70" t="str">
            <v>دمونتاژ</v>
          </cell>
          <cell r="AC70" t="str">
            <v>1405/05/04</v>
          </cell>
          <cell r="AF70">
            <v>1</v>
          </cell>
          <cell r="AH70">
            <v>0</v>
          </cell>
        </row>
        <row r="71">
          <cell r="D71" t="str">
            <v>هاشم زاده</v>
          </cell>
          <cell r="O71" t="str">
            <v>دمونتاژ</v>
          </cell>
          <cell r="AC71" t="str">
            <v>1405/05/04</v>
          </cell>
          <cell r="AF71">
            <v>1</v>
          </cell>
          <cell r="AH71">
            <v>0</v>
          </cell>
        </row>
        <row r="72">
          <cell r="D72" t="str">
            <v>هاشم زاده</v>
          </cell>
          <cell r="O72">
            <v>8001</v>
          </cell>
          <cell r="AC72" t="str">
            <v>1405/05/04</v>
          </cell>
          <cell r="AF72">
            <v>2</v>
          </cell>
          <cell r="AH72">
            <v>0</v>
          </cell>
        </row>
        <row r="73">
          <cell r="D73" t="str">
            <v>هاشم زاده</v>
          </cell>
          <cell r="O73" t="str">
            <v>مونتاژ</v>
          </cell>
          <cell r="AC73" t="str">
            <v>1405/05/04</v>
          </cell>
          <cell r="AF73">
            <v>4</v>
          </cell>
          <cell r="AH73">
            <v>0</v>
          </cell>
        </row>
        <row r="74">
          <cell r="D74" t="str">
            <v>باقری اصل</v>
          </cell>
          <cell r="O74">
            <v>7204</v>
          </cell>
          <cell r="AC74" t="str">
            <v>1405/05/04</v>
          </cell>
          <cell r="AF74">
            <v>1.5</v>
          </cell>
          <cell r="AH74">
            <v>0</v>
          </cell>
        </row>
        <row r="75">
          <cell r="D75" t="str">
            <v>باقری اصل</v>
          </cell>
          <cell r="O75">
            <v>7204</v>
          </cell>
          <cell r="AC75" t="str">
            <v>1405/05/04</v>
          </cell>
          <cell r="AF75">
            <v>6.5</v>
          </cell>
          <cell r="AH75">
            <v>0</v>
          </cell>
        </row>
        <row r="76">
          <cell r="D76" t="str">
            <v>باقری اصل</v>
          </cell>
          <cell r="O76">
            <v>7204</v>
          </cell>
          <cell r="AC76" t="str">
            <v>1405/05/04</v>
          </cell>
          <cell r="AF76">
            <v>3</v>
          </cell>
          <cell r="AH76">
            <v>0</v>
          </cell>
        </row>
        <row r="77">
          <cell r="D77" t="str">
            <v>یاراحمدی</v>
          </cell>
          <cell r="O77">
            <v>7502</v>
          </cell>
          <cell r="AC77" t="str">
            <v>1405/05/04</v>
          </cell>
          <cell r="AF77">
            <v>11</v>
          </cell>
          <cell r="AH77">
            <v>0</v>
          </cell>
        </row>
        <row r="78">
          <cell r="D78" t="str">
            <v>یاراحمدی</v>
          </cell>
          <cell r="O78">
            <v>7501</v>
          </cell>
          <cell r="AC78" t="str">
            <v>1405/05/04</v>
          </cell>
          <cell r="AF78">
            <v>3.5</v>
          </cell>
          <cell r="AH78">
            <v>0</v>
          </cell>
        </row>
        <row r="79">
          <cell r="D79" t="str">
            <v>یاراحمدی</v>
          </cell>
          <cell r="O79">
            <v>7501</v>
          </cell>
          <cell r="AC79" t="str">
            <v>1405/05/04</v>
          </cell>
          <cell r="AF79">
            <v>3.5</v>
          </cell>
          <cell r="AH79">
            <v>0</v>
          </cell>
        </row>
        <row r="80">
          <cell r="D80" t="str">
            <v>کریم پرست</v>
          </cell>
          <cell r="O80">
            <v>7301</v>
          </cell>
          <cell r="AC80" t="str">
            <v>1405/05/04</v>
          </cell>
          <cell r="AF80">
            <v>4</v>
          </cell>
          <cell r="AH80">
            <v>0</v>
          </cell>
        </row>
        <row r="81">
          <cell r="D81" t="str">
            <v>کریم پرست</v>
          </cell>
          <cell r="O81">
            <v>7301</v>
          </cell>
          <cell r="AC81" t="str">
            <v>1405/05/04</v>
          </cell>
          <cell r="AF81">
            <v>1</v>
          </cell>
          <cell r="AH81">
            <v>0</v>
          </cell>
        </row>
        <row r="82">
          <cell r="D82" t="str">
            <v>کریم پرست</v>
          </cell>
          <cell r="O82">
            <v>7301</v>
          </cell>
          <cell r="AC82" t="str">
            <v>1405/05/04</v>
          </cell>
          <cell r="AF82">
            <v>3.3333333333333335</v>
          </cell>
          <cell r="AH82">
            <v>2.3333333333333335</v>
          </cell>
        </row>
        <row r="83">
          <cell r="D83" t="str">
            <v>صلواتی</v>
          </cell>
          <cell r="O83">
            <v>7601</v>
          </cell>
          <cell r="AC83" t="str">
            <v>1405/05/04</v>
          </cell>
          <cell r="AF83">
            <v>12</v>
          </cell>
          <cell r="AH83">
            <v>0</v>
          </cell>
        </row>
        <row r="84">
          <cell r="D84" t="str">
            <v>صلواتی</v>
          </cell>
          <cell r="O84">
            <v>7602</v>
          </cell>
          <cell r="AC84" t="str">
            <v>1405/05/04</v>
          </cell>
          <cell r="AF84">
            <v>7</v>
          </cell>
          <cell r="AH84">
            <v>0</v>
          </cell>
        </row>
        <row r="85">
          <cell r="D85" t="str">
            <v>صلواتی</v>
          </cell>
          <cell r="O85">
            <v>7603</v>
          </cell>
          <cell r="AC85" t="str">
            <v>1405/05/04</v>
          </cell>
          <cell r="AF85">
            <v>4</v>
          </cell>
          <cell r="AH85">
            <v>0</v>
          </cell>
        </row>
        <row r="86">
          <cell r="D86" t="str">
            <v>صلواتی</v>
          </cell>
          <cell r="O86">
            <v>7605</v>
          </cell>
          <cell r="AC86" t="str">
            <v>1405/05/04</v>
          </cell>
          <cell r="AF86">
            <v>12</v>
          </cell>
          <cell r="AH86">
            <v>0</v>
          </cell>
        </row>
        <row r="87">
          <cell r="D87" t="str">
            <v>صلواتی</v>
          </cell>
          <cell r="O87">
            <v>7603</v>
          </cell>
          <cell r="AC87" t="str">
            <v>1405/05/04</v>
          </cell>
          <cell r="AF87">
            <v>8</v>
          </cell>
          <cell r="AH87">
            <v>0</v>
          </cell>
        </row>
        <row r="88">
          <cell r="D88" t="str">
            <v>صلواتی</v>
          </cell>
          <cell r="O88">
            <v>7602</v>
          </cell>
          <cell r="AC88" t="str">
            <v>1405/05/04</v>
          </cell>
          <cell r="AF88">
            <v>5</v>
          </cell>
          <cell r="AH88">
            <v>0</v>
          </cell>
        </row>
        <row r="89">
          <cell r="D89" t="str">
            <v>موسوی</v>
          </cell>
          <cell r="O89">
            <v>7302</v>
          </cell>
          <cell r="AC89" t="str">
            <v>1405/05/04</v>
          </cell>
          <cell r="AF89">
            <v>2</v>
          </cell>
          <cell r="AH89">
            <v>0</v>
          </cell>
        </row>
        <row r="90">
          <cell r="D90" t="str">
            <v>موسوی</v>
          </cell>
          <cell r="O90">
            <v>7302</v>
          </cell>
          <cell r="AC90" t="str">
            <v>1405/05/04</v>
          </cell>
          <cell r="AF90">
            <v>2</v>
          </cell>
          <cell r="AH90">
            <v>0</v>
          </cell>
        </row>
        <row r="91">
          <cell r="D91" t="str">
            <v>موسوی</v>
          </cell>
          <cell r="O91" t="str">
            <v>مونتاژ</v>
          </cell>
          <cell r="AC91" t="str">
            <v>1405/05/04</v>
          </cell>
          <cell r="AF91">
            <v>2</v>
          </cell>
          <cell r="AH91">
            <v>0</v>
          </cell>
        </row>
        <row r="92">
          <cell r="D92" t="str">
            <v>موسوی</v>
          </cell>
          <cell r="O92" t="str">
            <v>مونتاژ</v>
          </cell>
          <cell r="AC92" t="str">
            <v>1405/05/04</v>
          </cell>
          <cell r="AF92">
            <v>3</v>
          </cell>
          <cell r="AH92">
            <v>0</v>
          </cell>
        </row>
        <row r="93">
          <cell r="D93" t="str">
            <v>خیرخواه</v>
          </cell>
          <cell r="O93" t="str">
            <v>مونتاژ</v>
          </cell>
          <cell r="AC93" t="str">
            <v>1405/05/04</v>
          </cell>
          <cell r="AF93">
            <v>3</v>
          </cell>
          <cell r="AH93">
            <v>0</v>
          </cell>
        </row>
        <row r="94">
          <cell r="D94" t="str">
            <v>خیرخواه</v>
          </cell>
          <cell r="O94" t="str">
            <v>مونتاژ</v>
          </cell>
          <cell r="AC94" t="str">
            <v>1405/05/04</v>
          </cell>
          <cell r="AF94">
            <v>2</v>
          </cell>
          <cell r="AH94">
            <v>0</v>
          </cell>
        </row>
        <row r="95">
          <cell r="D95" t="str">
            <v>خیرخواه</v>
          </cell>
          <cell r="O95">
            <v>7401</v>
          </cell>
          <cell r="AC95" t="str">
            <v>1405/05/04</v>
          </cell>
          <cell r="AF95">
            <v>1</v>
          </cell>
          <cell r="AH95">
            <v>0</v>
          </cell>
        </row>
        <row r="96">
          <cell r="D96" t="str">
            <v>خیرخواه</v>
          </cell>
          <cell r="O96" t="str">
            <v>دمونتاژ</v>
          </cell>
          <cell r="AC96" t="str">
            <v>1405/05/04</v>
          </cell>
          <cell r="AF96">
            <v>1</v>
          </cell>
          <cell r="AH96">
            <v>0</v>
          </cell>
        </row>
        <row r="97">
          <cell r="D97" t="str">
            <v>خیرخواه</v>
          </cell>
          <cell r="O97" t="str">
            <v>دمونتاژ</v>
          </cell>
          <cell r="AC97" t="str">
            <v>1405/05/04</v>
          </cell>
          <cell r="AF97">
            <v>1</v>
          </cell>
          <cell r="AH97">
            <v>0</v>
          </cell>
        </row>
        <row r="98">
          <cell r="D98" t="str">
            <v>خیرخواه</v>
          </cell>
          <cell r="O98">
            <v>7401</v>
          </cell>
          <cell r="AC98" t="str">
            <v>1405/05/04</v>
          </cell>
          <cell r="AF98">
            <v>3</v>
          </cell>
          <cell r="AH98">
            <v>0</v>
          </cell>
        </row>
        <row r="99">
          <cell r="D99" t="str">
            <v>مطهری</v>
          </cell>
          <cell r="O99">
            <v>7203</v>
          </cell>
          <cell r="AC99" t="str">
            <v>1405/05/05</v>
          </cell>
          <cell r="AF99">
            <v>11</v>
          </cell>
          <cell r="AH99">
            <v>0</v>
          </cell>
        </row>
        <row r="100">
          <cell r="D100" t="str">
            <v>فراهی</v>
          </cell>
          <cell r="O100">
            <v>7103</v>
          </cell>
          <cell r="AC100" t="str">
            <v>1405/05/05</v>
          </cell>
          <cell r="AF100">
            <v>6.5</v>
          </cell>
          <cell r="AH100">
            <v>0</v>
          </cell>
        </row>
        <row r="101">
          <cell r="D101" t="str">
            <v>قیطاسوند</v>
          </cell>
          <cell r="O101">
            <v>7303</v>
          </cell>
          <cell r="AC101" t="str">
            <v>1405/05/05</v>
          </cell>
          <cell r="AF101">
            <v>1</v>
          </cell>
          <cell r="AH101">
            <v>0</v>
          </cell>
        </row>
        <row r="102">
          <cell r="D102" t="str">
            <v>قیطاسوند</v>
          </cell>
          <cell r="O102">
            <v>7102</v>
          </cell>
          <cell r="AC102" t="str">
            <v>1405/05/05</v>
          </cell>
          <cell r="AF102">
            <v>10</v>
          </cell>
          <cell r="AH102">
            <v>0</v>
          </cell>
        </row>
        <row r="103">
          <cell r="D103" t="str">
            <v>باقری اصل</v>
          </cell>
          <cell r="O103">
            <v>7204</v>
          </cell>
          <cell r="AC103" t="str">
            <v>1405/05/05</v>
          </cell>
          <cell r="AF103">
            <v>2</v>
          </cell>
          <cell r="AH103">
            <v>4</v>
          </cell>
        </row>
        <row r="104">
          <cell r="D104" t="str">
            <v>باقری اصل</v>
          </cell>
          <cell r="O104">
            <v>7204</v>
          </cell>
          <cell r="AC104" t="str">
            <v>1405/05/05</v>
          </cell>
          <cell r="AF104">
            <v>2.5</v>
          </cell>
          <cell r="AH104">
            <v>0</v>
          </cell>
        </row>
        <row r="105">
          <cell r="D105" t="str">
            <v>باقری اصل</v>
          </cell>
          <cell r="O105">
            <v>7204</v>
          </cell>
          <cell r="AC105" t="str">
            <v>1405/05/05</v>
          </cell>
          <cell r="AF105">
            <v>3</v>
          </cell>
          <cell r="AH105">
            <v>0</v>
          </cell>
        </row>
        <row r="106">
          <cell r="D106" t="str">
            <v>موسوی</v>
          </cell>
          <cell r="O106">
            <v>7302</v>
          </cell>
          <cell r="AC106" t="str">
            <v>1405/05/05</v>
          </cell>
          <cell r="AF106">
            <v>3</v>
          </cell>
          <cell r="AH106">
            <v>0</v>
          </cell>
        </row>
        <row r="107">
          <cell r="D107" t="str">
            <v>موسوی</v>
          </cell>
          <cell r="O107" t="str">
            <v>مونتاژ</v>
          </cell>
          <cell r="AC107" t="str">
            <v>1405/05/05</v>
          </cell>
          <cell r="AF107">
            <v>3</v>
          </cell>
          <cell r="AH107">
            <v>0</v>
          </cell>
        </row>
        <row r="108">
          <cell r="D108" t="str">
            <v>موسوی</v>
          </cell>
          <cell r="O108">
            <v>7302</v>
          </cell>
          <cell r="AC108" t="str">
            <v>1405/05/05</v>
          </cell>
          <cell r="AF108">
            <v>3</v>
          </cell>
          <cell r="AH108">
            <v>0</v>
          </cell>
        </row>
        <row r="109">
          <cell r="D109" t="str">
            <v>هاشم زاده</v>
          </cell>
          <cell r="O109" t="str">
            <v>مونتاژ</v>
          </cell>
          <cell r="AC109" t="str">
            <v>1405/05/05</v>
          </cell>
          <cell r="AF109">
            <v>5</v>
          </cell>
          <cell r="AH109">
            <v>0</v>
          </cell>
        </row>
        <row r="110">
          <cell r="D110" t="str">
            <v>هاشم زاده</v>
          </cell>
          <cell r="O110">
            <v>8001</v>
          </cell>
          <cell r="AC110" t="str">
            <v>1405/05/05</v>
          </cell>
          <cell r="AF110">
            <v>2</v>
          </cell>
          <cell r="AH110">
            <v>0</v>
          </cell>
        </row>
        <row r="111">
          <cell r="D111" t="str">
            <v>هاشم زاده</v>
          </cell>
          <cell r="O111" t="str">
            <v>دمونتاژ</v>
          </cell>
          <cell r="AC111" t="str">
            <v>1405/05/05</v>
          </cell>
          <cell r="AF111">
            <v>2</v>
          </cell>
          <cell r="AH111">
            <v>0</v>
          </cell>
        </row>
        <row r="112">
          <cell r="D112" t="str">
            <v>هاشم زاده</v>
          </cell>
          <cell r="O112" t="str">
            <v>دمونتاژ</v>
          </cell>
          <cell r="AC112" t="str">
            <v>1405/05/05</v>
          </cell>
          <cell r="AF112">
            <v>1</v>
          </cell>
          <cell r="AH112">
            <v>0</v>
          </cell>
        </row>
        <row r="113">
          <cell r="D113" t="str">
            <v>کریم پرست</v>
          </cell>
          <cell r="O113">
            <v>7301</v>
          </cell>
          <cell r="AC113" t="str">
            <v>1405/05/05</v>
          </cell>
          <cell r="AF113">
            <v>2</v>
          </cell>
          <cell r="AH113">
            <v>0</v>
          </cell>
        </row>
        <row r="114">
          <cell r="D114" t="str">
            <v>کریم پرست</v>
          </cell>
          <cell r="O114">
            <v>7301</v>
          </cell>
          <cell r="AC114" t="str">
            <v>1405/05/05</v>
          </cell>
          <cell r="AF114">
            <v>2</v>
          </cell>
          <cell r="AH114">
            <v>0</v>
          </cell>
        </row>
        <row r="115">
          <cell r="D115" t="str">
            <v>کریم پرست</v>
          </cell>
          <cell r="O115">
            <v>7301</v>
          </cell>
          <cell r="AC115" t="str">
            <v>1405/05/05</v>
          </cell>
          <cell r="AF115">
            <v>2</v>
          </cell>
          <cell r="AH115">
            <v>0</v>
          </cell>
        </row>
        <row r="116">
          <cell r="D116" t="str">
            <v>کریم پرست</v>
          </cell>
          <cell r="O116">
            <v>7301</v>
          </cell>
          <cell r="AC116" t="str">
            <v>1405/05/05</v>
          </cell>
          <cell r="AF116">
            <v>2</v>
          </cell>
          <cell r="AH116">
            <v>0</v>
          </cell>
        </row>
        <row r="117">
          <cell r="D117" t="str">
            <v>یاراحمدی</v>
          </cell>
          <cell r="O117">
            <v>7502</v>
          </cell>
          <cell r="AC117" t="str">
            <v>1405/05/05</v>
          </cell>
          <cell r="AF117">
            <v>6</v>
          </cell>
          <cell r="AH117">
            <v>0</v>
          </cell>
        </row>
        <row r="118">
          <cell r="D118" t="str">
            <v>یاراحمدی</v>
          </cell>
          <cell r="O118">
            <v>7501</v>
          </cell>
          <cell r="AC118" t="str">
            <v>1405/05/05</v>
          </cell>
          <cell r="AF118">
            <v>2.5</v>
          </cell>
          <cell r="AH118">
            <v>0</v>
          </cell>
        </row>
        <row r="119">
          <cell r="D119" t="str">
            <v>یاراحمدی</v>
          </cell>
          <cell r="O119">
            <v>7501</v>
          </cell>
          <cell r="AC119" t="str">
            <v>1405/05/05</v>
          </cell>
          <cell r="AF119">
            <v>2.5</v>
          </cell>
          <cell r="AH119">
            <v>0</v>
          </cell>
        </row>
        <row r="120">
          <cell r="D120" t="str">
            <v>یاراحمدی</v>
          </cell>
          <cell r="O120">
            <v>7502</v>
          </cell>
          <cell r="AC120" t="str">
            <v>1405/05/06</v>
          </cell>
          <cell r="AF120">
            <v>5</v>
          </cell>
          <cell r="AH120">
            <v>0</v>
          </cell>
        </row>
        <row r="121">
          <cell r="D121" t="str">
            <v>یاراحمدی</v>
          </cell>
          <cell r="O121">
            <v>7501</v>
          </cell>
          <cell r="AC121" t="str">
            <v>1405/05/06</v>
          </cell>
          <cell r="AF121">
            <v>1</v>
          </cell>
          <cell r="AH121">
            <v>0</v>
          </cell>
        </row>
        <row r="122">
          <cell r="D122" t="str">
            <v>خیرخواه</v>
          </cell>
          <cell r="O122" t="str">
            <v>مونتاژ</v>
          </cell>
          <cell r="AC122" t="str">
            <v>1405/05/05</v>
          </cell>
          <cell r="AF122">
            <v>2.5</v>
          </cell>
          <cell r="AH122">
            <v>0</v>
          </cell>
        </row>
        <row r="123">
          <cell r="D123" t="str">
            <v>خیرخواه</v>
          </cell>
          <cell r="O123">
            <v>7401</v>
          </cell>
          <cell r="AC123" t="str">
            <v>1405/05/05</v>
          </cell>
          <cell r="AF123">
            <v>1.5</v>
          </cell>
          <cell r="AH123">
            <v>0</v>
          </cell>
        </row>
        <row r="124">
          <cell r="D124" t="str">
            <v>صلواتی</v>
          </cell>
          <cell r="O124">
            <v>7601</v>
          </cell>
          <cell r="AC124" t="str">
            <v>1405/05/05</v>
          </cell>
          <cell r="AF124">
            <v>11</v>
          </cell>
          <cell r="AH124">
            <v>1</v>
          </cell>
        </row>
        <row r="125">
          <cell r="D125" t="str">
            <v>صلواتی</v>
          </cell>
          <cell r="O125">
            <v>7602</v>
          </cell>
          <cell r="AC125" t="str">
            <v>1405/05/05</v>
          </cell>
          <cell r="AF125">
            <v>11</v>
          </cell>
          <cell r="AH125">
            <v>1</v>
          </cell>
        </row>
        <row r="126">
          <cell r="D126" t="str">
            <v>صلواتی</v>
          </cell>
          <cell r="O126">
            <v>7603</v>
          </cell>
          <cell r="AC126" t="str">
            <v>1405/05/05</v>
          </cell>
          <cell r="AF126">
            <v>11</v>
          </cell>
          <cell r="AH126">
            <v>1</v>
          </cell>
        </row>
        <row r="127">
          <cell r="D127" t="str">
            <v>صلواتی</v>
          </cell>
          <cell r="O127">
            <v>7605</v>
          </cell>
          <cell r="AC127" t="str">
            <v>1405/05/05</v>
          </cell>
          <cell r="AF127">
            <v>11</v>
          </cell>
          <cell r="AH127">
            <v>1</v>
          </cell>
        </row>
        <row r="128">
          <cell r="D128" t="str">
            <v>خیرخواه</v>
          </cell>
          <cell r="O128">
            <v>7401</v>
          </cell>
          <cell r="AC128" t="str">
            <v>1405/05/05</v>
          </cell>
          <cell r="AF128">
            <v>6</v>
          </cell>
          <cell r="AH128">
            <v>0</v>
          </cell>
        </row>
        <row r="129">
          <cell r="D129" t="str">
            <v>خیرخواه</v>
          </cell>
          <cell r="O129" t="str">
            <v>مونتاژ</v>
          </cell>
          <cell r="AC129" t="str">
            <v>1405/05/05</v>
          </cell>
          <cell r="AF129">
            <v>1</v>
          </cell>
          <cell r="AH129">
            <v>0</v>
          </cell>
        </row>
        <row r="130">
          <cell r="D130" t="str">
            <v>حیدری</v>
          </cell>
          <cell r="O130">
            <v>7101</v>
          </cell>
          <cell r="AC130" t="str">
            <v>1405/05/04</v>
          </cell>
          <cell r="AF130">
            <v>11</v>
          </cell>
          <cell r="AH130">
            <v>0</v>
          </cell>
        </row>
        <row r="131">
          <cell r="D131" t="str">
            <v>حیدری</v>
          </cell>
          <cell r="O131">
            <v>7101</v>
          </cell>
          <cell r="AC131" t="str">
            <v>1405/05/05</v>
          </cell>
          <cell r="AF131">
            <v>7.5</v>
          </cell>
          <cell r="AH131">
            <v>0</v>
          </cell>
        </row>
        <row r="132">
          <cell r="D132" t="str">
            <v>حیدری</v>
          </cell>
          <cell r="O132" t="str">
            <v>دمونتاژ</v>
          </cell>
          <cell r="AC132" t="str">
            <v>1405/05/05</v>
          </cell>
          <cell r="AF132">
            <v>3.5</v>
          </cell>
          <cell r="AH132">
            <v>0</v>
          </cell>
        </row>
        <row r="133">
          <cell r="D133" t="str">
            <v>زیلویی</v>
          </cell>
          <cell r="O133">
            <v>7203</v>
          </cell>
          <cell r="AC133" t="str">
            <v>1405/05/06</v>
          </cell>
          <cell r="AF133">
            <v>13</v>
          </cell>
          <cell r="AH133">
            <v>0</v>
          </cell>
        </row>
        <row r="134">
          <cell r="D134" t="str">
            <v>فراهی</v>
          </cell>
          <cell r="O134">
            <v>7103</v>
          </cell>
          <cell r="AC134" t="str">
            <v>1405/05/06</v>
          </cell>
          <cell r="AF134">
            <v>6.5</v>
          </cell>
          <cell r="AH134">
            <v>0</v>
          </cell>
        </row>
        <row r="135">
          <cell r="D135" t="str">
            <v>قیطاسوند</v>
          </cell>
          <cell r="O135">
            <v>7102</v>
          </cell>
          <cell r="AC135" t="str">
            <v>1405/05/06</v>
          </cell>
          <cell r="AF135">
            <v>11</v>
          </cell>
          <cell r="AH135">
            <v>0</v>
          </cell>
        </row>
        <row r="136">
          <cell r="D136" t="str">
            <v>حیدری</v>
          </cell>
          <cell r="O136" t="str">
            <v>مونتاژ</v>
          </cell>
          <cell r="AC136" t="str">
            <v>1405/05/06</v>
          </cell>
          <cell r="AF136">
            <v>3</v>
          </cell>
          <cell r="AH136">
            <v>0</v>
          </cell>
        </row>
        <row r="137">
          <cell r="D137" t="str">
            <v>حیدری</v>
          </cell>
          <cell r="O137">
            <v>7101</v>
          </cell>
          <cell r="AC137" t="str">
            <v>1405/05/06</v>
          </cell>
          <cell r="AF137">
            <v>8</v>
          </cell>
          <cell r="AH137">
            <v>0</v>
          </cell>
        </row>
        <row r="138">
          <cell r="D138" t="str">
            <v>خیرخواه</v>
          </cell>
          <cell r="O138">
            <v>7401</v>
          </cell>
          <cell r="AC138" t="str">
            <v>1405/05/06</v>
          </cell>
          <cell r="AF138">
            <v>4.5</v>
          </cell>
          <cell r="AH138">
            <v>0</v>
          </cell>
        </row>
        <row r="139">
          <cell r="D139" t="str">
            <v>خیرخواه</v>
          </cell>
          <cell r="O139" t="str">
            <v>مونتاژ</v>
          </cell>
          <cell r="AC139" t="str">
            <v>1405/05/06</v>
          </cell>
          <cell r="AF139">
            <v>4.5</v>
          </cell>
          <cell r="AH139">
            <v>0</v>
          </cell>
        </row>
        <row r="140">
          <cell r="D140" t="str">
            <v>خیرخواه</v>
          </cell>
          <cell r="O140">
            <v>7401</v>
          </cell>
          <cell r="AC140" t="str">
            <v>1405/05/06</v>
          </cell>
          <cell r="AF140">
            <v>1</v>
          </cell>
          <cell r="AH140">
            <v>0</v>
          </cell>
        </row>
        <row r="141">
          <cell r="D141" t="str">
            <v>خیرخواه</v>
          </cell>
          <cell r="O141" t="str">
            <v>مونتاژ</v>
          </cell>
          <cell r="AC141" t="str">
            <v>1405/05/06</v>
          </cell>
          <cell r="AF141">
            <v>1</v>
          </cell>
          <cell r="AH141">
            <v>0</v>
          </cell>
        </row>
        <row r="142">
          <cell r="D142" t="str">
            <v>یاراحمدی</v>
          </cell>
          <cell r="O142">
            <v>7501</v>
          </cell>
          <cell r="AC142" t="str">
            <v>1405/05/06</v>
          </cell>
          <cell r="AF142">
            <v>3</v>
          </cell>
          <cell r="AH142">
            <v>0</v>
          </cell>
        </row>
        <row r="143">
          <cell r="D143" t="str">
            <v>یاراحمدی</v>
          </cell>
          <cell r="O143">
            <v>7502</v>
          </cell>
          <cell r="AC143" t="str">
            <v>1405/05/06</v>
          </cell>
          <cell r="AF143">
            <v>6</v>
          </cell>
          <cell r="AH143">
            <v>0</v>
          </cell>
        </row>
        <row r="144">
          <cell r="D144" t="str">
            <v>یاراحمدی</v>
          </cell>
          <cell r="O144">
            <v>7502</v>
          </cell>
          <cell r="AC144" t="str">
            <v>1405/05/06</v>
          </cell>
          <cell r="AF144">
            <v>5</v>
          </cell>
          <cell r="AH144">
            <v>0</v>
          </cell>
        </row>
        <row r="145">
          <cell r="D145" t="str">
            <v>کریم پرست</v>
          </cell>
          <cell r="O145">
            <v>7301</v>
          </cell>
          <cell r="AC145" t="str">
            <v>1405/05/06</v>
          </cell>
          <cell r="AF145">
            <v>4</v>
          </cell>
          <cell r="AH145">
            <v>0</v>
          </cell>
        </row>
        <row r="146">
          <cell r="D146" t="str">
            <v>کریم پرست</v>
          </cell>
          <cell r="O146">
            <v>7301</v>
          </cell>
          <cell r="AC146" t="str">
            <v>1405/05/06</v>
          </cell>
          <cell r="AF146">
            <v>4</v>
          </cell>
          <cell r="AH146">
            <v>0</v>
          </cell>
        </row>
        <row r="147">
          <cell r="D147" t="str">
            <v>کریم پرست</v>
          </cell>
          <cell r="O147">
            <v>7301</v>
          </cell>
          <cell r="AC147" t="str">
            <v>1405/05/06</v>
          </cell>
          <cell r="AF147">
            <v>1</v>
          </cell>
          <cell r="AH147">
            <v>2</v>
          </cell>
        </row>
        <row r="148">
          <cell r="D148" t="str">
            <v>باقری اصل</v>
          </cell>
          <cell r="O148">
            <v>7204</v>
          </cell>
          <cell r="AC148" t="str">
            <v>1405/05/06</v>
          </cell>
          <cell r="AF148">
            <v>2.5</v>
          </cell>
          <cell r="AH148">
            <v>0</v>
          </cell>
        </row>
        <row r="149">
          <cell r="D149" t="str">
            <v>باقری اصل</v>
          </cell>
          <cell r="O149">
            <v>7204</v>
          </cell>
          <cell r="AC149" t="str">
            <v>1405/05/06</v>
          </cell>
          <cell r="AF149">
            <v>3</v>
          </cell>
          <cell r="AH149">
            <v>0</v>
          </cell>
        </row>
        <row r="150">
          <cell r="D150" t="str">
            <v>باقری اصل</v>
          </cell>
          <cell r="O150">
            <v>7204</v>
          </cell>
          <cell r="AC150" t="str">
            <v>1405/05/06</v>
          </cell>
          <cell r="AF150">
            <v>5.5</v>
          </cell>
          <cell r="AH150">
            <v>0</v>
          </cell>
        </row>
        <row r="151">
          <cell r="D151" t="str">
            <v>موسوی</v>
          </cell>
          <cell r="O151">
            <v>7302</v>
          </cell>
          <cell r="AC151" t="str">
            <v>1405/05/06</v>
          </cell>
          <cell r="AF151">
            <v>3</v>
          </cell>
          <cell r="AH151">
            <v>0</v>
          </cell>
        </row>
        <row r="152">
          <cell r="D152" t="str">
            <v>موسوی</v>
          </cell>
          <cell r="O152">
            <v>7302</v>
          </cell>
          <cell r="AC152" t="str">
            <v>1405/05/06</v>
          </cell>
          <cell r="AF152">
            <v>3</v>
          </cell>
          <cell r="AH152">
            <v>0</v>
          </cell>
        </row>
        <row r="153">
          <cell r="D153" t="str">
            <v>موسوی</v>
          </cell>
          <cell r="O153">
            <v>7302</v>
          </cell>
          <cell r="AC153" t="str">
            <v>1405/05/06</v>
          </cell>
          <cell r="AF153">
            <v>1</v>
          </cell>
          <cell r="AH153">
            <v>0</v>
          </cell>
        </row>
        <row r="154">
          <cell r="D154" t="str">
            <v>موسوی</v>
          </cell>
          <cell r="O154">
            <v>7302</v>
          </cell>
          <cell r="AC154" t="str">
            <v>1405/05/06</v>
          </cell>
          <cell r="AF154">
            <v>2</v>
          </cell>
          <cell r="AH154">
            <v>0</v>
          </cell>
        </row>
        <row r="155">
          <cell r="D155" t="str">
            <v>موسوی</v>
          </cell>
          <cell r="O155">
            <v>7302</v>
          </cell>
          <cell r="AC155" t="str">
            <v>1405/05/06</v>
          </cell>
          <cell r="AF155">
            <v>3</v>
          </cell>
          <cell r="AH155">
            <v>0</v>
          </cell>
        </row>
        <row r="156">
          <cell r="D156" t="str">
            <v>صلواتی</v>
          </cell>
          <cell r="O156">
            <v>7601</v>
          </cell>
          <cell r="AC156" t="str">
            <v>1405/05/06</v>
          </cell>
          <cell r="AF156">
            <v>12</v>
          </cell>
          <cell r="AH156">
            <v>0</v>
          </cell>
        </row>
        <row r="157">
          <cell r="D157" t="str">
            <v>صلواتی</v>
          </cell>
          <cell r="O157">
            <v>7602</v>
          </cell>
          <cell r="AC157" t="str">
            <v>1405/05/06</v>
          </cell>
          <cell r="AF157">
            <v>3</v>
          </cell>
          <cell r="AH157">
            <v>0</v>
          </cell>
        </row>
        <row r="158">
          <cell r="D158" t="str">
            <v>صلواتی</v>
          </cell>
          <cell r="O158">
            <v>7602</v>
          </cell>
          <cell r="AC158" t="str">
            <v>1405/05/06</v>
          </cell>
          <cell r="AF158">
            <v>6</v>
          </cell>
          <cell r="AH158">
            <v>0</v>
          </cell>
        </row>
        <row r="159">
          <cell r="D159" t="str">
            <v>صلواتی</v>
          </cell>
          <cell r="O159">
            <v>7604</v>
          </cell>
          <cell r="AC159" t="str">
            <v>1405/05/06</v>
          </cell>
          <cell r="AF159">
            <v>9</v>
          </cell>
          <cell r="AH159">
            <v>0</v>
          </cell>
        </row>
        <row r="160">
          <cell r="D160" t="str">
            <v>صلواتی</v>
          </cell>
          <cell r="O160">
            <v>7605</v>
          </cell>
          <cell r="AC160" t="str">
            <v>1405/05/06</v>
          </cell>
          <cell r="AF160">
            <v>12</v>
          </cell>
          <cell r="AH160">
            <v>0</v>
          </cell>
        </row>
        <row r="161">
          <cell r="D161" t="str">
            <v>هاشم زاده</v>
          </cell>
          <cell r="O161" t="str">
            <v>مونتاژ</v>
          </cell>
          <cell r="AC161" t="str">
            <v>1405/05/06</v>
          </cell>
          <cell r="AF161">
            <v>4</v>
          </cell>
          <cell r="AH161">
            <v>0</v>
          </cell>
        </row>
        <row r="162">
          <cell r="D162" t="str">
            <v>هاشم زاده</v>
          </cell>
          <cell r="O162" t="str">
            <v>دمونتاژ</v>
          </cell>
          <cell r="AC162" t="str">
            <v>1405/05/06</v>
          </cell>
          <cell r="AF162">
            <v>5</v>
          </cell>
          <cell r="AH162">
            <v>0</v>
          </cell>
        </row>
        <row r="163">
          <cell r="D163" t="str">
            <v>هاشم زاده</v>
          </cell>
          <cell r="O163" t="str">
            <v>دمونتاژ</v>
          </cell>
          <cell r="AC163" t="str">
            <v>1405/05/06</v>
          </cell>
          <cell r="AF163">
            <v>2</v>
          </cell>
          <cell r="AH163">
            <v>0</v>
          </cell>
        </row>
        <row r="164">
          <cell r="D164" t="str">
            <v>زیلویی</v>
          </cell>
          <cell r="O164">
            <v>7203</v>
          </cell>
          <cell r="AC164" t="str">
            <v>1405/05/07</v>
          </cell>
          <cell r="AF164">
            <v>11</v>
          </cell>
          <cell r="AH164">
            <v>0</v>
          </cell>
        </row>
        <row r="165">
          <cell r="D165" t="str">
            <v>حیدری</v>
          </cell>
          <cell r="O165">
            <v>7101</v>
          </cell>
          <cell r="AC165" t="str">
            <v>1405/05/07</v>
          </cell>
          <cell r="AF165">
            <v>11</v>
          </cell>
          <cell r="AH165">
            <v>0</v>
          </cell>
        </row>
        <row r="166">
          <cell r="D166" t="str">
            <v>قیطاسوند</v>
          </cell>
          <cell r="O166">
            <v>7102</v>
          </cell>
          <cell r="AC166" t="str">
            <v>1405/05/07</v>
          </cell>
          <cell r="AF166">
            <v>11</v>
          </cell>
          <cell r="AH166">
            <v>0</v>
          </cell>
        </row>
        <row r="167">
          <cell r="D167" t="str">
            <v>باقری اصل</v>
          </cell>
          <cell r="O167">
            <v>7204</v>
          </cell>
          <cell r="AC167" t="str">
            <v>1405/05/07</v>
          </cell>
          <cell r="AF167">
            <v>5.5</v>
          </cell>
          <cell r="AH167">
            <v>0</v>
          </cell>
        </row>
        <row r="168">
          <cell r="D168" t="str">
            <v>باقری اصل</v>
          </cell>
          <cell r="O168">
            <v>7204</v>
          </cell>
          <cell r="AC168" t="str">
            <v>1405/05/07</v>
          </cell>
          <cell r="AF168">
            <v>5.5</v>
          </cell>
          <cell r="AH168">
            <v>0</v>
          </cell>
        </row>
        <row r="169">
          <cell r="D169" t="str">
            <v>موسوی</v>
          </cell>
          <cell r="O169">
            <v>7302</v>
          </cell>
          <cell r="AC169" t="str">
            <v>1405/05/07</v>
          </cell>
          <cell r="AF169">
            <v>2</v>
          </cell>
          <cell r="AH169">
            <v>0</v>
          </cell>
        </row>
        <row r="170">
          <cell r="D170" t="str">
            <v>موسوی</v>
          </cell>
          <cell r="O170">
            <v>7302</v>
          </cell>
          <cell r="AC170" t="str">
            <v>1405/05/07</v>
          </cell>
          <cell r="AF170">
            <v>2</v>
          </cell>
          <cell r="AH170">
            <v>0</v>
          </cell>
        </row>
        <row r="171">
          <cell r="D171" t="str">
            <v>موسوی</v>
          </cell>
          <cell r="O171">
            <v>7302</v>
          </cell>
          <cell r="AC171" t="str">
            <v>1405/05/07</v>
          </cell>
          <cell r="AF171">
            <v>1</v>
          </cell>
          <cell r="AH171">
            <v>0</v>
          </cell>
        </row>
        <row r="172">
          <cell r="D172" t="str">
            <v>موسوی</v>
          </cell>
          <cell r="O172" t="str">
            <v>مونتاژ</v>
          </cell>
          <cell r="AC172" t="str">
            <v>1405/05/07</v>
          </cell>
          <cell r="AF172">
            <v>1</v>
          </cell>
          <cell r="AH172">
            <v>0</v>
          </cell>
        </row>
        <row r="173">
          <cell r="D173" t="str">
            <v>موسوی</v>
          </cell>
          <cell r="O173" t="str">
            <v>مونتاژ</v>
          </cell>
          <cell r="AC173" t="str">
            <v>1405/05/07</v>
          </cell>
          <cell r="AF173">
            <v>1</v>
          </cell>
          <cell r="AH173">
            <v>0</v>
          </cell>
        </row>
        <row r="174">
          <cell r="D174" t="str">
            <v>موسوی</v>
          </cell>
          <cell r="O174">
            <v>7302</v>
          </cell>
          <cell r="AC174" t="str">
            <v>1405/05/07</v>
          </cell>
          <cell r="AF174">
            <v>2</v>
          </cell>
          <cell r="AH174">
            <v>0</v>
          </cell>
        </row>
        <row r="175">
          <cell r="D175" t="str">
            <v>خیرخواه</v>
          </cell>
          <cell r="O175" t="str">
            <v>مونتاژ</v>
          </cell>
          <cell r="AC175" t="str">
            <v>1405/05/07</v>
          </cell>
          <cell r="AF175">
            <v>2.5</v>
          </cell>
          <cell r="AH175">
            <v>0</v>
          </cell>
        </row>
        <row r="176">
          <cell r="D176" t="str">
            <v>خیرخواه</v>
          </cell>
          <cell r="O176" t="str">
            <v>مونتاژ</v>
          </cell>
          <cell r="AC176" t="str">
            <v>1405/05/07</v>
          </cell>
          <cell r="AF176">
            <v>1.5</v>
          </cell>
          <cell r="AH176">
            <v>0</v>
          </cell>
        </row>
        <row r="177">
          <cell r="D177" t="str">
            <v>خیرخواه</v>
          </cell>
          <cell r="O177" t="str">
            <v>دمونتاژ</v>
          </cell>
          <cell r="AC177" t="str">
            <v>1405/05/07</v>
          </cell>
          <cell r="AF177">
            <v>3</v>
          </cell>
          <cell r="AH177">
            <v>0</v>
          </cell>
        </row>
        <row r="178">
          <cell r="D178" t="str">
            <v>خیرخواه</v>
          </cell>
          <cell r="O178">
            <v>7401</v>
          </cell>
          <cell r="AC178" t="str">
            <v>1405/05/07</v>
          </cell>
          <cell r="AF178">
            <v>0.5</v>
          </cell>
          <cell r="AH178">
            <v>0</v>
          </cell>
        </row>
        <row r="179">
          <cell r="D179" t="str">
            <v>خیرخواه</v>
          </cell>
          <cell r="O179" t="str">
            <v>مونتاژ</v>
          </cell>
          <cell r="AC179" t="str">
            <v>1405/05/07</v>
          </cell>
          <cell r="AF179">
            <v>0.5</v>
          </cell>
          <cell r="AH179">
            <v>0</v>
          </cell>
        </row>
        <row r="180">
          <cell r="D180" t="str">
            <v>خیرخواه</v>
          </cell>
          <cell r="O180">
            <v>7401</v>
          </cell>
          <cell r="AC180" t="str">
            <v>1405/05/07</v>
          </cell>
          <cell r="AF180">
            <v>1</v>
          </cell>
          <cell r="AH180">
            <v>0</v>
          </cell>
        </row>
        <row r="181">
          <cell r="D181" t="str">
            <v>خیرخواه</v>
          </cell>
          <cell r="O181" t="str">
            <v>مونتاژ</v>
          </cell>
          <cell r="AC181" t="str">
            <v>1405/05/07</v>
          </cell>
          <cell r="AF181">
            <v>2</v>
          </cell>
          <cell r="AH181">
            <v>0</v>
          </cell>
        </row>
        <row r="182">
          <cell r="D182" t="str">
            <v>صلواتی</v>
          </cell>
          <cell r="O182">
            <v>7601</v>
          </cell>
          <cell r="AC182" t="str">
            <v>1405/05/07</v>
          </cell>
          <cell r="AF182">
            <v>10</v>
          </cell>
          <cell r="AH182">
            <v>0</v>
          </cell>
        </row>
        <row r="183">
          <cell r="D183" t="str">
            <v>صلواتی</v>
          </cell>
          <cell r="O183">
            <v>7602</v>
          </cell>
          <cell r="AC183" t="str">
            <v>1405/05/07</v>
          </cell>
          <cell r="AF183">
            <v>2</v>
          </cell>
          <cell r="AH183">
            <v>0</v>
          </cell>
        </row>
        <row r="184">
          <cell r="D184" t="str">
            <v>صلواتی</v>
          </cell>
          <cell r="O184">
            <v>7602</v>
          </cell>
          <cell r="AC184" t="str">
            <v>1405/05/07</v>
          </cell>
          <cell r="AF184">
            <v>8</v>
          </cell>
          <cell r="AH184">
            <v>0</v>
          </cell>
        </row>
        <row r="185">
          <cell r="D185" t="str">
            <v>صلواتی</v>
          </cell>
          <cell r="O185">
            <v>7604</v>
          </cell>
          <cell r="AC185" t="str">
            <v>1405/05/07</v>
          </cell>
          <cell r="AF185">
            <v>6</v>
          </cell>
          <cell r="AH185">
            <v>0</v>
          </cell>
        </row>
        <row r="186">
          <cell r="D186" t="str">
            <v>صلواتی</v>
          </cell>
          <cell r="O186">
            <v>7604</v>
          </cell>
          <cell r="AC186" t="str">
            <v>1405/05/07</v>
          </cell>
          <cell r="AF186">
            <v>2</v>
          </cell>
          <cell r="AH186">
            <v>0</v>
          </cell>
        </row>
        <row r="187">
          <cell r="D187" t="str">
            <v>صلواتی</v>
          </cell>
          <cell r="O187">
            <v>7605</v>
          </cell>
          <cell r="AC187" t="str">
            <v>1405/05/07</v>
          </cell>
          <cell r="AF187">
            <v>7</v>
          </cell>
          <cell r="AH187">
            <v>0</v>
          </cell>
        </row>
        <row r="188">
          <cell r="D188" t="str">
            <v>صلواتی</v>
          </cell>
          <cell r="O188">
            <v>7605</v>
          </cell>
          <cell r="AC188" t="str">
            <v>1405/05/07</v>
          </cell>
          <cell r="AF188">
            <v>3</v>
          </cell>
          <cell r="AH188">
            <v>0</v>
          </cell>
        </row>
        <row r="189">
          <cell r="D189" t="str">
            <v>صلواتی</v>
          </cell>
          <cell r="O189">
            <v>7604</v>
          </cell>
          <cell r="AC189" t="str">
            <v>1405/05/07</v>
          </cell>
          <cell r="AF189">
            <v>1</v>
          </cell>
          <cell r="AH189">
            <v>0</v>
          </cell>
        </row>
        <row r="190">
          <cell r="D190" t="str">
            <v>یاراحمدی</v>
          </cell>
          <cell r="O190">
            <v>7502</v>
          </cell>
          <cell r="AC190" t="str">
            <v>1405/05/07</v>
          </cell>
          <cell r="AF190">
            <v>10</v>
          </cell>
          <cell r="AH190">
            <v>0</v>
          </cell>
        </row>
        <row r="191">
          <cell r="D191" t="str">
            <v>یاراحمدی</v>
          </cell>
          <cell r="O191">
            <v>7502</v>
          </cell>
          <cell r="AC191" t="str">
            <v>1405/05/07</v>
          </cell>
          <cell r="AF191">
            <v>1</v>
          </cell>
          <cell r="AH191">
            <v>0</v>
          </cell>
        </row>
        <row r="192">
          <cell r="D192" t="str">
            <v>یاراحمدی</v>
          </cell>
          <cell r="O192">
            <v>7502</v>
          </cell>
          <cell r="AC192" t="str">
            <v>1405/05/08</v>
          </cell>
          <cell r="AF192">
            <v>5.5</v>
          </cell>
          <cell r="AH192">
            <v>0</v>
          </cell>
        </row>
        <row r="193">
          <cell r="D193" t="str">
            <v>هاشم زاده</v>
          </cell>
          <cell r="O193" t="str">
            <v>مونتاژ</v>
          </cell>
          <cell r="AC193" t="str">
            <v>1405/05/07</v>
          </cell>
          <cell r="AF193">
            <v>1.5</v>
          </cell>
          <cell r="AH193">
            <v>0</v>
          </cell>
        </row>
        <row r="194">
          <cell r="D194" t="str">
            <v>هاشم زاده</v>
          </cell>
          <cell r="O194" t="str">
            <v>دمونتاژ</v>
          </cell>
          <cell r="AC194" t="str">
            <v>1405/05/07</v>
          </cell>
          <cell r="AF194">
            <v>1.5</v>
          </cell>
          <cell r="AH194">
            <v>0</v>
          </cell>
        </row>
        <row r="195">
          <cell r="D195" t="str">
            <v>هاشم زاده</v>
          </cell>
          <cell r="O195">
            <v>7401</v>
          </cell>
          <cell r="AC195" t="str">
            <v>1405/05/07</v>
          </cell>
          <cell r="AF195">
            <v>2</v>
          </cell>
          <cell r="AH195">
            <v>0</v>
          </cell>
        </row>
        <row r="196">
          <cell r="D196" t="str">
            <v>هاشم زاده</v>
          </cell>
          <cell r="O196" t="str">
            <v>مونتاژ</v>
          </cell>
          <cell r="AC196" t="str">
            <v>1405/05/07</v>
          </cell>
          <cell r="AF196">
            <v>1</v>
          </cell>
          <cell r="AH196">
            <v>0</v>
          </cell>
        </row>
        <row r="197">
          <cell r="D197" t="str">
            <v>هاشم زاده</v>
          </cell>
          <cell r="O197">
            <v>7401</v>
          </cell>
          <cell r="AC197" t="str">
            <v>1405/05/07</v>
          </cell>
          <cell r="AF197">
            <v>1</v>
          </cell>
          <cell r="AH197">
            <v>0</v>
          </cell>
        </row>
        <row r="198">
          <cell r="D198" t="str">
            <v>هاشم زاده</v>
          </cell>
          <cell r="O198" t="str">
            <v>مونتاژ</v>
          </cell>
          <cell r="AC198" t="str">
            <v>1405/05/07</v>
          </cell>
          <cell r="AF198">
            <v>1</v>
          </cell>
          <cell r="AH198">
            <v>0</v>
          </cell>
        </row>
        <row r="199">
          <cell r="D199" t="str">
            <v>هاشم زاده</v>
          </cell>
          <cell r="O199" t="str">
            <v>دمونتاژ</v>
          </cell>
          <cell r="AC199" t="str">
            <v>1405/05/08</v>
          </cell>
          <cell r="AF199">
            <v>3</v>
          </cell>
          <cell r="AH199">
            <v>0</v>
          </cell>
        </row>
        <row r="200">
          <cell r="D200" t="str">
            <v>هاشم زاده</v>
          </cell>
          <cell r="O200" t="str">
            <v>مونتاژ</v>
          </cell>
          <cell r="AC200" t="str">
            <v>1405/05/08</v>
          </cell>
          <cell r="AF200">
            <v>3</v>
          </cell>
          <cell r="AH200">
            <v>0</v>
          </cell>
        </row>
        <row r="201">
          <cell r="D201" t="str">
            <v>باقری اصل</v>
          </cell>
          <cell r="O201">
            <v>7204</v>
          </cell>
          <cell r="AC201" t="str">
            <v>1405/05/08</v>
          </cell>
          <cell r="AF201">
            <v>7.5</v>
          </cell>
          <cell r="AH201">
            <v>0</v>
          </cell>
        </row>
        <row r="202">
          <cell r="D202" t="str">
            <v>فراهی</v>
          </cell>
          <cell r="O202">
            <v>7103</v>
          </cell>
          <cell r="AC202" t="str">
            <v>1405/05/07</v>
          </cell>
          <cell r="AF202">
            <v>6.5</v>
          </cell>
          <cell r="AH202">
            <v>0</v>
          </cell>
        </row>
        <row r="203">
          <cell r="D203" t="str">
            <v>قیطاسوند</v>
          </cell>
          <cell r="O203">
            <v>7102</v>
          </cell>
          <cell r="AC203" t="str">
            <v>1405/05/08</v>
          </cell>
          <cell r="AF203">
            <v>7.5</v>
          </cell>
          <cell r="AH203">
            <v>0</v>
          </cell>
        </row>
        <row r="204">
          <cell r="D204" t="str">
            <v>حیدری</v>
          </cell>
          <cell r="O204" t="str">
            <v>دمونتاژ</v>
          </cell>
          <cell r="AC204" t="str">
            <v>1405/05/08</v>
          </cell>
          <cell r="AF204">
            <v>1</v>
          </cell>
          <cell r="AH204">
            <v>0</v>
          </cell>
        </row>
        <row r="205">
          <cell r="D205" t="str">
            <v>حیدری</v>
          </cell>
          <cell r="O205" t="str">
            <v>مونتاژ</v>
          </cell>
          <cell r="AC205" t="str">
            <v>1405/05/08</v>
          </cell>
          <cell r="AF205">
            <v>6</v>
          </cell>
          <cell r="AH205">
            <v>0</v>
          </cell>
        </row>
        <row r="206">
          <cell r="D206" t="str">
            <v>حیدری</v>
          </cell>
          <cell r="O206" t="str">
            <v>نظافت</v>
          </cell>
          <cell r="AC206" t="str">
            <v>1405/05/08</v>
          </cell>
          <cell r="AF206">
            <v>1</v>
          </cell>
          <cell r="AH206">
            <v>0</v>
          </cell>
        </row>
        <row r="207">
          <cell r="D207" t="str">
            <v>هاشم زاده</v>
          </cell>
          <cell r="O207" t="str">
            <v>دمونتاژ</v>
          </cell>
          <cell r="AC207" t="str">
            <v>1405/05/08</v>
          </cell>
          <cell r="AF207">
            <v>3</v>
          </cell>
          <cell r="AH207">
            <v>0</v>
          </cell>
        </row>
        <row r="208">
          <cell r="D208" t="str">
            <v>هاشم زاده</v>
          </cell>
          <cell r="O208" t="str">
            <v>مونتاژ</v>
          </cell>
          <cell r="AC208" t="str">
            <v>1405/05/08</v>
          </cell>
          <cell r="AF208">
            <v>2</v>
          </cell>
          <cell r="AH208">
            <v>0</v>
          </cell>
        </row>
        <row r="209">
          <cell r="D209" t="str">
            <v>هاشم زاده</v>
          </cell>
          <cell r="O209">
            <v>7502</v>
          </cell>
          <cell r="AC209" t="str">
            <v>1405/05/08</v>
          </cell>
          <cell r="AF209">
            <v>2</v>
          </cell>
          <cell r="AH209">
            <v>0</v>
          </cell>
        </row>
        <row r="210">
          <cell r="D210" t="str">
            <v>هاشم زاده</v>
          </cell>
          <cell r="O210" t="str">
            <v>نظافت</v>
          </cell>
          <cell r="AC210" t="str">
            <v>1405/05/08</v>
          </cell>
          <cell r="AF210">
            <v>1</v>
          </cell>
          <cell r="AH210">
            <v>0</v>
          </cell>
        </row>
        <row r="211">
          <cell r="D211" t="str">
            <v>صلواتی</v>
          </cell>
          <cell r="O211">
            <v>7601</v>
          </cell>
          <cell r="AC211" t="str">
            <v>1405/05/08</v>
          </cell>
          <cell r="AF211">
            <v>8</v>
          </cell>
          <cell r="AH211">
            <v>0</v>
          </cell>
        </row>
        <row r="212">
          <cell r="D212" t="str">
            <v>صلواتی</v>
          </cell>
          <cell r="O212">
            <v>7602</v>
          </cell>
          <cell r="AC212" t="str">
            <v>1405/05/08</v>
          </cell>
          <cell r="AF212">
            <v>8</v>
          </cell>
          <cell r="AH212">
            <v>0</v>
          </cell>
        </row>
        <row r="213">
          <cell r="D213" t="str">
            <v>صلواتی</v>
          </cell>
          <cell r="O213">
            <v>7604</v>
          </cell>
          <cell r="AC213" t="str">
            <v>1405/05/08</v>
          </cell>
          <cell r="AF213">
            <v>8</v>
          </cell>
          <cell r="AH213">
            <v>0</v>
          </cell>
        </row>
        <row r="214">
          <cell r="D214" t="str">
            <v>صلواتی</v>
          </cell>
          <cell r="O214">
            <v>7605</v>
          </cell>
          <cell r="AC214" t="str">
            <v>1405/05/08</v>
          </cell>
          <cell r="AF214">
            <v>8</v>
          </cell>
          <cell r="AH214">
            <v>0</v>
          </cell>
        </row>
        <row r="215">
          <cell r="D215" t="str">
            <v>موسوی</v>
          </cell>
          <cell r="O215">
            <v>7302</v>
          </cell>
          <cell r="AC215" t="str">
            <v>1405/05/08</v>
          </cell>
          <cell r="AF215">
            <v>4</v>
          </cell>
          <cell r="AH215">
            <v>0</v>
          </cell>
        </row>
        <row r="216">
          <cell r="D216" t="str">
            <v>موسوی</v>
          </cell>
          <cell r="O216">
            <v>7302</v>
          </cell>
          <cell r="AC216" t="str">
            <v>1405/05/08</v>
          </cell>
          <cell r="AF216">
            <v>1</v>
          </cell>
          <cell r="AH216">
            <v>0</v>
          </cell>
        </row>
        <row r="217">
          <cell r="D217" t="str">
            <v>موسوی</v>
          </cell>
          <cell r="O217">
            <v>7302</v>
          </cell>
          <cell r="AC217" t="str">
            <v>1405/05/08</v>
          </cell>
          <cell r="AF217">
            <v>1</v>
          </cell>
          <cell r="AH217">
            <v>0</v>
          </cell>
        </row>
        <row r="218">
          <cell r="D218" t="str">
            <v>موسوی</v>
          </cell>
          <cell r="O218" t="str">
            <v>نظافت</v>
          </cell>
          <cell r="AC218" t="str">
            <v>1405/05/08</v>
          </cell>
          <cell r="AF218">
            <v>1</v>
          </cell>
          <cell r="AH218">
            <v>0</v>
          </cell>
        </row>
        <row r="219">
          <cell r="D219" t="str">
            <v>خیرخواه</v>
          </cell>
          <cell r="O219" t="str">
            <v>دمونتاژ</v>
          </cell>
          <cell r="AC219" t="str">
            <v>1405/05/08</v>
          </cell>
          <cell r="AF219">
            <v>2</v>
          </cell>
          <cell r="AH219">
            <v>0</v>
          </cell>
        </row>
        <row r="220">
          <cell r="D220" t="str">
            <v>خیرخواه</v>
          </cell>
          <cell r="O220" t="str">
            <v>دمونتاژ</v>
          </cell>
          <cell r="AC220" t="str">
            <v>1405/05/08</v>
          </cell>
          <cell r="AF220">
            <v>1</v>
          </cell>
          <cell r="AH220">
            <v>0</v>
          </cell>
        </row>
        <row r="221">
          <cell r="D221" t="str">
            <v>خیرخواه</v>
          </cell>
          <cell r="O221" t="str">
            <v>مونتاژ</v>
          </cell>
          <cell r="AC221" t="str">
            <v>1405/05/08</v>
          </cell>
          <cell r="AF221">
            <v>1</v>
          </cell>
          <cell r="AH221">
            <v>0</v>
          </cell>
        </row>
        <row r="222">
          <cell r="D222" t="str">
            <v>خیرخواه</v>
          </cell>
          <cell r="O222" t="str">
            <v>نظافت</v>
          </cell>
          <cell r="AC222" t="str">
            <v>1405/05/08</v>
          </cell>
          <cell r="AF222">
            <v>1</v>
          </cell>
          <cell r="AH222">
            <v>0</v>
          </cell>
        </row>
        <row r="223">
          <cell r="D223" t="str">
            <v>قیطاسوند</v>
          </cell>
          <cell r="O223">
            <v>7102</v>
          </cell>
          <cell r="AC223" t="str">
            <v>1405/05/10</v>
          </cell>
          <cell r="AF223">
            <v>11</v>
          </cell>
          <cell r="AH223">
            <v>0</v>
          </cell>
        </row>
        <row r="224">
          <cell r="D224" t="str">
            <v>کاظمی</v>
          </cell>
          <cell r="O224">
            <v>7202</v>
          </cell>
          <cell r="AC224" t="str">
            <v>1405/05/10</v>
          </cell>
          <cell r="AF224">
            <v>5.5</v>
          </cell>
          <cell r="AH224">
            <v>0</v>
          </cell>
        </row>
        <row r="225">
          <cell r="D225" t="str">
            <v>مطهری</v>
          </cell>
          <cell r="O225">
            <v>7203</v>
          </cell>
          <cell r="AC225" t="str">
            <v>1405/05/10</v>
          </cell>
          <cell r="AF225">
            <v>7.5</v>
          </cell>
          <cell r="AH225">
            <v>0</v>
          </cell>
        </row>
        <row r="226">
          <cell r="D226" t="str">
            <v>باقری اصل</v>
          </cell>
          <cell r="O226">
            <v>7204</v>
          </cell>
          <cell r="AC226" t="str">
            <v>1405/05/10</v>
          </cell>
          <cell r="AF226">
            <v>7.5</v>
          </cell>
          <cell r="AH226">
            <v>0</v>
          </cell>
        </row>
        <row r="227">
          <cell r="D227" t="str">
            <v>باقری اصل</v>
          </cell>
          <cell r="O227">
            <v>7204</v>
          </cell>
          <cell r="AC227" t="str">
            <v>1405/05/11</v>
          </cell>
          <cell r="AF227">
            <v>7.5</v>
          </cell>
          <cell r="AH227">
            <v>0</v>
          </cell>
        </row>
        <row r="228">
          <cell r="D228" t="str">
            <v>حیدری</v>
          </cell>
          <cell r="O228" t="str">
            <v>مونتاژ</v>
          </cell>
          <cell r="AC228" t="str">
            <v>1405/05/10</v>
          </cell>
          <cell r="AF228">
            <v>7.5</v>
          </cell>
          <cell r="AH228">
            <v>0</v>
          </cell>
        </row>
        <row r="229">
          <cell r="D229" t="str">
            <v>حیدری</v>
          </cell>
          <cell r="O229" t="str">
            <v>مونتاژ</v>
          </cell>
          <cell r="AC229" t="str">
            <v>1405/05/11</v>
          </cell>
          <cell r="AF229">
            <v>7.5</v>
          </cell>
          <cell r="AH229">
            <v>0</v>
          </cell>
        </row>
        <row r="230">
          <cell r="D230" t="str">
            <v>یاراحمدی</v>
          </cell>
          <cell r="O230">
            <v>7502</v>
          </cell>
          <cell r="AC230" t="str">
            <v>1405/05/10</v>
          </cell>
          <cell r="AF230">
            <v>3</v>
          </cell>
          <cell r="AH230">
            <v>0</v>
          </cell>
        </row>
        <row r="231">
          <cell r="D231" t="str">
            <v>یاراحمدی</v>
          </cell>
          <cell r="O231">
            <v>7502</v>
          </cell>
          <cell r="AC231" t="str">
            <v>1405/05/10</v>
          </cell>
          <cell r="AF231">
            <v>2</v>
          </cell>
          <cell r="AH231">
            <v>0</v>
          </cell>
        </row>
        <row r="232">
          <cell r="D232" t="str">
            <v>یاراحمدی</v>
          </cell>
          <cell r="O232">
            <v>7502</v>
          </cell>
          <cell r="AC232" t="str">
            <v>1405/05/11</v>
          </cell>
          <cell r="AF232">
            <v>8</v>
          </cell>
          <cell r="AH232">
            <v>0</v>
          </cell>
        </row>
        <row r="233">
          <cell r="D233" t="str">
            <v>یاراحمدی</v>
          </cell>
          <cell r="O233">
            <v>7501</v>
          </cell>
          <cell r="AC233" t="str">
            <v>1405/05/11</v>
          </cell>
          <cell r="AF233">
            <v>3</v>
          </cell>
          <cell r="AH233">
            <v>0</v>
          </cell>
        </row>
        <row r="234">
          <cell r="D234" t="str">
            <v>فراهی</v>
          </cell>
          <cell r="O234">
            <v>7103</v>
          </cell>
          <cell r="AC234" t="str">
            <v>1405/05/10</v>
          </cell>
          <cell r="AF234">
            <v>3.5</v>
          </cell>
          <cell r="AH234">
            <v>0</v>
          </cell>
        </row>
        <row r="235">
          <cell r="D235" t="str">
            <v>فراهی</v>
          </cell>
          <cell r="O235">
            <v>7103</v>
          </cell>
          <cell r="AC235" t="str">
            <v>1405/05/10</v>
          </cell>
          <cell r="AF235">
            <v>3</v>
          </cell>
          <cell r="AH235">
            <v>0</v>
          </cell>
        </row>
        <row r="236">
          <cell r="D236" t="str">
            <v>فراهی</v>
          </cell>
          <cell r="O236">
            <v>7103</v>
          </cell>
          <cell r="AC236" t="str">
            <v>1405/05/11</v>
          </cell>
          <cell r="AF236">
            <v>2</v>
          </cell>
          <cell r="AH236">
            <v>0</v>
          </cell>
        </row>
        <row r="237">
          <cell r="D237" t="str">
            <v>خیرخواه</v>
          </cell>
          <cell r="O237" t="str">
            <v>مونتاژ</v>
          </cell>
          <cell r="AC237" t="str">
            <v>1405/05/10</v>
          </cell>
          <cell r="AF237">
            <v>3</v>
          </cell>
          <cell r="AH237">
            <v>0</v>
          </cell>
        </row>
        <row r="238">
          <cell r="D238" t="str">
            <v>خیرخواه</v>
          </cell>
          <cell r="O238">
            <v>7401</v>
          </cell>
          <cell r="AC238" t="str">
            <v>1405/05/10</v>
          </cell>
          <cell r="AF238">
            <v>2</v>
          </cell>
          <cell r="AH238">
            <v>0</v>
          </cell>
        </row>
        <row r="239">
          <cell r="D239" t="str">
            <v>خیرخواه</v>
          </cell>
          <cell r="O239" t="str">
            <v>دمونتاژ</v>
          </cell>
          <cell r="AC239" t="str">
            <v>1405/05/10</v>
          </cell>
          <cell r="AF239">
            <v>0.5</v>
          </cell>
          <cell r="AH239">
            <v>0</v>
          </cell>
        </row>
        <row r="240">
          <cell r="D240" t="str">
            <v>خیرخواه</v>
          </cell>
          <cell r="O240" t="str">
            <v>مونتاژ</v>
          </cell>
          <cell r="AC240" t="str">
            <v>1405/05/10</v>
          </cell>
          <cell r="AF240">
            <v>2</v>
          </cell>
          <cell r="AH240">
            <v>0</v>
          </cell>
        </row>
        <row r="241">
          <cell r="D241" t="str">
            <v>موسوی</v>
          </cell>
          <cell r="O241">
            <v>7302</v>
          </cell>
          <cell r="AC241" t="str">
            <v>1405/05/10</v>
          </cell>
          <cell r="AF241">
            <v>2</v>
          </cell>
          <cell r="AH241">
            <v>0</v>
          </cell>
        </row>
        <row r="242">
          <cell r="D242" t="str">
            <v>موسوی</v>
          </cell>
          <cell r="O242" t="str">
            <v>مونتاژ</v>
          </cell>
          <cell r="AC242" t="str">
            <v>1405/05/10</v>
          </cell>
          <cell r="AF242">
            <v>2</v>
          </cell>
          <cell r="AH242">
            <v>0</v>
          </cell>
        </row>
        <row r="243">
          <cell r="D243" t="str">
            <v>موسوی</v>
          </cell>
          <cell r="O243">
            <v>7302</v>
          </cell>
          <cell r="AC243" t="str">
            <v>1405/05/11</v>
          </cell>
          <cell r="AF243">
            <v>2</v>
          </cell>
          <cell r="AH243">
            <v>0</v>
          </cell>
        </row>
        <row r="244">
          <cell r="D244" t="str">
            <v>موسوی</v>
          </cell>
          <cell r="O244">
            <v>7302</v>
          </cell>
          <cell r="AC244" t="str">
            <v>1405/05/11</v>
          </cell>
          <cell r="AF244">
            <v>1</v>
          </cell>
          <cell r="AH244">
            <v>0</v>
          </cell>
        </row>
        <row r="245">
          <cell r="D245" t="str">
            <v>موسوی</v>
          </cell>
          <cell r="O245">
            <v>7302</v>
          </cell>
          <cell r="AC245" t="str">
            <v>1405/05/11</v>
          </cell>
          <cell r="AF245">
            <v>4</v>
          </cell>
          <cell r="AH245">
            <v>0</v>
          </cell>
        </row>
        <row r="246">
          <cell r="D246" t="str">
            <v>هاشم زاده</v>
          </cell>
          <cell r="O246" t="str">
            <v>دمونتاژ</v>
          </cell>
          <cell r="AC246" t="str">
            <v>1405/05/10</v>
          </cell>
          <cell r="AF246">
            <v>1.5</v>
          </cell>
          <cell r="AH246">
            <v>0</v>
          </cell>
        </row>
        <row r="247">
          <cell r="D247" t="str">
            <v>هاشم زاده</v>
          </cell>
          <cell r="O247" t="str">
            <v>دمونتاژ</v>
          </cell>
          <cell r="AC247" t="str">
            <v>1405/05/10</v>
          </cell>
          <cell r="AF247">
            <v>1.5</v>
          </cell>
          <cell r="AH247">
            <v>0</v>
          </cell>
        </row>
        <row r="248">
          <cell r="D248" t="str">
            <v>هاشم زاده</v>
          </cell>
          <cell r="O248" t="str">
            <v>مونتاژ</v>
          </cell>
          <cell r="AC248" t="str">
            <v>1405/05/10</v>
          </cell>
          <cell r="AF248">
            <v>2</v>
          </cell>
          <cell r="AH248">
            <v>0</v>
          </cell>
        </row>
        <row r="249">
          <cell r="D249" t="str">
            <v>هاشم زاده</v>
          </cell>
          <cell r="O249" t="str">
            <v>مونتاژ</v>
          </cell>
          <cell r="AC249" t="str">
            <v>1405/05/10</v>
          </cell>
          <cell r="AF249">
            <v>2.5</v>
          </cell>
          <cell r="AH249">
            <v>0</v>
          </cell>
        </row>
        <row r="250">
          <cell r="D250" t="str">
            <v>هاشم زاده</v>
          </cell>
          <cell r="O250">
            <v>8001</v>
          </cell>
          <cell r="AC250" t="str">
            <v>1405/05/11</v>
          </cell>
          <cell r="AF250">
            <v>4</v>
          </cell>
          <cell r="AH250">
            <v>0</v>
          </cell>
        </row>
        <row r="251">
          <cell r="D251" t="str">
            <v>هاشم زاده</v>
          </cell>
          <cell r="O251" t="str">
            <v>مونتاژ</v>
          </cell>
          <cell r="AC251" t="str">
            <v>1405/05/11</v>
          </cell>
          <cell r="AF251">
            <v>3</v>
          </cell>
          <cell r="AH251">
            <v>0</v>
          </cell>
        </row>
        <row r="252">
          <cell r="D252" t="str">
            <v>خیرخواه</v>
          </cell>
          <cell r="O252">
            <v>7401</v>
          </cell>
          <cell r="AC252" t="str">
            <v>1405/05/11</v>
          </cell>
          <cell r="AF252">
            <v>2.5</v>
          </cell>
          <cell r="AH252">
            <v>0</v>
          </cell>
        </row>
        <row r="253">
          <cell r="D253" t="str">
            <v>خیرخواه</v>
          </cell>
          <cell r="O253" t="str">
            <v>مونتاژ</v>
          </cell>
          <cell r="AC253" t="str">
            <v>1405/05/11</v>
          </cell>
          <cell r="AF253">
            <v>2.5</v>
          </cell>
          <cell r="AH253">
            <v>0</v>
          </cell>
        </row>
        <row r="254">
          <cell r="D254" t="str">
            <v>مطهری</v>
          </cell>
          <cell r="O254">
            <v>7203</v>
          </cell>
          <cell r="AC254" t="str">
            <v>1405/05/12</v>
          </cell>
          <cell r="AF254">
            <v>7.5</v>
          </cell>
          <cell r="AH254">
            <v>0</v>
          </cell>
        </row>
        <row r="255">
          <cell r="D255" t="str">
            <v>فراهی</v>
          </cell>
          <cell r="O255">
            <v>7103</v>
          </cell>
          <cell r="AC255" t="str">
            <v>1405/05/10</v>
          </cell>
          <cell r="AF255">
            <v>5</v>
          </cell>
          <cell r="AH255">
            <v>0</v>
          </cell>
        </row>
        <row r="256">
          <cell r="D256" t="str">
            <v>فراهی</v>
          </cell>
          <cell r="O256">
            <v>7103</v>
          </cell>
          <cell r="AC256" t="str">
            <v>1405/05/11</v>
          </cell>
          <cell r="AF256">
            <v>7.5</v>
          </cell>
          <cell r="AH256">
            <v>0</v>
          </cell>
        </row>
        <row r="257">
          <cell r="D257" t="str">
            <v>یاراحمدی</v>
          </cell>
          <cell r="O257">
            <v>7501</v>
          </cell>
          <cell r="AC257" t="str">
            <v>1405/05/12</v>
          </cell>
          <cell r="AF257">
            <v>7.5</v>
          </cell>
          <cell r="AH257">
            <v>0</v>
          </cell>
        </row>
        <row r="258">
          <cell r="D258" t="str">
            <v>خیرخواه</v>
          </cell>
          <cell r="O258" t="str">
            <v>مونتاژ</v>
          </cell>
          <cell r="AC258" t="str">
            <v>1405/05/12</v>
          </cell>
          <cell r="AF258">
            <v>2</v>
          </cell>
          <cell r="AH258">
            <v>0</v>
          </cell>
        </row>
        <row r="259">
          <cell r="D259" t="str">
            <v>خیرخواه</v>
          </cell>
          <cell r="O259" t="str">
            <v>مونتاژ</v>
          </cell>
          <cell r="AC259" t="str">
            <v>1405/05/12</v>
          </cell>
          <cell r="AF259">
            <v>3.5</v>
          </cell>
          <cell r="AH259">
            <v>0</v>
          </cell>
        </row>
        <row r="260">
          <cell r="D260" t="str">
            <v>باقری اصل</v>
          </cell>
          <cell r="O260">
            <v>7204</v>
          </cell>
          <cell r="AC260" t="str">
            <v>1405/05/12</v>
          </cell>
          <cell r="AF260">
            <v>5.5</v>
          </cell>
          <cell r="AH260">
            <v>0</v>
          </cell>
        </row>
        <row r="261">
          <cell r="D261" t="str">
            <v>باقری اصل</v>
          </cell>
          <cell r="O261">
            <v>7204</v>
          </cell>
          <cell r="AC261" t="str">
            <v>1405/05/13</v>
          </cell>
          <cell r="AF261">
            <v>4.5</v>
          </cell>
          <cell r="AH261">
            <v>0</v>
          </cell>
        </row>
        <row r="262">
          <cell r="D262" t="str">
            <v>حیدری</v>
          </cell>
          <cell r="O262" t="str">
            <v>مونتاژ</v>
          </cell>
          <cell r="AC262" t="str">
            <v>1405/05/12</v>
          </cell>
          <cell r="AF262">
            <v>2</v>
          </cell>
          <cell r="AH262">
            <v>0</v>
          </cell>
        </row>
        <row r="263">
          <cell r="D263" t="str">
            <v>حیدری</v>
          </cell>
          <cell r="O263" t="str">
            <v>مونتاژ</v>
          </cell>
          <cell r="AC263" t="str">
            <v>1405/05/12</v>
          </cell>
          <cell r="AF263">
            <v>2</v>
          </cell>
          <cell r="AH263">
            <v>0</v>
          </cell>
        </row>
        <row r="264">
          <cell r="D264" t="str">
            <v>حیدری</v>
          </cell>
          <cell r="O264">
            <v>7301</v>
          </cell>
          <cell r="AC264" t="str">
            <v>1405/05/12</v>
          </cell>
          <cell r="AF264">
            <v>1</v>
          </cell>
          <cell r="AH264">
            <v>0</v>
          </cell>
        </row>
        <row r="265">
          <cell r="D265" t="str">
            <v>حیدری</v>
          </cell>
          <cell r="O265">
            <v>7101</v>
          </cell>
          <cell r="AC265" t="str">
            <v>1405/05/12</v>
          </cell>
          <cell r="AF265">
            <v>1</v>
          </cell>
          <cell r="AH265">
            <v>0</v>
          </cell>
        </row>
        <row r="266">
          <cell r="D266" t="str">
            <v>هاشم زاده</v>
          </cell>
          <cell r="O266" t="str">
            <v>مونتاژ</v>
          </cell>
          <cell r="AC266" t="str">
            <v>1405/05/12</v>
          </cell>
          <cell r="AF266">
            <v>4</v>
          </cell>
          <cell r="AH266">
            <v>0</v>
          </cell>
        </row>
        <row r="267">
          <cell r="D267" t="str">
            <v>هاشم زاده</v>
          </cell>
          <cell r="O267" t="str">
            <v>مونتاژ</v>
          </cell>
          <cell r="AC267" t="str">
            <v>1405/05/12</v>
          </cell>
          <cell r="AF267">
            <v>2</v>
          </cell>
          <cell r="AH267">
            <v>0</v>
          </cell>
        </row>
        <row r="268">
          <cell r="D268" t="str">
            <v>هاشم زاده</v>
          </cell>
          <cell r="O268" t="str">
            <v>مونتاژ</v>
          </cell>
          <cell r="AC268" t="str">
            <v>1405/05/12</v>
          </cell>
          <cell r="AF268">
            <v>1</v>
          </cell>
          <cell r="AH268">
            <v>0</v>
          </cell>
        </row>
        <row r="269">
          <cell r="D269" t="str">
            <v>قیطاسوند</v>
          </cell>
          <cell r="O269">
            <v>7102</v>
          </cell>
          <cell r="AC269" t="str">
            <v>1405/05/13</v>
          </cell>
          <cell r="AF269">
            <v>7.5</v>
          </cell>
          <cell r="AH269">
            <v>0</v>
          </cell>
        </row>
        <row r="270">
          <cell r="D270" t="str">
            <v>باقری اصل</v>
          </cell>
          <cell r="O270">
            <v>7204</v>
          </cell>
          <cell r="AC270" t="str">
            <v>1405/05/13</v>
          </cell>
          <cell r="AF270">
            <v>4.5</v>
          </cell>
          <cell r="AH270">
            <v>0</v>
          </cell>
        </row>
        <row r="271">
          <cell r="D271" t="str">
            <v>زیلویی</v>
          </cell>
          <cell r="O271">
            <v>7202</v>
          </cell>
          <cell r="AC271" t="str">
            <v>1405/05/13</v>
          </cell>
          <cell r="AF271">
            <v>7</v>
          </cell>
          <cell r="AH271">
            <v>0</v>
          </cell>
        </row>
        <row r="272">
          <cell r="D272" t="str">
            <v>مطهری</v>
          </cell>
          <cell r="O272">
            <v>7203</v>
          </cell>
          <cell r="AC272" t="str">
            <v>1405/05/13</v>
          </cell>
          <cell r="AF272">
            <v>7.5</v>
          </cell>
          <cell r="AH272">
            <v>0</v>
          </cell>
        </row>
        <row r="273">
          <cell r="D273" t="str">
            <v>خیرخواه</v>
          </cell>
          <cell r="O273">
            <v>7401</v>
          </cell>
          <cell r="AC273" t="str">
            <v>1405/05/13</v>
          </cell>
          <cell r="AF273">
            <v>2.5</v>
          </cell>
          <cell r="AH273">
            <v>0</v>
          </cell>
        </row>
        <row r="274">
          <cell r="D274" t="str">
            <v>خیرخواه</v>
          </cell>
          <cell r="O274">
            <v>7301</v>
          </cell>
          <cell r="AC274" t="str">
            <v>1405/05/13</v>
          </cell>
          <cell r="AF274">
            <v>3</v>
          </cell>
          <cell r="AH274">
            <v>0</v>
          </cell>
        </row>
        <row r="275">
          <cell r="D275" t="str">
            <v>خیرخواه</v>
          </cell>
          <cell r="O275" t="str">
            <v>مونتاژ</v>
          </cell>
          <cell r="AC275" t="str">
            <v>1405/05/16</v>
          </cell>
          <cell r="AF275">
            <v>2</v>
          </cell>
          <cell r="AH275">
            <v>0</v>
          </cell>
        </row>
        <row r="276">
          <cell r="D276" t="str">
            <v>خیرخواه</v>
          </cell>
          <cell r="O276" t="str">
            <v>دمونتاژ</v>
          </cell>
          <cell r="AC276" t="str">
            <v>1405/05/16</v>
          </cell>
          <cell r="AF276">
            <v>2</v>
          </cell>
          <cell r="AH276">
            <v>0</v>
          </cell>
        </row>
        <row r="277">
          <cell r="D277" t="str">
            <v>خیرخواه</v>
          </cell>
          <cell r="O277" t="str">
            <v>دمونتاژ</v>
          </cell>
          <cell r="AC277" t="str">
            <v>1405/05/16</v>
          </cell>
          <cell r="AF277">
            <v>2</v>
          </cell>
          <cell r="AH277">
            <v>0</v>
          </cell>
        </row>
        <row r="278">
          <cell r="D278" t="str">
            <v>حیدری</v>
          </cell>
          <cell r="O278">
            <v>7301</v>
          </cell>
          <cell r="AC278" t="str">
            <v>1405/05/16</v>
          </cell>
          <cell r="AF278">
            <v>4.666666666666667</v>
          </cell>
          <cell r="AH278">
            <v>0</v>
          </cell>
        </row>
        <row r="279">
          <cell r="D279" t="str">
            <v>حیدری</v>
          </cell>
          <cell r="O279">
            <v>8001</v>
          </cell>
          <cell r="AC279" t="str">
            <v>1405/05/16</v>
          </cell>
          <cell r="AF279">
            <v>7.5</v>
          </cell>
          <cell r="AH279">
            <v>0</v>
          </cell>
        </row>
        <row r="280">
          <cell r="D280" t="str">
            <v>مطهری</v>
          </cell>
          <cell r="O280">
            <v>7203</v>
          </cell>
          <cell r="AC280" t="str">
            <v>1405/05/16</v>
          </cell>
          <cell r="AF280">
            <v>7.5</v>
          </cell>
          <cell r="AH280">
            <v>0</v>
          </cell>
        </row>
        <row r="281">
          <cell r="D281" t="str">
            <v>حیدری</v>
          </cell>
          <cell r="O281">
            <v>7501</v>
          </cell>
          <cell r="AC281" t="str">
            <v>1405/05/16</v>
          </cell>
          <cell r="AF281">
            <v>4.5</v>
          </cell>
          <cell r="AH281">
            <v>0</v>
          </cell>
        </row>
        <row r="282">
          <cell r="D282" t="str">
            <v>قیطاسوند</v>
          </cell>
          <cell r="O282">
            <v>7102</v>
          </cell>
          <cell r="AC282" t="str">
            <v>1405/05/16</v>
          </cell>
          <cell r="AF282">
            <v>7.5</v>
          </cell>
          <cell r="AH282">
            <v>0</v>
          </cell>
        </row>
        <row r="283">
          <cell r="D283" t="str">
            <v>یاراحمدی</v>
          </cell>
          <cell r="O283">
            <v>7501</v>
          </cell>
          <cell r="AC283" t="str">
            <v>1405/05/14</v>
          </cell>
          <cell r="AF283">
            <v>5</v>
          </cell>
          <cell r="AH283">
            <v>0</v>
          </cell>
        </row>
        <row r="284">
          <cell r="D284" t="str">
            <v>یاراحمدی</v>
          </cell>
          <cell r="O284">
            <v>7501</v>
          </cell>
          <cell r="AC284" t="str">
            <v>1405/05/14</v>
          </cell>
          <cell r="AF284">
            <v>2</v>
          </cell>
          <cell r="AH284">
            <v>0</v>
          </cell>
        </row>
        <row r="285">
          <cell r="D285" t="str">
            <v>یاراحمدی</v>
          </cell>
          <cell r="O285">
            <v>7502</v>
          </cell>
          <cell r="AC285" t="str">
            <v>1405/05/17</v>
          </cell>
          <cell r="AF285">
            <v>11</v>
          </cell>
          <cell r="AH285">
            <v>0</v>
          </cell>
        </row>
        <row r="286">
          <cell r="D286" t="str">
            <v>یاراحمدی</v>
          </cell>
          <cell r="O286">
            <v>7501</v>
          </cell>
          <cell r="AC286" t="str">
            <v>1405/05/17</v>
          </cell>
          <cell r="AF286">
            <v>2</v>
          </cell>
          <cell r="AH286">
            <v>0</v>
          </cell>
        </row>
        <row r="287">
          <cell r="D287" t="str">
            <v>یاراحمدی</v>
          </cell>
          <cell r="O287">
            <v>7501</v>
          </cell>
          <cell r="AC287" t="str">
            <v>1405/05/17</v>
          </cell>
          <cell r="AF287">
            <v>1</v>
          </cell>
          <cell r="AH287">
            <v>0</v>
          </cell>
        </row>
        <row r="288">
          <cell r="D288" t="str">
            <v>فراهی</v>
          </cell>
          <cell r="O288">
            <v>7103</v>
          </cell>
          <cell r="AC288" t="str">
            <v>1405/05/14</v>
          </cell>
          <cell r="AF288">
            <v>6.5</v>
          </cell>
          <cell r="AH288">
            <v>0</v>
          </cell>
        </row>
        <row r="289">
          <cell r="D289" t="str">
            <v>فراهی</v>
          </cell>
          <cell r="O289">
            <v>7103</v>
          </cell>
          <cell r="AC289" t="str">
            <v>1405/05/17</v>
          </cell>
          <cell r="AF289">
            <v>6.5</v>
          </cell>
          <cell r="AH289">
            <v>0</v>
          </cell>
        </row>
        <row r="290">
          <cell r="D290" t="str">
            <v>هاشم زاده</v>
          </cell>
          <cell r="O290" t="str">
            <v>مونتاژ</v>
          </cell>
          <cell r="AC290" t="str">
            <v>1405/05/14</v>
          </cell>
          <cell r="AF290">
            <v>5</v>
          </cell>
          <cell r="AH290">
            <v>0</v>
          </cell>
        </row>
        <row r="291">
          <cell r="D291" t="str">
            <v>هاشم زاده</v>
          </cell>
          <cell r="O291" t="str">
            <v>دمونتاژ</v>
          </cell>
          <cell r="AC291" t="str">
            <v>1405/05/15</v>
          </cell>
          <cell r="AF291">
            <v>6.5</v>
          </cell>
          <cell r="AH291">
            <v>0</v>
          </cell>
        </row>
        <row r="292">
          <cell r="D292" t="str">
            <v>هاشم زاده</v>
          </cell>
          <cell r="O292" t="str">
            <v>نظافت</v>
          </cell>
          <cell r="AC292" t="str">
            <v>1405/05/15</v>
          </cell>
          <cell r="AF292">
            <v>1</v>
          </cell>
          <cell r="AH292">
            <v>0</v>
          </cell>
        </row>
        <row r="293">
          <cell r="D293" t="str">
            <v>باقری اصل</v>
          </cell>
          <cell r="O293">
            <v>7204</v>
          </cell>
          <cell r="AC293" t="str">
            <v>1405/05/14</v>
          </cell>
          <cell r="AF293">
            <v>7.5</v>
          </cell>
          <cell r="AH293">
            <v>0</v>
          </cell>
        </row>
        <row r="294">
          <cell r="D294" t="str">
            <v>زیلویی</v>
          </cell>
          <cell r="O294">
            <v>7202</v>
          </cell>
          <cell r="AC294" t="str">
            <v>1405/05/14</v>
          </cell>
          <cell r="AF294">
            <v>7.5</v>
          </cell>
          <cell r="AH294">
            <v>0</v>
          </cell>
        </row>
        <row r="295">
          <cell r="D295" t="str">
            <v>قیطاسوند</v>
          </cell>
          <cell r="O295">
            <v>7102</v>
          </cell>
          <cell r="AC295" t="str">
            <v>1405/05/15</v>
          </cell>
          <cell r="AF295">
            <v>4.5</v>
          </cell>
          <cell r="AH295">
            <v>3</v>
          </cell>
        </row>
        <row r="296">
          <cell r="D296" t="str">
            <v>قیطاسوند</v>
          </cell>
          <cell r="O296">
            <v>7102</v>
          </cell>
          <cell r="AC296" t="str">
            <v>1405/05/17</v>
          </cell>
          <cell r="AF296">
            <v>11</v>
          </cell>
          <cell r="AH296">
            <v>0</v>
          </cell>
        </row>
        <row r="297">
          <cell r="D297" t="str">
            <v>زیلویی</v>
          </cell>
          <cell r="O297">
            <v>7202</v>
          </cell>
          <cell r="AC297" t="str">
            <v>1405/05/17</v>
          </cell>
          <cell r="AF297">
            <v>7.5</v>
          </cell>
          <cell r="AH297">
            <v>0</v>
          </cell>
        </row>
        <row r="298">
          <cell r="D298" t="str">
            <v>باقری اصل</v>
          </cell>
          <cell r="O298">
            <v>7204</v>
          </cell>
          <cell r="AC298" t="str">
            <v>1405/05/15</v>
          </cell>
          <cell r="AF298">
            <v>7.5</v>
          </cell>
          <cell r="AH298">
            <v>0</v>
          </cell>
        </row>
        <row r="299">
          <cell r="D299" t="str">
            <v>باقری اصل</v>
          </cell>
          <cell r="O299">
            <v>7204</v>
          </cell>
          <cell r="AC299" t="str">
            <v>1405/05/16</v>
          </cell>
          <cell r="AF299">
            <v>4.5</v>
          </cell>
          <cell r="AH299">
            <v>0</v>
          </cell>
        </row>
        <row r="300">
          <cell r="D300" t="str">
            <v>باقری اصل</v>
          </cell>
          <cell r="O300">
            <v>7204</v>
          </cell>
          <cell r="AC300" t="str">
            <v>1405/05/17</v>
          </cell>
          <cell r="AF300">
            <v>11</v>
          </cell>
          <cell r="AH300">
            <v>0</v>
          </cell>
        </row>
        <row r="301">
          <cell r="D301" t="str">
            <v>صلواتی</v>
          </cell>
          <cell r="O301">
            <v>7601</v>
          </cell>
          <cell r="AC301" t="str">
            <v>1405/05/15</v>
          </cell>
          <cell r="AF301">
            <v>12</v>
          </cell>
          <cell r="AH301">
            <v>0</v>
          </cell>
        </row>
        <row r="302">
          <cell r="D302" t="str">
            <v>صلواتی</v>
          </cell>
          <cell r="O302">
            <v>7602</v>
          </cell>
          <cell r="AC302" t="str">
            <v>1405/05/15</v>
          </cell>
          <cell r="AF302">
            <v>4</v>
          </cell>
          <cell r="AH302">
            <v>0</v>
          </cell>
        </row>
        <row r="303">
          <cell r="D303" t="str">
            <v>صلواتی</v>
          </cell>
          <cell r="O303">
            <v>7602</v>
          </cell>
          <cell r="AC303" t="str">
            <v>1405/05/15</v>
          </cell>
          <cell r="AF303">
            <v>3</v>
          </cell>
          <cell r="AH303">
            <v>0</v>
          </cell>
        </row>
        <row r="304">
          <cell r="D304" t="str">
            <v>صلواتی</v>
          </cell>
          <cell r="O304">
            <v>7605</v>
          </cell>
          <cell r="AC304" t="str">
            <v>1405/05/15</v>
          </cell>
          <cell r="AF304">
            <v>9</v>
          </cell>
          <cell r="AH304">
            <v>0</v>
          </cell>
        </row>
        <row r="305">
          <cell r="D305" t="str">
            <v>صلواتی</v>
          </cell>
          <cell r="O305">
            <v>7604</v>
          </cell>
          <cell r="AC305" t="str">
            <v>1405/05/15</v>
          </cell>
          <cell r="AF305">
            <v>8</v>
          </cell>
          <cell r="AH305">
            <v>0</v>
          </cell>
        </row>
        <row r="306">
          <cell r="D306" t="str">
            <v>صلواتی</v>
          </cell>
          <cell r="O306">
            <v>7701</v>
          </cell>
          <cell r="AC306" t="str">
            <v>1405/05/15</v>
          </cell>
          <cell r="AF306">
            <v>0.5</v>
          </cell>
          <cell r="AH306">
            <v>0</v>
          </cell>
        </row>
        <row r="307">
          <cell r="D307" t="str">
            <v>هاشم زاده</v>
          </cell>
          <cell r="O307" t="str">
            <v>دمونتاژ</v>
          </cell>
          <cell r="AC307" t="str">
            <v>1405/05/17</v>
          </cell>
          <cell r="AF307">
            <v>2</v>
          </cell>
          <cell r="AH307">
            <v>0</v>
          </cell>
        </row>
        <row r="308">
          <cell r="D308" t="str">
            <v>حیدری</v>
          </cell>
          <cell r="O308">
            <v>7101</v>
          </cell>
          <cell r="AC308" t="str">
            <v>1405/05/15</v>
          </cell>
          <cell r="AF308">
            <v>6.5</v>
          </cell>
          <cell r="AH308">
            <v>0</v>
          </cell>
        </row>
        <row r="309">
          <cell r="D309" t="str">
            <v>حیدری</v>
          </cell>
          <cell r="O309" t="str">
            <v>نظافت</v>
          </cell>
          <cell r="AC309" t="str">
            <v>1405/05/15</v>
          </cell>
          <cell r="AF309">
            <v>1</v>
          </cell>
          <cell r="AH309">
            <v>0</v>
          </cell>
        </row>
        <row r="310">
          <cell r="D310" t="str">
            <v>حیدری</v>
          </cell>
          <cell r="O310">
            <v>7101</v>
          </cell>
          <cell r="AC310" t="str">
            <v>1405/05/17</v>
          </cell>
          <cell r="AF310">
            <v>4</v>
          </cell>
          <cell r="AH310">
            <v>0</v>
          </cell>
        </row>
        <row r="311">
          <cell r="D311" t="str">
            <v>حیدری</v>
          </cell>
          <cell r="O311">
            <v>7101</v>
          </cell>
          <cell r="AC311" t="str">
            <v>1405/05/17</v>
          </cell>
          <cell r="AF311">
            <v>3</v>
          </cell>
          <cell r="AH311">
            <v>0</v>
          </cell>
        </row>
        <row r="312">
          <cell r="D312" t="str">
            <v>حیدری</v>
          </cell>
          <cell r="O312">
            <v>7101</v>
          </cell>
          <cell r="AC312" t="str">
            <v>1405/05/17</v>
          </cell>
          <cell r="AF312">
            <v>3</v>
          </cell>
          <cell r="AH312">
            <v>0</v>
          </cell>
        </row>
        <row r="313">
          <cell r="D313" t="str">
            <v>موسوی</v>
          </cell>
          <cell r="O313">
            <v>7302</v>
          </cell>
          <cell r="AC313" t="str">
            <v>1405/05/17</v>
          </cell>
          <cell r="AF313">
            <v>9</v>
          </cell>
          <cell r="AH313">
            <v>0</v>
          </cell>
        </row>
        <row r="314">
          <cell r="D314" t="str">
            <v>مطهری</v>
          </cell>
          <cell r="O314">
            <v>7202</v>
          </cell>
          <cell r="AC314" t="str">
            <v>1405/05/17</v>
          </cell>
          <cell r="AF314">
            <v>11</v>
          </cell>
          <cell r="AH314">
            <v>0</v>
          </cell>
        </row>
        <row r="315">
          <cell r="D315" t="str">
            <v>مطهری</v>
          </cell>
          <cell r="O315">
            <v>7203</v>
          </cell>
          <cell r="AC315" t="str">
            <v>1405/05/17</v>
          </cell>
          <cell r="AF315">
            <v>11</v>
          </cell>
          <cell r="AH315">
            <v>0</v>
          </cell>
        </row>
        <row r="316">
          <cell r="D316" t="str">
            <v>فراهی</v>
          </cell>
          <cell r="O316">
            <v>7103</v>
          </cell>
          <cell r="AC316" t="str">
            <v>1405/05/18</v>
          </cell>
          <cell r="AF316">
            <v>6.5</v>
          </cell>
          <cell r="AH316">
            <v>0</v>
          </cell>
        </row>
        <row r="317">
          <cell r="D317" t="str">
            <v>قیطاسوند</v>
          </cell>
          <cell r="O317">
            <v>7102</v>
          </cell>
          <cell r="AC317" t="str">
            <v>1405/05/18</v>
          </cell>
          <cell r="AF317">
            <v>11</v>
          </cell>
          <cell r="AH317">
            <v>0</v>
          </cell>
        </row>
        <row r="318">
          <cell r="D318" t="str">
            <v>مطهری</v>
          </cell>
          <cell r="O318">
            <v>7203</v>
          </cell>
          <cell r="AC318" t="str">
            <v>1405/05/18</v>
          </cell>
          <cell r="AF318">
            <v>11</v>
          </cell>
          <cell r="AH318">
            <v>0</v>
          </cell>
        </row>
        <row r="319">
          <cell r="D319" t="str">
            <v>باقری اصل</v>
          </cell>
          <cell r="O319">
            <v>7204</v>
          </cell>
          <cell r="AC319" t="str">
            <v>1405/05/18</v>
          </cell>
          <cell r="AF319">
            <v>7.5</v>
          </cell>
          <cell r="AH319">
            <v>0</v>
          </cell>
        </row>
        <row r="320">
          <cell r="D320" t="str">
            <v>صلواتی</v>
          </cell>
          <cell r="O320">
            <v>7601</v>
          </cell>
          <cell r="AC320" t="str">
            <v>1405/05/18</v>
          </cell>
          <cell r="AF320">
            <v>12</v>
          </cell>
          <cell r="AH320">
            <v>0</v>
          </cell>
        </row>
        <row r="321">
          <cell r="D321" t="str">
            <v>صلواتی</v>
          </cell>
          <cell r="O321">
            <v>7602</v>
          </cell>
          <cell r="AC321" t="str">
            <v>1405/05/18</v>
          </cell>
          <cell r="AF321">
            <v>11</v>
          </cell>
          <cell r="AH321">
            <v>0</v>
          </cell>
        </row>
        <row r="322">
          <cell r="D322" t="str">
            <v>صلواتی</v>
          </cell>
          <cell r="O322">
            <v>7605</v>
          </cell>
          <cell r="AC322" t="str">
            <v>1405/05/18</v>
          </cell>
          <cell r="AF322">
            <v>12</v>
          </cell>
          <cell r="AH322">
            <v>0</v>
          </cell>
        </row>
        <row r="323">
          <cell r="D323" t="str">
            <v>صلواتی</v>
          </cell>
          <cell r="O323">
            <v>7701</v>
          </cell>
          <cell r="AC323" t="str">
            <v>1405/05/18</v>
          </cell>
          <cell r="AF323">
            <v>2</v>
          </cell>
          <cell r="AH323">
            <v>0</v>
          </cell>
        </row>
        <row r="324">
          <cell r="D324" t="str">
            <v>موسوی</v>
          </cell>
          <cell r="O324">
            <v>7302</v>
          </cell>
          <cell r="AC324" t="str">
            <v>1405/05/18</v>
          </cell>
          <cell r="AF324">
            <v>1</v>
          </cell>
          <cell r="AH324">
            <v>0</v>
          </cell>
        </row>
        <row r="325">
          <cell r="D325" t="str">
            <v>موسوی</v>
          </cell>
          <cell r="O325">
            <v>7302</v>
          </cell>
          <cell r="AC325" t="str">
            <v>1405/05/18</v>
          </cell>
          <cell r="AF325">
            <v>3</v>
          </cell>
          <cell r="AH325">
            <v>0</v>
          </cell>
        </row>
        <row r="326">
          <cell r="D326" t="str">
            <v>موسوی</v>
          </cell>
          <cell r="O326">
            <v>7302</v>
          </cell>
          <cell r="AC326" t="str">
            <v>1405/05/18</v>
          </cell>
          <cell r="AF326">
            <v>2</v>
          </cell>
          <cell r="AH326">
            <v>0</v>
          </cell>
        </row>
        <row r="327">
          <cell r="D327" t="str">
            <v>موسوی</v>
          </cell>
          <cell r="O327">
            <v>7302</v>
          </cell>
          <cell r="AC327" t="str">
            <v>1405/05/18</v>
          </cell>
          <cell r="AF327">
            <v>3</v>
          </cell>
          <cell r="AH327">
            <v>0</v>
          </cell>
        </row>
        <row r="328">
          <cell r="D328" t="str">
            <v>موسوی</v>
          </cell>
          <cell r="O328">
            <v>7302</v>
          </cell>
          <cell r="AC328" t="str">
            <v>1405/05/18</v>
          </cell>
          <cell r="AF328">
            <v>2</v>
          </cell>
          <cell r="AH328">
            <v>0</v>
          </cell>
        </row>
        <row r="329">
          <cell r="D329" t="str">
            <v>کریم پرست</v>
          </cell>
          <cell r="O329">
            <v>7301</v>
          </cell>
          <cell r="AC329" t="str">
            <v>1405/05/17</v>
          </cell>
          <cell r="AF329">
            <v>11</v>
          </cell>
          <cell r="AH329">
            <v>0</v>
          </cell>
        </row>
        <row r="330">
          <cell r="D330" t="str">
            <v>کریم پرست</v>
          </cell>
          <cell r="O330">
            <v>7301</v>
          </cell>
          <cell r="AC330" t="str">
            <v>1405/05/18</v>
          </cell>
          <cell r="AF330">
            <v>3.3333333333333335</v>
          </cell>
          <cell r="AH330">
            <v>0</v>
          </cell>
        </row>
        <row r="331">
          <cell r="D331" t="str">
            <v>کریم پرست</v>
          </cell>
          <cell r="O331">
            <v>7301</v>
          </cell>
          <cell r="AC331" t="str">
            <v>1405/05/18</v>
          </cell>
          <cell r="AF331">
            <v>5</v>
          </cell>
          <cell r="AH331">
            <v>0</v>
          </cell>
        </row>
        <row r="332">
          <cell r="D332" t="str">
            <v>کریم پرست</v>
          </cell>
          <cell r="O332">
            <v>7301</v>
          </cell>
          <cell r="AC332" t="str">
            <v>1405/05/18</v>
          </cell>
          <cell r="AF332">
            <v>2.6666666666666665</v>
          </cell>
          <cell r="AH332">
            <v>0</v>
          </cell>
        </row>
        <row r="333">
          <cell r="D333" t="str">
            <v>خیرخواه</v>
          </cell>
          <cell r="O333">
            <v>7401</v>
          </cell>
          <cell r="AC333" t="str">
            <v>1405/05/18</v>
          </cell>
          <cell r="AF333">
            <v>1</v>
          </cell>
          <cell r="AH333">
            <v>0</v>
          </cell>
        </row>
        <row r="334">
          <cell r="D334" t="str">
            <v>خیرخواه</v>
          </cell>
          <cell r="O334" t="str">
            <v>مونتاژ</v>
          </cell>
          <cell r="AC334" t="str">
            <v>1405/05/18</v>
          </cell>
          <cell r="AF334">
            <v>1</v>
          </cell>
          <cell r="AH334">
            <v>0</v>
          </cell>
        </row>
        <row r="335">
          <cell r="D335" t="str">
            <v>خیرخواه</v>
          </cell>
          <cell r="O335" t="str">
            <v>دمونتاژ</v>
          </cell>
          <cell r="AC335" t="str">
            <v>1405/05/18</v>
          </cell>
          <cell r="AF335">
            <v>2</v>
          </cell>
          <cell r="AH335">
            <v>0</v>
          </cell>
        </row>
        <row r="336">
          <cell r="D336" t="str">
            <v>هاشم زاده</v>
          </cell>
          <cell r="O336" t="str">
            <v>دمونتاژ</v>
          </cell>
          <cell r="AC336" t="str">
            <v>1405/05/18</v>
          </cell>
          <cell r="AF336">
            <v>2</v>
          </cell>
          <cell r="AH336">
            <v>0</v>
          </cell>
        </row>
        <row r="337">
          <cell r="D337" t="str">
            <v>هاشم زاده</v>
          </cell>
          <cell r="O337" t="str">
            <v>مونتاژ</v>
          </cell>
          <cell r="AC337" t="str">
            <v>1405/05/18</v>
          </cell>
          <cell r="AF337">
            <v>2</v>
          </cell>
          <cell r="AH337">
            <v>0</v>
          </cell>
        </row>
        <row r="338">
          <cell r="D338" t="str">
            <v>هاشم زاده</v>
          </cell>
          <cell r="O338" t="str">
            <v>دمونتاژ</v>
          </cell>
          <cell r="AC338" t="str">
            <v>1405/05/18</v>
          </cell>
          <cell r="AF338">
            <v>3</v>
          </cell>
          <cell r="AH338">
            <v>0</v>
          </cell>
        </row>
        <row r="339">
          <cell r="D339" t="str">
            <v>یاراحمدی</v>
          </cell>
          <cell r="O339">
            <v>7502</v>
          </cell>
          <cell r="AC339" t="str">
            <v>1405/05/18</v>
          </cell>
          <cell r="AF339">
            <v>11</v>
          </cell>
          <cell r="AH339">
            <v>0</v>
          </cell>
        </row>
        <row r="340">
          <cell r="D340" t="str">
            <v>یاراحمدی</v>
          </cell>
          <cell r="O340">
            <v>7501</v>
          </cell>
          <cell r="AC340" t="str">
            <v>1405/05/18</v>
          </cell>
          <cell r="AF340">
            <v>7.5</v>
          </cell>
          <cell r="AH340">
            <v>0</v>
          </cell>
        </row>
        <row r="341">
          <cell r="D341" t="str">
            <v>یاراحمدی</v>
          </cell>
          <cell r="O341">
            <v>7501</v>
          </cell>
          <cell r="AC341" t="str">
            <v>1405/05/18</v>
          </cell>
          <cell r="AF341">
            <v>3.5</v>
          </cell>
          <cell r="AH341">
            <v>0</v>
          </cell>
        </row>
        <row r="342">
          <cell r="D342" t="str">
            <v>حیدری</v>
          </cell>
          <cell r="O342">
            <v>7101</v>
          </cell>
          <cell r="AC342" t="str">
            <v>1405/05/18</v>
          </cell>
          <cell r="AF342">
            <v>5.5</v>
          </cell>
          <cell r="AH342">
            <v>0</v>
          </cell>
        </row>
        <row r="343">
          <cell r="D343" t="str">
            <v>حیدری</v>
          </cell>
          <cell r="O343">
            <v>7101</v>
          </cell>
          <cell r="AC343" t="str">
            <v>1405/05/18</v>
          </cell>
          <cell r="AF343">
            <v>5.5</v>
          </cell>
          <cell r="AH343">
            <v>0</v>
          </cell>
        </row>
        <row r="344">
          <cell r="D344" t="str">
            <v>قیطاسوند</v>
          </cell>
          <cell r="O344">
            <v>7102</v>
          </cell>
          <cell r="AC344" t="str">
            <v>1405/05/19</v>
          </cell>
          <cell r="AF344">
            <v>11</v>
          </cell>
          <cell r="AH344">
            <v>0</v>
          </cell>
        </row>
        <row r="345">
          <cell r="D345" t="str">
            <v>باقری اصل</v>
          </cell>
          <cell r="O345">
            <v>7204</v>
          </cell>
          <cell r="AC345" t="str">
            <v>1405/05/19</v>
          </cell>
          <cell r="AF345">
            <v>9</v>
          </cell>
          <cell r="AH345">
            <v>0</v>
          </cell>
        </row>
        <row r="346">
          <cell r="D346" t="str">
            <v>باقری اصل</v>
          </cell>
          <cell r="O346">
            <v>7204</v>
          </cell>
          <cell r="AC346" t="str">
            <v>1405/05/19</v>
          </cell>
          <cell r="AF346">
            <v>2</v>
          </cell>
          <cell r="AH346">
            <v>0</v>
          </cell>
        </row>
        <row r="347">
          <cell r="D347" t="str">
            <v>زیلویی</v>
          </cell>
          <cell r="O347">
            <v>7203</v>
          </cell>
          <cell r="AC347" t="str">
            <v>1405/05/19</v>
          </cell>
          <cell r="AF347">
            <v>11</v>
          </cell>
          <cell r="AH347">
            <v>0</v>
          </cell>
        </row>
        <row r="348">
          <cell r="D348" t="str">
            <v>مسعودی</v>
          </cell>
          <cell r="O348">
            <v>7202</v>
          </cell>
          <cell r="AC348" t="str">
            <v>1405/05/19</v>
          </cell>
          <cell r="AF348">
            <v>11</v>
          </cell>
          <cell r="AH348">
            <v>0</v>
          </cell>
        </row>
        <row r="349">
          <cell r="D349" t="str">
            <v>فراهی</v>
          </cell>
          <cell r="O349">
            <v>7103</v>
          </cell>
          <cell r="AC349" t="str">
            <v>1405/05/19</v>
          </cell>
          <cell r="AF349">
            <v>6.5</v>
          </cell>
          <cell r="AH349">
            <v>0</v>
          </cell>
        </row>
        <row r="350">
          <cell r="D350" t="str">
            <v>کریم پرست</v>
          </cell>
          <cell r="O350">
            <v>7301</v>
          </cell>
          <cell r="AC350" t="str">
            <v>1405/05/19</v>
          </cell>
          <cell r="AF350">
            <v>4</v>
          </cell>
          <cell r="AH350">
            <v>0</v>
          </cell>
        </row>
        <row r="351">
          <cell r="D351" t="str">
            <v>کریم پرست</v>
          </cell>
          <cell r="O351">
            <v>7301</v>
          </cell>
          <cell r="AC351" t="str">
            <v>1405/05/19</v>
          </cell>
          <cell r="AF351">
            <v>7</v>
          </cell>
          <cell r="AH351">
            <v>0</v>
          </cell>
        </row>
        <row r="352">
          <cell r="D352" t="str">
            <v>حیدری</v>
          </cell>
          <cell r="O352">
            <v>7101</v>
          </cell>
          <cell r="AC352" t="str">
            <v>1405/05/19</v>
          </cell>
          <cell r="AF352">
            <v>5.5</v>
          </cell>
          <cell r="AH352">
            <v>0</v>
          </cell>
        </row>
        <row r="353">
          <cell r="D353" t="str">
            <v>حیدری</v>
          </cell>
          <cell r="O353">
            <v>7101</v>
          </cell>
          <cell r="AC353" t="str">
            <v>1405/05/19</v>
          </cell>
          <cell r="AF353">
            <v>2</v>
          </cell>
          <cell r="AH353">
            <v>0</v>
          </cell>
        </row>
        <row r="354">
          <cell r="D354" t="str">
            <v>حیدری</v>
          </cell>
          <cell r="O354" t="str">
            <v>مونتاژ</v>
          </cell>
          <cell r="AC354" t="str">
            <v>1405/05/19</v>
          </cell>
          <cell r="AF354">
            <v>3.5</v>
          </cell>
          <cell r="AH354">
            <v>0</v>
          </cell>
        </row>
        <row r="355">
          <cell r="D355" t="str">
            <v>هاشم زاده</v>
          </cell>
          <cell r="O355" t="str">
            <v>دمونتاژ</v>
          </cell>
          <cell r="AC355" t="str">
            <v>1405/05/19</v>
          </cell>
          <cell r="AF355">
            <v>2</v>
          </cell>
          <cell r="AH355">
            <v>0</v>
          </cell>
        </row>
        <row r="356">
          <cell r="D356" t="str">
            <v>هاشم زاده</v>
          </cell>
          <cell r="O356" t="str">
            <v>مونتاژ</v>
          </cell>
          <cell r="AC356" t="str">
            <v>1405/05/19</v>
          </cell>
          <cell r="AF356">
            <v>2</v>
          </cell>
          <cell r="AH356">
            <v>0</v>
          </cell>
        </row>
        <row r="357">
          <cell r="D357" t="str">
            <v>هاشم زاده</v>
          </cell>
          <cell r="O357" t="str">
            <v>دمونتاژ</v>
          </cell>
          <cell r="AC357" t="str">
            <v>1405/05/19</v>
          </cell>
          <cell r="AF357">
            <v>3</v>
          </cell>
          <cell r="AH357">
            <v>0</v>
          </cell>
        </row>
        <row r="358">
          <cell r="D358" t="str">
            <v>هاشم زاده</v>
          </cell>
          <cell r="O358" t="str">
            <v>دمونتاژ</v>
          </cell>
          <cell r="AC358" t="str">
            <v>1405/05/19</v>
          </cell>
          <cell r="AF358">
            <v>2</v>
          </cell>
          <cell r="AH358">
            <v>0</v>
          </cell>
        </row>
        <row r="359">
          <cell r="D359" t="str">
            <v>خیرخواه</v>
          </cell>
          <cell r="O359" t="str">
            <v>دمونتاژ</v>
          </cell>
          <cell r="AC359" t="str">
            <v>1405/05/19</v>
          </cell>
          <cell r="AF359">
            <v>2.5</v>
          </cell>
          <cell r="AH359">
            <v>0</v>
          </cell>
        </row>
        <row r="360">
          <cell r="D360" t="str">
            <v>خیرخواه</v>
          </cell>
          <cell r="O360" t="str">
            <v>دمونتاژ</v>
          </cell>
          <cell r="AC360" t="str">
            <v>1405/05/19</v>
          </cell>
          <cell r="AF360">
            <v>2.5</v>
          </cell>
          <cell r="AH360">
            <v>0</v>
          </cell>
        </row>
        <row r="361">
          <cell r="D361" t="str">
            <v>خیرخواه</v>
          </cell>
          <cell r="O361" t="str">
            <v>دمونتاژ</v>
          </cell>
          <cell r="AC361" t="str">
            <v>1405/05/19</v>
          </cell>
          <cell r="AF361">
            <v>2</v>
          </cell>
          <cell r="AH361">
            <v>0</v>
          </cell>
        </row>
        <row r="362">
          <cell r="D362" t="str">
            <v>خیرخواه</v>
          </cell>
          <cell r="O362" t="str">
            <v>مونتاژ</v>
          </cell>
          <cell r="AC362" t="str">
            <v>1405/05/19</v>
          </cell>
          <cell r="AF362">
            <v>2</v>
          </cell>
          <cell r="AH362">
            <v>0</v>
          </cell>
        </row>
        <row r="363">
          <cell r="D363" t="str">
            <v>یاراحمدی</v>
          </cell>
          <cell r="O363">
            <v>7502</v>
          </cell>
          <cell r="AC363" t="str">
            <v>1405/05/19</v>
          </cell>
          <cell r="AF363">
            <v>11</v>
          </cell>
          <cell r="AH363">
            <v>0</v>
          </cell>
        </row>
        <row r="364">
          <cell r="D364" t="str">
            <v>یاراحمدی</v>
          </cell>
          <cell r="O364">
            <v>7501</v>
          </cell>
          <cell r="AC364" t="str">
            <v>1405/05/19</v>
          </cell>
          <cell r="AF364">
            <v>8</v>
          </cell>
          <cell r="AH364">
            <v>0</v>
          </cell>
        </row>
        <row r="365">
          <cell r="D365" t="str">
            <v>یاراحمدی</v>
          </cell>
          <cell r="O365">
            <v>7501</v>
          </cell>
          <cell r="AC365" t="str">
            <v>1405/05/19</v>
          </cell>
          <cell r="AF365">
            <v>2</v>
          </cell>
          <cell r="AH365">
            <v>0</v>
          </cell>
        </row>
        <row r="366">
          <cell r="D366" t="str">
            <v>یاراحمدی</v>
          </cell>
          <cell r="O366">
            <v>7501</v>
          </cell>
          <cell r="AC366" t="str">
            <v>1405/05/19</v>
          </cell>
          <cell r="AF366">
            <v>1</v>
          </cell>
          <cell r="AH366">
            <v>0</v>
          </cell>
        </row>
        <row r="367">
          <cell r="D367" t="str">
            <v>صلواتی</v>
          </cell>
          <cell r="O367">
            <v>7601</v>
          </cell>
          <cell r="AC367" t="str">
            <v>1405/05/19</v>
          </cell>
          <cell r="AF367">
            <v>12</v>
          </cell>
          <cell r="AH367">
            <v>0</v>
          </cell>
        </row>
        <row r="368">
          <cell r="D368" t="str">
            <v>صلواتی</v>
          </cell>
          <cell r="O368">
            <v>7605</v>
          </cell>
          <cell r="AC368" t="str">
            <v>1405/05/19</v>
          </cell>
          <cell r="AF368">
            <v>12</v>
          </cell>
          <cell r="AH368">
            <v>0</v>
          </cell>
        </row>
        <row r="369">
          <cell r="D369" t="str">
            <v>صلواتی</v>
          </cell>
          <cell r="O369">
            <v>7604</v>
          </cell>
          <cell r="AC369" t="str">
            <v>1405/05/19</v>
          </cell>
          <cell r="AF369">
            <v>4</v>
          </cell>
          <cell r="AH369">
            <v>0</v>
          </cell>
        </row>
        <row r="370">
          <cell r="D370" t="str">
            <v>صلواتی</v>
          </cell>
          <cell r="O370">
            <v>7604</v>
          </cell>
          <cell r="AC370" t="str">
            <v>1405/05/19</v>
          </cell>
          <cell r="AF370">
            <v>1</v>
          </cell>
          <cell r="AH370">
            <v>0</v>
          </cell>
        </row>
        <row r="371">
          <cell r="D371" t="str">
            <v>صلواتی</v>
          </cell>
          <cell r="O371">
            <v>7602</v>
          </cell>
          <cell r="AC371" t="str">
            <v>1405/05/19</v>
          </cell>
          <cell r="AF371">
            <v>8</v>
          </cell>
          <cell r="AH371">
            <v>0</v>
          </cell>
        </row>
        <row r="372">
          <cell r="D372" t="str">
            <v>صلواتی</v>
          </cell>
          <cell r="O372">
            <v>7602</v>
          </cell>
          <cell r="AC372" t="str">
            <v>1405/05/19</v>
          </cell>
          <cell r="AF372">
            <v>1</v>
          </cell>
          <cell r="AH372">
            <v>0</v>
          </cell>
        </row>
        <row r="373">
          <cell r="D373" t="str">
            <v>صلواتی</v>
          </cell>
          <cell r="O373">
            <v>7701</v>
          </cell>
          <cell r="AC373" t="str">
            <v>1405/05/19</v>
          </cell>
          <cell r="AF373">
            <v>12</v>
          </cell>
          <cell r="AH373">
            <v>0</v>
          </cell>
        </row>
        <row r="374">
          <cell r="D374" t="str">
            <v>زیلویی</v>
          </cell>
          <cell r="O374">
            <v>7203</v>
          </cell>
          <cell r="AC374" t="str">
            <v>1405/05/20</v>
          </cell>
          <cell r="AF374">
            <v>11</v>
          </cell>
          <cell r="AH374">
            <v>0</v>
          </cell>
        </row>
        <row r="375">
          <cell r="D375" t="str">
            <v>مسعودی</v>
          </cell>
          <cell r="O375">
            <v>7202</v>
          </cell>
          <cell r="AC375" t="str">
            <v>1405/05/20</v>
          </cell>
          <cell r="AF375">
            <v>11</v>
          </cell>
          <cell r="AH375">
            <v>0</v>
          </cell>
        </row>
        <row r="376">
          <cell r="D376" t="str">
            <v>فراهی</v>
          </cell>
          <cell r="O376">
            <v>7103</v>
          </cell>
          <cell r="AC376" t="str">
            <v>1405/05/20</v>
          </cell>
          <cell r="AF376">
            <v>6.5</v>
          </cell>
          <cell r="AH376">
            <v>0</v>
          </cell>
        </row>
        <row r="377">
          <cell r="D377" t="str">
            <v>صلواتی</v>
          </cell>
          <cell r="O377">
            <v>7605</v>
          </cell>
          <cell r="AC377" t="str">
            <v>1405/05/20</v>
          </cell>
          <cell r="AF377">
            <v>12</v>
          </cell>
          <cell r="AH377">
            <v>0</v>
          </cell>
        </row>
        <row r="378">
          <cell r="D378" t="str">
            <v>صلواتی</v>
          </cell>
          <cell r="O378">
            <v>7601</v>
          </cell>
          <cell r="AC378" t="str">
            <v>1405/05/20</v>
          </cell>
          <cell r="AF378">
            <v>3</v>
          </cell>
          <cell r="AH378">
            <v>0</v>
          </cell>
        </row>
        <row r="379">
          <cell r="D379" t="str">
            <v>صلواتی</v>
          </cell>
          <cell r="O379">
            <v>7604</v>
          </cell>
          <cell r="AC379" t="str">
            <v>1405/05/20</v>
          </cell>
          <cell r="AF379">
            <v>3</v>
          </cell>
          <cell r="AH379">
            <v>0</v>
          </cell>
        </row>
        <row r="380">
          <cell r="D380" t="str">
            <v>صلواتی</v>
          </cell>
          <cell r="O380">
            <v>7605</v>
          </cell>
          <cell r="AC380" t="str">
            <v>1405/05/21</v>
          </cell>
          <cell r="AF380">
            <v>6</v>
          </cell>
          <cell r="AH380">
            <v>0</v>
          </cell>
        </row>
        <row r="381">
          <cell r="D381" t="str">
            <v>صلواتی</v>
          </cell>
          <cell r="O381">
            <v>7601</v>
          </cell>
          <cell r="AC381" t="str">
            <v>1405/05/21</v>
          </cell>
          <cell r="AF381">
            <v>6</v>
          </cell>
          <cell r="AH381">
            <v>0</v>
          </cell>
        </row>
        <row r="382">
          <cell r="D382" t="str">
            <v>صلواتی</v>
          </cell>
          <cell r="O382">
            <v>7602</v>
          </cell>
          <cell r="AC382" t="str">
            <v>1405/05/21</v>
          </cell>
          <cell r="AF382">
            <v>6</v>
          </cell>
          <cell r="AH382">
            <v>0</v>
          </cell>
        </row>
        <row r="383">
          <cell r="D383" t="str">
            <v>صلواتی</v>
          </cell>
          <cell r="O383">
            <v>7604</v>
          </cell>
          <cell r="AC383" t="str">
            <v>1405/05/21</v>
          </cell>
          <cell r="AF383">
            <v>4</v>
          </cell>
          <cell r="AH383">
            <v>0</v>
          </cell>
        </row>
        <row r="384">
          <cell r="D384" t="str">
            <v>حیدری</v>
          </cell>
          <cell r="O384">
            <v>7101</v>
          </cell>
          <cell r="AC384" t="str">
            <v>1405/05/20</v>
          </cell>
          <cell r="AF384">
            <v>7.5</v>
          </cell>
          <cell r="AH384">
            <v>0</v>
          </cell>
        </row>
        <row r="385">
          <cell r="D385" t="str">
            <v>حیدری</v>
          </cell>
          <cell r="O385">
            <v>8002</v>
          </cell>
          <cell r="AC385" t="str">
            <v>1405/05/20</v>
          </cell>
          <cell r="AF385">
            <v>1.5</v>
          </cell>
          <cell r="AH385">
            <v>0</v>
          </cell>
        </row>
        <row r="386">
          <cell r="D386" t="str">
            <v>حیدری</v>
          </cell>
          <cell r="O386">
            <v>7101</v>
          </cell>
          <cell r="AC386" t="str">
            <v>1405/05/20</v>
          </cell>
          <cell r="AF386">
            <v>2</v>
          </cell>
          <cell r="AH386">
            <v>0</v>
          </cell>
        </row>
        <row r="387">
          <cell r="D387" t="str">
            <v>حیدری</v>
          </cell>
          <cell r="O387">
            <v>7101</v>
          </cell>
          <cell r="AC387" t="str">
            <v>1405/05/21</v>
          </cell>
          <cell r="AF387">
            <v>1.5</v>
          </cell>
          <cell r="AH387">
            <v>0</v>
          </cell>
        </row>
        <row r="388">
          <cell r="D388" t="str">
            <v>حیدری</v>
          </cell>
          <cell r="O388">
            <v>8002</v>
          </cell>
          <cell r="AC388" t="str">
            <v>1405/05/21</v>
          </cell>
          <cell r="AF388">
            <v>5</v>
          </cell>
          <cell r="AH388">
            <v>0</v>
          </cell>
        </row>
        <row r="389">
          <cell r="D389" t="str">
            <v>حیدری</v>
          </cell>
          <cell r="O389">
            <v>8002</v>
          </cell>
          <cell r="AC389" t="str">
            <v>1405/05/22</v>
          </cell>
          <cell r="AF389">
            <v>6.5</v>
          </cell>
          <cell r="AH389">
            <v>0</v>
          </cell>
        </row>
        <row r="390">
          <cell r="D390" t="str">
            <v>باقری اصل</v>
          </cell>
          <cell r="O390">
            <v>7204</v>
          </cell>
          <cell r="AC390" t="str">
            <v>1405/05/20</v>
          </cell>
          <cell r="AF390">
            <v>2.5</v>
          </cell>
          <cell r="AH390">
            <v>0</v>
          </cell>
        </row>
        <row r="391">
          <cell r="D391" t="str">
            <v>باقری اصل</v>
          </cell>
          <cell r="O391">
            <v>7204</v>
          </cell>
          <cell r="AC391" t="str">
            <v>1405/05/20</v>
          </cell>
          <cell r="AF391">
            <v>8.5</v>
          </cell>
          <cell r="AH391">
            <v>0</v>
          </cell>
        </row>
        <row r="392">
          <cell r="D392" t="str">
            <v>باقری اصل</v>
          </cell>
          <cell r="O392">
            <v>7204</v>
          </cell>
          <cell r="AC392" t="str">
            <v>1405/05/21</v>
          </cell>
          <cell r="AF392">
            <v>6.5</v>
          </cell>
          <cell r="AH392">
            <v>0</v>
          </cell>
        </row>
        <row r="393">
          <cell r="D393" t="str">
            <v>باقری اصل</v>
          </cell>
          <cell r="O393">
            <v>7204</v>
          </cell>
          <cell r="AC393" t="str">
            <v>1405/05/22</v>
          </cell>
          <cell r="AF393">
            <v>6.5</v>
          </cell>
          <cell r="AH393">
            <v>0</v>
          </cell>
        </row>
        <row r="394">
          <cell r="D394" t="str">
            <v>قیطاسوند</v>
          </cell>
          <cell r="O394">
            <v>7102</v>
          </cell>
          <cell r="AC394" t="str">
            <v>1405/05/20</v>
          </cell>
          <cell r="AF394">
            <v>3.5</v>
          </cell>
          <cell r="AH394">
            <v>0</v>
          </cell>
        </row>
        <row r="395">
          <cell r="D395" t="str">
            <v>قیطاسوند</v>
          </cell>
          <cell r="O395">
            <v>7102</v>
          </cell>
          <cell r="AC395" t="str">
            <v>1405/05/20</v>
          </cell>
          <cell r="AF395">
            <v>7.5</v>
          </cell>
          <cell r="AH395">
            <v>0</v>
          </cell>
        </row>
        <row r="396">
          <cell r="D396" t="str">
            <v>قیطاسوند</v>
          </cell>
          <cell r="O396">
            <v>7102</v>
          </cell>
          <cell r="AC396" t="str">
            <v>1405/05/21</v>
          </cell>
          <cell r="AF396">
            <v>6.5</v>
          </cell>
          <cell r="AH396">
            <v>0</v>
          </cell>
        </row>
        <row r="397">
          <cell r="D397" t="str">
            <v>یاراحمدی</v>
          </cell>
          <cell r="O397">
            <v>7502</v>
          </cell>
          <cell r="AC397" t="str">
            <v>1405/05/20</v>
          </cell>
          <cell r="AF397">
            <v>11</v>
          </cell>
          <cell r="AH397">
            <v>0</v>
          </cell>
        </row>
        <row r="398">
          <cell r="D398" t="str">
            <v>یاراحمدی</v>
          </cell>
          <cell r="O398">
            <v>7501</v>
          </cell>
          <cell r="AC398" t="str">
            <v>1405/05/20</v>
          </cell>
          <cell r="AF398">
            <v>3</v>
          </cell>
          <cell r="AH398">
            <v>0</v>
          </cell>
        </row>
        <row r="399">
          <cell r="D399" t="str">
            <v>یاراحمدی</v>
          </cell>
          <cell r="O399">
            <v>7501</v>
          </cell>
          <cell r="AC399" t="str">
            <v>1405/05/20</v>
          </cell>
          <cell r="AF399">
            <v>2</v>
          </cell>
          <cell r="AH399">
            <v>0</v>
          </cell>
        </row>
        <row r="400">
          <cell r="D400" t="str">
            <v>یاراحمدی</v>
          </cell>
          <cell r="O400">
            <v>7501</v>
          </cell>
          <cell r="AC400" t="str">
            <v>1405/05/20</v>
          </cell>
          <cell r="AF400">
            <v>4</v>
          </cell>
          <cell r="AH400">
            <v>0</v>
          </cell>
        </row>
        <row r="401">
          <cell r="D401" t="str">
            <v>یاراحمدی</v>
          </cell>
          <cell r="O401">
            <v>7501</v>
          </cell>
          <cell r="AC401" t="str">
            <v>1405/05/20</v>
          </cell>
          <cell r="AF401">
            <v>2</v>
          </cell>
          <cell r="AH401">
            <v>0</v>
          </cell>
        </row>
        <row r="402">
          <cell r="D402" t="str">
            <v>یاراحمدی</v>
          </cell>
          <cell r="O402">
            <v>7501</v>
          </cell>
          <cell r="AC402" t="str">
            <v>1405/05/21</v>
          </cell>
          <cell r="AF402">
            <v>2</v>
          </cell>
          <cell r="AH402">
            <v>0</v>
          </cell>
        </row>
        <row r="403">
          <cell r="D403" t="str">
            <v>یاراحمدی</v>
          </cell>
          <cell r="O403">
            <v>7501</v>
          </cell>
          <cell r="AC403" t="str">
            <v>1405/05/21</v>
          </cell>
          <cell r="AF403">
            <v>2</v>
          </cell>
          <cell r="AH403">
            <v>0</v>
          </cell>
        </row>
        <row r="404">
          <cell r="D404" t="str">
            <v>یاراحمدی</v>
          </cell>
          <cell r="O404">
            <v>7502</v>
          </cell>
          <cell r="AC404" t="str">
            <v>1405/05/21</v>
          </cell>
          <cell r="AF404">
            <v>6.5</v>
          </cell>
          <cell r="AH404">
            <v>0</v>
          </cell>
        </row>
        <row r="405">
          <cell r="D405" t="str">
            <v>یاراحمدی</v>
          </cell>
          <cell r="O405">
            <v>7501</v>
          </cell>
          <cell r="AC405" t="str">
            <v>1405/05/21</v>
          </cell>
          <cell r="AF405">
            <v>2</v>
          </cell>
          <cell r="AH405">
            <v>0</v>
          </cell>
        </row>
        <row r="406">
          <cell r="D406" t="str">
            <v>هاشم زاده</v>
          </cell>
          <cell r="O406" t="str">
            <v>دمونتاژ</v>
          </cell>
          <cell r="AC406" t="str">
            <v>1405/05/20</v>
          </cell>
          <cell r="AF406">
            <v>5</v>
          </cell>
          <cell r="AH406">
            <v>0</v>
          </cell>
        </row>
        <row r="407">
          <cell r="D407" t="str">
            <v>هاشم زاده</v>
          </cell>
          <cell r="O407" t="str">
            <v>دمونتاژ</v>
          </cell>
          <cell r="AC407" t="str">
            <v>1405/05/20</v>
          </cell>
          <cell r="AF407">
            <v>2</v>
          </cell>
          <cell r="AH407">
            <v>0</v>
          </cell>
        </row>
        <row r="408">
          <cell r="D408" t="str">
            <v>هاشم زاده</v>
          </cell>
          <cell r="O408" t="str">
            <v>دمونتاژ</v>
          </cell>
          <cell r="AC408" t="str">
            <v>1405/05/20</v>
          </cell>
          <cell r="AF408">
            <v>2</v>
          </cell>
          <cell r="AH408">
            <v>0</v>
          </cell>
        </row>
        <row r="409">
          <cell r="D409" t="str">
            <v>هاشم زاده</v>
          </cell>
          <cell r="O409" t="str">
            <v>دمونتاژ</v>
          </cell>
          <cell r="AC409" t="str">
            <v>1405/05/21</v>
          </cell>
          <cell r="AF409">
            <v>3</v>
          </cell>
          <cell r="AH409">
            <v>0</v>
          </cell>
        </row>
        <row r="410">
          <cell r="D410" t="str">
            <v>هاشم زاده</v>
          </cell>
          <cell r="O410" t="str">
            <v>دمونتاژ</v>
          </cell>
          <cell r="AC410" t="str">
            <v>1405/05/21</v>
          </cell>
          <cell r="AF410">
            <v>2</v>
          </cell>
          <cell r="AH410">
            <v>0</v>
          </cell>
        </row>
        <row r="411">
          <cell r="D411" t="str">
            <v>کریم پرست</v>
          </cell>
          <cell r="O411">
            <v>7301</v>
          </cell>
          <cell r="AC411" t="str">
            <v>1405/05/20</v>
          </cell>
          <cell r="AF411">
            <v>3</v>
          </cell>
          <cell r="AH411">
            <v>0</v>
          </cell>
        </row>
        <row r="412">
          <cell r="D412" t="str">
            <v>کریم پرست</v>
          </cell>
          <cell r="O412">
            <v>7301</v>
          </cell>
          <cell r="AC412" t="str">
            <v>1405/05/20</v>
          </cell>
          <cell r="AF412">
            <v>2</v>
          </cell>
          <cell r="AH412">
            <v>0</v>
          </cell>
        </row>
        <row r="413">
          <cell r="D413" t="str">
            <v>کریم پرست</v>
          </cell>
          <cell r="O413">
            <v>7301</v>
          </cell>
          <cell r="AC413" t="str">
            <v>1405/05/20</v>
          </cell>
          <cell r="AF413">
            <v>2</v>
          </cell>
          <cell r="AH413">
            <v>0</v>
          </cell>
        </row>
        <row r="414">
          <cell r="D414" t="str">
            <v>کریم پرست</v>
          </cell>
          <cell r="O414">
            <v>7301</v>
          </cell>
          <cell r="AC414" t="str">
            <v>1405/05/20</v>
          </cell>
          <cell r="AF414">
            <v>4</v>
          </cell>
          <cell r="AH414">
            <v>0</v>
          </cell>
        </row>
        <row r="415">
          <cell r="D415" t="str">
            <v>خیرخواه</v>
          </cell>
          <cell r="O415">
            <v>7401</v>
          </cell>
          <cell r="AC415" t="str">
            <v>1405/05/20</v>
          </cell>
          <cell r="AF415">
            <v>1</v>
          </cell>
          <cell r="AH415">
            <v>0</v>
          </cell>
        </row>
        <row r="416">
          <cell r="D416" t="str">
            <v>خیرخواه</v>
          </cell>
          <cell r="O416">
            <v>7401</v>
          </cell>
          <cell r="AC416" t="str">
            <v>1405/05/20</v>
          </cell>
          <cell r="AF416">
            <v>2</v>
          </cell>
          <cell r="AH416">
            <v>0</v>
          </cell>
        </row>
        <row r="417">
          <cell r="D417" t="str">
            <v>خیرخواه</v>
          </cell>
          <cell r="O417" t="str">
            <v>مونتاژ</v>
          </cell>
          <cell r="AC417" t="str">
            <v>1405/05/20</v>
          </cell>
          <cell r="AF417">
            <v>1</v>
          </cell>
          <cell r="AH417">
            <v>0</v>
          </cell>
        </row>
        <row r="418">
          <cell r="D418" t="str">
            <v>خیرخواه</v>
          </cell>
          <cell r="O418">
            <v>7401</v>
          </cell>
          <cell r="AC418" t="str">
            <v>1405/05/20</v>
          </cell>
          <cell r="AF418">
            <v>1</v>
          </cell>
          <cell r="AH418">
            <v>0</v>
          </cell>
        </row>
        <row r="419">
          <cell r="D419" t="str">
            <v>خیرخواه</v>
          </cell>
          <cell r="O419">
            <v>7401</v>
          </cell>
          <cell r="AC419" t="str">
            <v>1405/05/20</v>
          </cell>
          <cell r="AF419">
            <v>1</v>
          </cell>
          <cell r="AH419">
            <v>0</v>
          </cell>
        </row>
        <row r="420">
          <cell r="D420" t="str">
            <v>خیرخواه</v>
          </cell>
          <cell r="O420">
            <v>7401</v>
          </cell>
          <cell r="AC420" t="str">
            <v>1405/05/21</v>
          </cell>
          <cell r="AF420">
            <v>4</v>
          </cell>
          <cell r="AH420">
            <v>0</v>
          </cell>
        </row>
        <row r="421">
          <cell r="D421" t="str">
            <v>خیرخواه</v>
          </cell>
          <cell r="O421">
            <v>7401</v>
          </cell>
          <cell r="AC421" t="str">
            <v>1405/05/21</v>
          </cell>
          <cell r="AF421">
            <v>2.5</v>
          </cell>
          <cell r="AH421">
            <v>0</v>
          </cell>
        </row>
        <row r="422">
          <cell r="D422" t="str">
            <v>مسعودی</v>
          </cell>
          <cell r="O422">
            <v>7202</v>
          </cell>
          <cell r="AC422" t="str">
            <v>1405/05/21</v>
          </cell>
          <cell r="AF422">
            <v>6.5</v>
          </cell>
          <cell r="AH422">
            <v>0</v>
          </cell>
        </row>
        <row r="423">
          <cell r="D423" t="str">
            <v>مسعودی</v>
          </cell>
          <cell r="O423">
            <v>7202</v>
          </cell>
          <cell r="AC423" t="str">
            <v>1405/05/22</v>
          </cell>
          <cell r="AF423">
            <v>6.5</v>
          </cell>
          <cell r="AH423">
            <v>0</v>
          </cell>
        </row>
        <row r="424">
          <cell r="D424" t="str">
            <v>قیطاسوند</v>
          </cell>
          <cell r="O424">
            <v>7102</v>
          </cell>
          <cell r="AC424" t="str">
            <v>1405/05/24</v>
          </cell>
          <cell r="AF424">
            <v>2.5</v>
          </cell>
          <cell r="AH424">
            <v>0</v>
          </cell>
        </row>
        <row r="425">
          <cell r="D425" t="str">
            <v>قیطاسوند</v>
          </cell>
          <cell r="O425">
            <v>7102</v>
          </cell>
          <cell r="AC425" t="str">
            <v>1405/05/24</v>
          </cell>
          <cell r="AF425">
            <v>8.5</v>
          </cell>
          <cell r="AH425">
            <v>0</v>
          </cell>
        </row>
        <row r="426">
          <cell r="D426" t="str">
            <v>حیدری</v>
          </cell>
          <cell r="O426">
            <v>8002</v>
          </cell>
          <cell r="AC426" t="str">
            <v>1405/05/24</v>
          </cell>
          <cell r="AF426">
            <v>11</v>
          </cell>
          <cell r="AH426">
            <v>0</v>
          </cell>
        </row>
        <row r="427">
          <cell r="D427" t="str">
            <v>مسعودی</v>
          </cell>
          <cell r="O427">
            <v>7202</v>
          </cell>
          <cell r="AC427" t="str">
            <v>1405/05/24</v>
          </cell>
          <cell r="AF427">
            <v>11</v>
          </cell>
          <cell r="AH427">
            <v>0</v>
          </cell>
        </row>
        <row r="428">
          <cell r="D428" t="str">
            <v>فراهی</v>
          </cell>
          <cell r="O428">
            <v>7103</v>
          </cell>
          <cell r="AC428" t="str">
            <v>1405/05/24</v>
          </cell>
          <cell r="AF428">
            <v>2.5</v>
          </cell>
          <cell r="AH428">
            <v>0</v>
          </cell>
        </row>
        <row r="429">
          <cell r="D429" t="str">
            <v>فراهی</v>
          </cell>
          <cell r="O429">
            <v>7101</v>
          </cell>
          <cell r="AC429" t="str">
            <v>1405/05/24</v>
          </cell>
          <cell r="AF429">
            <v>2.5</v>
          </cell>
          <cell r="AH429">
            <v>0</v>
          </cell>
        </row>
        <row r="430">
          <cell r="D430" t="str">
            <v>فراهی</v>
          </cell>
          <cell r="O430">
            <v>7103</v>
          </cell>
          <cell r="AC430" t="str">
            <v>1405/05/24</v>
          </cell>
          <cell r="AF430">
            <v>1.5</v>
          </cell>
          <cell r="AH430">
            <v>0</v>
          </cell>
        </row>
        <row r="431">
          <cell r="D431" t="str">
            <v>موسوی</v>
          </cell>
          <cell r="O431">
            <v>7401</v>
          </cell>
          <cell r="AC431" t="str">
            <v>1405/05/24</v>
          </cell>
          <cell r="AF431">
            <v>4</v>
          </cell>
          <cell r="AH431">
            <v>0</v>
          </cell>
        </row>
        <row r="432">
          <cell r="D432" t="str">
            <v>موسوی</v>
          </cell>
          <cell r="O432">
            <v>7401</v>
          </cell>
          <cell r="AC432" t="str">
            <v>1405/05/24</v>
          </cell>
          <cell r="AF432">
            <v>1</v>
          </cell>
          <cell r="AH432">
            <v>0</v>
          </cell>
        </row>
        <row r="433">
          <cell r="D433" t="str">
            <v>موسوی</v>
          </cell>
          <cell r="O433" t="str">
            <v>مونتاژ</v>
          </cell>
          <cell r="AC433" t="str">
            <v>1405/05/24</v>
          </cell>
          <cell r="AF433">
            <v>3</v>
          </cell>
          <cell r="AH433">
            <v>3</v>
          </cell>
        </row>
        <row r="434">
          <cell r="D434" t="str">
            <v>صلواتی</v>
          </cell>
          <cell r="O434">
            <v>7605</v>
          </cell>
          <cell r="AC434" t="str">
            <v>1405/05/24</v>
          </cell>
          <cell r="AF434">
            <v>12</v>
          </cell>
          <cell r="AH434">
            <v>0</v>
          </cell>
        </row>
        <row r="435">
          <cell r="D435" t="str">
            <v>صلواتی</v>
          </cell>
          <cell r="O435">
            <v>7601</v>
          </cell>
          <cell r="AC435" t="str">
            <v>1405/05/24</v>
          </cell>
          <cell r="AF435">
            <v>12</v>
          </cell>
          <cell r="AH435">
            <v>0</v>
          </cell>
        </row>
        <row r="436">
          <cell r="D436" t="str">
            <v>صلواتی</v>
          </cell>
          <cell r="O436">
            <v>7602</v>
          </cell>
          <cell r="AC436" t="str">
            <v>1405/05/24</v>
          </cell>
          <cell r="AF436">
            <v>12</v>
          </cell>
          <cell r="AH436">
            <v>0</v>
          </cell>
        </row>
        <row r="437">
          <cell r="D437" t="str">
            <v>صلواتی</v>
          </cell>
          <cell r="O437">
            <v>7604</v>
          </cell>
          <cell r="AC437" t="str">
            <v>1405/05/24</v>
          </cell>
          <cell r="AF437">
            <v>12</v>
          </cell>
          <cell r="AH437">
            <v>0</v>
          </cell>
        </row>
        <row r="438">
          <cell r="D438" t="str">
            <v>باقری اصل</v>
          </cell>
          <cell r="O438">
            <v>7204</v>
          </cell>
          <cell r="AC438" t="str">
            <v>1405/05/24</v>
          </cell>
          <cell r="AF438">
            <v>11</v>
          </cell>
          <cell r="AH438">
            <v>0</v>
          </cell>
        </row>
        <row r="439">
          <cell r="D439" t="str">
            <v>خیرخواه</v>
          </cell>
          <cell r="O439" t="str">
            <v>مونتاژ</v>
          </cell>
          <cell r="AC439" t="str">
            <v>1405/05/24</v>
          </cell>
          <cell r="AF439">
            <v>4</v>
          </cell>
          <cell r="AH439">
            <v>0</v>
          </cell>
        </row>
        <row r="440">
          <cell r="D440" t="str">
            <v>خیرخواه</v>
          </cell>
          <cell r="O440">
            <v>7401</v>
          </cell>
          <cell r="AC440" t="str">
            <v>1405/05/24</v>
          </cell>
          <cell r="AF440">
            <v>3</v>
          </cell>
          <cell r="AH440">
            <v>0</v>
          </cell>
        </row>
        <row r="441">
          <cell r="D441" t="str">
            <v>خیرخواه</v>
          </cell>
          <cell r="O441" t="str">
            <v>مونتاژ</v>
          </cell>
          <cell r="AC441" t="str">
            <v>1405/05/24</v>
          </cell>
          <cell r="AF441">
            <v>3</v>
          </cell>
          <cell r="AH441">
            <v>0</v>
          </cell>
        </row>
        <row r="442">
          <cell r="D442" t="str">
            <v>هاشم زاده</v>
          </cell>
          <cell r="O442">
            <v>8001</v>
          </cell>
          <cell r="AC442" t="str">
            <v>1405/05/24</v>
          </cell>
          <cell r="AF442">
            <v>2</v>
          </cell>
          <cell r="AH442">
            <v>0</v>
          </cell>
        </row>
        <row r="443">
          <cell r="D443" t="str">
            <v>هاشم زاده</v>
          </cell>
          <cell r="O443" t="str">
            <v>مونتاژ</v>
          </cell>
          <cell r="AC443" t="str">
            <v>1405/05/24</v>
          </cell>
          <cell r="AF443">
            <v>4</v>
          </cell>
          <cell r="AH443">
            <v>0</v>
          </cell>
        </row>
        <row r="444">
          <cell r="D444" t="str">
            <v>هاشم زاده</v>
          </cell>
          <cell r="O444" t="str">
            <v>مونتاژ</v>
          </cell>
          <cell r="AC444" t="str">
            <v>1405/05/24</v>
          </cell>
          <cell r="AF444">
            <v>5</v>
          </cell>
          <cell r="AH444">
            <v>0</v>
          </cell>
        </row>
        <row r="445">
          <cell r="D445" t="str">
            <v>کریم پرست</v>
          </cell>
          <cell r="O445">
            <v>7301</v>
          </cell>
          <cell r="AC445" t="str">
            <v>1405/05/24</v>
          </cell>
          <cell r="AF445">
            <v>3</v>
          </cell>
          <cell r="AH445">
            <v>0</v>
          </cell>
        </row>
        <row r="446">
          <cell r="D446" t="str">
            <v>کریم پرست</v>
          </cell>
          <cell r="O446">
            <v>7301</v>
          </cell>
          <cell r="AC446" t="str">
            <v>1405/05/24</v>
          </cell>
          <cell r="AF446">
            <v>3</v>
          </cell>
          <cell r="AH446">
            <v>0</v>
          </cell>
        </row>
        <row r="447">
          <cell r="D447" t="str">
            <v>کریم پرست</v>
          </cell>
          <cell r="O447">
            <v>7301</v>
          </cell>
          <cell r="AC447" t="str">
            <v>1405/05/24</v>
          </cell>
          <cell r="AF447">
            <v>1</v>
          </cell>
          <cell r="AH447">
            <v>0</v>
          </cell>
        </row>
        <row r="448">
          <cell r="D448" t="str">
            <v>کریم پرست</v>
          </cell>
          <cell r="O448">
            <v>7301</v>
          </cell>
          <cell r="AC448" t="str">
            <v>1405/05/24</v>
          </cell>
          <cell r="AF448">
            <v>4</v>
          </cell>
          <cell r="AH448">
            <v>0</v>
          </cell>
        </row>
        <row r="449">
          <cell r="D449" t="str">
            <v>یاراحمدی</v>
          </cell>
          <cell r="O449">
            <v>7501</v>
          </cell>
          <cell r="AC449" t="str">
            <v>1405/05/24</v>
          </cell>
          <cell r="AF449">
            <v>4</v>
          </cell>
          <cell r="AH449">
            <v>0</v>
          </cell>
        </row>
        <row r="450">
          <cell r="D450" t="str">
            <v>یاراحمدی</v>
          </cell>
          <cell r="O450">
            <v>7502</v>
          </cell>
          <cell r="AC450" t="str">
            <v>1405/05/24</v>
          </cell>
          <cell r="AF450">
            <v>9</v>
          </cell>
          <cell r="AH450">
            <v>0</v>
          </cell>
        </row>
        <row r="451">
          <cell r="D451" t="str">
            <v>یاراحمدی</v>
          </cell>
          <cell r="O451">
            <v>7501</v>
          </cell>
          <cell r="AC451" t="str">
            <v>1405/05/24</v>
          </cell>
          <cell r="AF451">
            <v>1</v>
          </cell>
          <cell r="AH451">
            <v>0</v>
          </cell>
        </row>
        <row r="452">
          <cell r="D452" t="str">
            <v>یاراحمدی</v>
          </cell>
          <cell r="O452">
            <v>7501</v>
          </cell>
          <cell r="AC452" t="str">
            <v>1405/05/24</v>
          </cell>
          <cell r="AF452">
            <v>6</v>
          </cell>
          <cell r="AH452">
            <v>0</v>
          </cell>
        </row>
        <row r="453">
          <cell r="D453" t="str">
            <v>یاراحمدی</v>
          </cell>
          <cell r="O453">
            <v>7502</v>
          </cell>
          <cell r="AC453" t="str">
            <v>1405/05/24</v>
          </cell>
          <cell r="AF453">
            <v>2</v>
          </cell>
          <cell r="AH453">
            <v>0</v>
          </cell>
        </row>
        <row r="454">
          <cell r="D454" t="str">
            <v>موسوی</v>
          </cell>
          <cell r="O454">
            <v>7302</v>
          </cell>
          <cell r="AC454" t="str">
            <v>1405/05/25</v>
          </cell>
          <cell r="AF454">
            <v>5.5</v>
          </cell>
          <cell r="AH454">
            <v>0</v>
          </cell>
        </row>
        <row r="455">
          <cell r="D455" t="str">
            <v>کریم پرست</v>
          </cell>
          <cell r="O455">
            <v>7301</v>
          </cell>
          <cell r="AC455" t="str">
            <v>1405/05/25</v>
          </cell>
          <cell r="AF455">
            <v>5.5</v>
          </cell>
          <cell r="AH455">
            <v>0</v>
          </cell>
        </row>
        <row r="456">
          <cell r="D456" t="str">
            <v>هاشم زاده</v>
          </cell>
          <cell r="O456" t="str">
            <v>دمونتاژ</v>
          </cell>
          <cell r="AC456" t="str">
            <v>1405/05/25</v>
          </cell>
          <cell r="AF456">
            <v>3</v>
          </cell>
          <cell r="AH456">
            <v>0</v>
          </cell>
        </row>
        <row r="457">
          <cell r="D457" t="str">
            <v>هاشم زاده</v>
          </cell>
          <cell r="O457" t="str">
            <v>دمونتاژ</v>
          </cell>
          <cell r="AC457" t="str">
            <v>1405/05/25</v>
          </cell>
          <cell r="AF457">
            <v>3</v>
          </cell>
          <cell r="AH457">
            <v>0</v>
          </cell>
        </row>
        <row r="458">
          <cell r="D458" t="str">
            <v>هاشم زاده</v>
          </cell>
          <cell r="O458" t="str">
            <v>دمونتاژ</v>
          </cell>
          <cell r="AC458" t="str">
            <v>1405/05/25</v>
          </cell>
          <cell r="AF458">
            <v>2</v>
          </cell>
          <cell r="AH458">
            <v>0</v>
          </cell>
        </row>
        <row r="459">
          <cell r="D459" t="str">
            <v>خیرخواه</v>
          </cell>
          <cell r="O459" t="str">
            <v>مونتاژ</v>
          </cell>
          <cell r="AC459" t="str">
            <v>1405/05/25</v>
          </cell>
          <cell r="AF459">
            <v>1.5</v>
          </cell>
          <cell r="AH459">
            <v>0</v>
          </cell>
        </row>
        <row r="460">
          <cell r="D460" t="str">
            <v>خیرخواه</v>
          </cell>
          <cell r="O460" t="str">
            <v>دمونتاژ</v>
          </cell>
          <cell r="AC460" t="str">
            <v>1405/05/25</v>
          </cell>
          <cell r="AF460">
            <v>3</v>
          </cell>
          <cell r="AH460">
            <v>0</v>
          </cell>
        </row>
        <row r="461">
          <cell r="D461" t="str">
            <v>خیرخواه</v>
          </cell>
          <cell r="O461" t="str">
            <v>مونتاژ</v>
          </cell>
          <cell r="AC461" t="str">
            <v>1405/05/25</v>
          </cell>
          <cell r="AF461">
            <v>1.5</v>
          </cell>
          <cell r="AH461">
            <v>0</v>
          </cell>
        </row>
        <row r="462">
          <cell r="D462" t="str">
            <v>خیرخواه</v>
          </cell>
          <cell r="O462" t="str">
            <v>دمونتاژ</v>
          </cell>
          <cell r="AC462" t="str">
            <v>1405/05/25</v>
          </cell>
          <cell r="AF462">
            <v>1.5</v>
          </cell>
          <cell r="AH462">
            <v>0</v>
          </cell>
        </row>
        <row r="463">
          <cell r="D463" t="str">
            <v>خیرخواه</v>
          </cell>
          <cell r="O463" t="str">
            <v>دمونتاژ</v>
          </cell>
          <cell r="AC463" t="str">
            <v>1405/05/25</v>
          </cell>
          <cell r="AF463">
            <v>3</v>
          </cell>
          <cell r="AH463">
            <v>0</v>
          </cell>
        </row>
        <row r="464">
          <cell r="D464" t="str">
            <v>مطهری</v>
          </cell>
          <cell r="O464">
            <v>7203</v>
          </cell>
          <cell r="AC464" t="str">
            <v>1405/05/25</v>
          </cell>
          <cell r="AF464">
            <v>7.5</v>
          </cell>
          <cell r="AH464">
            <v>0</v>
          </cell>
        </row>
        <row r="465">
          <cell r="D465" t="str">
            <v>مطهری</v>
          </cell>
          <cell r="O465">
            <v>7203</v>
          </cell>
          <cell r="AC465" t="str">
            <v>1405/05/25</v>
          </cell>
          <cell r="AF465">
            <v>3.5</v>
          </cell>
          <cell r="AH465">
            <v>0</v>
          </cell>
        </row>
        <row r="466">
          <cell r="D466" t="str">
            <v>یاراحمدی</v>
          </cell>
          <cell r="O466">
            <v>7501</v>
          </cell>
          <cell r="AC466" t="str">
            <v>1405/05/25</v>
          </cell>
          <cell r="AF466">
            <v>11</v>
          </cell>
          <cell r="AH466">
            <v>0</v>
          </cell>
        </row>
        <row r="467">
          <cell r="D467" t="str">
            <v>یاراحمدی</v>
          </cell>
          <cell r="O467">
            <v>7502</v>
          </cell>
          <cell r="AC467" t="str">
            <v>1405/05/25</v>
          </cell>
          <cell r="AF467">
            <v>9</v>
          </cell>
          <cell r="AH467">
            <v>0</v>
          </cell>
        </row>
        <row r="468">
          <cell r="D468" t="str">
            <v>یاراحمدی</v>
          </cell>
          <cell r="O468">
            <v>7502</v>
          </cell>
          <cell r="AC468" t="str">
            <v>1405/05/25</v>
          </cell>
          <cell r="AF468">
            <v>2</v>
          </cell>
          <cell r="AH468">
            <v>0</v>
          </cell>
        </row>
        <row r="469">
          <cell r="D469" t="str">
            <v>فراهی</v>
          </cell>
          <cell r="O469">
            <v>7103</v>
          </cell>
          <cell r="AC469" t="str">
            <v>1405/05/25</v>
          </cell>
          <cell r="AF469">
            <v>1.5</v>
          </cell>
          <cell r="AH469">
            <v>0</v>
          </cell>
        </row>
        <row r="470">
          <cell r="D470" t="str">
            <v>فراهی</v>
          </cell>
          <cell r="O470">
            <v>7103</v>
          </cell>
          <cell r="AC470" t="str">
            <v>1405/05/25</v>
          </cell>
          <cell r="AF470">
            <v>3</v>
          </cell>
          <cell r="AH470">
            <v>0</v>
          </cell>
        </row>
        <row r="471">
          <cell r="D471" t="str">
            <v>فراهی</v>
          </cell>
          <cell r="O471">
            <v>7103</v>
          </cell>
          <cell r="AC471" t="str">
            <v>1405/05/25</v>
          </cell>
          <cell r="AF471">
            <v>2</v>
          </cell>
          <cell r="AH471">
            <v>0</v>
          </cell>
        </row>
        <row r="472">
          <cell r="D472" t="str">
            <v>حیدری</v>
          </cell>
          <cell r="O472">
            <v>8002</v>
          </cell>
          <cell r="AC472" t="str">
            <v>1405/05/25</v>
          </cell>
          <cell r="AF472">
            <v>11</v>
          </cell>
          <cell r="AH472">
            <v>0</v>
          </cell>
        </row>
        <row r="473">
          <cell r="D473" t="str">
            <v>قیطاسوند</v>
          </cell>
          <cell r="O473">
            <v>7102</v>
          </cell>
          <cell r="AC473" t="str">
            <v>1405/05/25</v>
          </cell>
          <cell r="AF473">
            <v>3.5</v>
          </cell>
          <cell r="AH473">
            <v>0</v>
          </cell>
        </row>
        <row r="474">
          <cell r="D474" t="str">
            <v>قیطاسوند</v>
          </cell>
          <cell r="O474">
            <v>7102</v>
          </cell>
          <cell r="AC474" t="str">
            <v>1405/05/25</v>
          </cell>
          <cell r="AF474">
            <v>4</v>
          </cell>
          <cell r="AH474">
            <v>0</v>
          </cell>
        </row>
        <row r="475">
          <cell r="D475" t="str">
            <v>قیطاسوند</v>
          </cell>
          <cell r="O475">
            <v>7102</v>
          </cell>
          <cell r="AC475" t="str">
            <v>1405/05/25</v>
          </cell>
          <cell r="AF475">
            <v>3.5</v>
          </cell>
          <cell r="AH475">
            <v>0</v>
          </cell>
        </row>
        <row r="476">
          <cell r="D476" t="str">
            <v>مسعودی</v>
          </cell>
          <cell r="O476">
            <v>7202</v>
          </cell>
          <cell r="AC476" t="str">
            <v>1405/05/25</v>
          </cell>
          <cell r="AF476">
            <v>11</v>
          </cell>
          <cell r="AH476">
            <v>0</v>
          </cell>
        </row>
        <row r="477">
          <cell r="D477" t="str">
            <v>صلواتی</v>
          </cell>
          <cell r="O477">
            <v>7601</v>
          </cell>
          <cell r="AC477" t="str">
            <v>1405/05/25</v>
          </cell>
          <cell r="AF477">
            <v>12</v>
          </cell>
          <cell r="AH477">
            <v>0</v>
          </cell>
        </row>
        <row r="478">
          <cell r="D478" t="str">
            <v>صلواتی</v>
          </cell>
          <cell r="O478">
            <v>7602</v>
          </cell>
          <cell r="AC478" t="str">
            <v>1405/05/25</v>
          </cell>
          <cell r="AF478">
            <v>12</v>
          </cell>
          <cell r="AH478">
            <v>0</v>
          </cell>
        </row>
        <row r="479">
          <cell r="D479" t="str">
            <v>صلواتی</v>
          </cell>
          <cell r="O479">
            <v>7604</v>
          </cell>
          <cell r="AC479" t="str">
            <v>1405/05/25</v>
          </cell>
          <cell r="AF479">
            <v>3</v>
          </cell>
          <cell r="AH479">
            <v>0</v>
          </cell>
        </row>
        <row r="480">
          <cell r="D480" t="str">
            <v>صلواتی</v>
          </cell>
          <cell r="O480">
            <v>7604</v>
          </cell>
          <cell r="AC480" t="str">
            <v>1405/05/25</v>
          </cell>
          <cell r="AF480">
            <v>3</v>
          </cell>
          <cell r="AH480">
            <v>0</v>
          </cell>
        </row>
        <row r="481">
          <cell r="D481" t="str">
            <v>صلواتی</v>
          </cell>
          <cell r="O481">
            <v>7605</v>
          </cell>
          <cell r="AC481" t="str">
            <v>1405/05/25</v>
          </cell>
          <cell r="AF481">
            <v>12</v>
          </cell>
          <cell r="AH481">
            <v>0</v>
          </cell>
        </row>
        <row r="482">
          <cell r="D482" t="str">
            <v>صلواتی</v>
          </cell>
          <cell r="O482">
            <v>7604</v>
          </cell>
          <cell r="AC482" t="str">
            <v>1405/05/25</v>
          </cell>
          <cell r="AF482">
            <v>6</v>
          </cell>
          <cell r="AH482">
            <v>0</v>
          </cell>
        </row>
        <row r="483">
          <cell r="D483" t="str">
            <v>باقری اصل</v>
          </cell>
          <cell r="O483">
            <v>7204</v>
          </cell>
          <cell r="AC483" t="str">
            <v>1405/05/25</v>
          </cell>
          <cell r="AF483">
            <v>4</v>
          </cell>
          <cell r="AH483">
            <v>0</v>
          </cell>
        </row>
        <row r="484">
          <cell r="D484" t="str">
            <v>باقری اصل</v>
          </cell>
          <cell r="O484">
            <v>7204</v>
          </cell>
          <cell r="AC484" t="str">
            <v>1405/05/25</v>
          </cell>
          <cell r="AF484">
            <v>3.5</v>
          </cell>
          <cell r="AH484">
            <v>0</v>
          </cell>
        </row>
        <row r="485">
          <cell r="D485" t="str">
            <v>باقری اصل</v>
          </cell>
          <cell r="O485">
            <v>7204</v>
          </cell>
          <cell r="AC485" t="str">
            <v>1405/05/25</v>
          </cell>
          <cell r="AF485">
            <v>1.5</v>
          </cell>
          <cell r="AH485">
            <v>2</v>
          </cell>
        </row>
        <row r="486">
          <cell r="D486" t="str">
            <v>موسوی</v>
          </cell>
          <cell r="O486">
            <v>7302</v>
          </cell>
          <cell r="AC486" t="str">
            <v>1405/05/25</v>
          </cell>
          <cell r="AF486">
            <v>2</v>
          </cell>
          <cell r="AH486">
            <v>0</v>
          </cell>
        </row>
        <row r="487">
          <cell r="D487" t="str">
            <v>موسوی</v>
          </cell>
          <cell r="O487">
            <v>7303</v>
          </cell>
          <cell r="AC487" t="str">
            <v>1405/05/25</v>
          </cell>
          <cell r="AF487">
            <v>9</v>
          </cell>
          <cell r="AH487">
            <v>0</v>
          </cell>
        </row>
        <row r="488">
          <cell r="D488" t="str">
            <v>زیلویی</v>
          </cell>
          <cell r="O488">
            <v>7203</v>
          </cell>
          <cell r="AC488" t="str">
            <v>1405/05/26</v>
          </cell>
          <cell r="AF488">
            <v>11</v>
          </cell>
          <cell r="AH488">
            <v>0</v>
          </cell>
        </row>
        <row r="489">
          <cell r="D489" t="str">
            <v>مسعودی</v>
          </cell>
          <cell r="O489">
            <v>7202</v>
          </cell>
          <cell r="AC489" t="str">
            <v>1405/05/26</v>
          </cell>
          <cell r="AF489">
            <v>8.5</v>
          </cell>
          <cell r="AH489">
            <v>0</v>
          </cell>
        </row>
        <row r="490">
          <cell r="D490" t="str">
            <v>مسعودی</v>
          </cell>
          <cell r="O490">
            <v>7202</v>
          </cell>
          <cell r="AC490" t="str">
            <v>1405/05/26</v>
          </cell>
          <cell r="AF490">
            <v>2.5</v>
          </cell>
          <cell r="AH490">
            <v>0</v>
          </cell>
        </row>
        <row r="491">
          <cell r="D491" t="str">
            <v>مسعودی</v>
          </cell>
          <cell r="O491">
            <v>7202</v>
          </cell>
          <cell r="AC491" t="str">
            <v>1405/05/27</v>
          </cell>
          <cell r="AF491">
            <v>11</v>
          </cell>
          <cell r="AH491">
            <v>0</v>
          </cell>
        </row>
        <row r="492">
          <cell r="D492" t="str">
            <v>قیطاسوند</v>
          </cell>
          <cell r="O492">
            <v>7102</v>
          </cell>
          <cell r="AC492" t="str">
            <v>1405/05/26</v>
          </cell>
          <cell r="AF492">
            <v>11</v>
          </cell>
          <cell r="AH492">
            <v>0</v>
          </cell>
        </row>
        <row r="493">
          <cell r="D493" t="str">
            <v>قیطاسوند</v>
          </cell>
          <cell r="O493">
            <v>7102</v>
          </cell>
          <cell r="AC493" t="str">
            <v>1405/05/27</v>
          </cell>
          <cell r="AF493">
            <v>11</v>
          </cell>
          <cell r="AH493">
            <v>0</v>
          </cell>
        </row>
        <row r="494">
          <cell r="D494" t="str">
            <v>فراهی</v>
          </cell>
          <cell r="O494">
            <v>7103</v>
          </cell>
          <cell r="AC494" t="str">
            <v>1405/05/26</v>
          </cell>
          <cell r="AF494">
            <v>6.5</v>
          </cell>
          <cell r="AH494">
            <v>0</v>
          </cell>
        </row>
        <row r="495">
          <cell r="D495" t="str">
            <v>فراهی</v>
          </cell>
          <cell r="O495">
            <v>7103</v>
          </cell>
          <cell r="AC495" t="str">
            <v>1405/05/27</v>
          </cell>
          <cell r="AF495">
            <v>6.5</v>
          </cell>
          <cell r="AH495">
            <v>0</v>
          </cell>
        </row>
        <row r="496">
          <cell r="D496" t="str">
            <v>باقری اصل</v>
          </cell>
          <cell r="O496">
            <v>7204</v>
          </cell>
          <cell r="AC496" t="str">
            <v>1405/05/26</v>
          </cell>
          <cell r="AF496">
            <v>8.5</v>
          </cell>
          <cell r="AH496">
            <v>2.5</v>
          </cell>
        </row>
        <row r="497">
          <cell r="D497" t="str">
            <v>باقری اصل</v>
          </cell>
          <cell r="O497">
            <v>7204</v>
          </cell>
          <cell r="AC497" t="str">
            <v>1405/05/27</v>
          </cell>
          <cell r="AF497">
            <v>9.3333333333333339</v>
          </cell>
          <cell r="AH497">
            <v>1.6666666666666667</v>
          </cell>
        </row>
        <row r="498">
          <cell r="D498" t="str">
            <v>کریم پرست</v>
          </cell>
          <cell r="O498">
            <v>7301</v>
          </cell>
          <cell r="AC498" t="str">
            <v>1405/05/26</v>
          </cell>
          <cell r="AF498">
            <v>2</v>
          </cell>
          <cell r="AH498">
            <v>0</v>
          </cell>
        </row>
        <row r="499">
          <cell r="D499" t="str">
            <v>کریم پرست</v>
          </cell>
          <cell r="O499">
            <v>7301</v>
          </cell>
          <cell r="AC499" t="str">
            <v>1405/05/26</v>
          </cell>
          <cell r="AF499">
            <v>2</v>
          </cell>
          <cell r="AH499">
            <v>0</v>
          </cell>
        </row>
        <row r="500">
          <cell r="D500" t="str">
            <v>کریم پرست</v>
          </cell>
          <cell r="O500">
            <v>7301</v>
          </cell>
          <cell r="AC500" t="str">
            <v>1405/05/26</v>
          </cell>
          <cell r="AF500">
            <v>3</v>
          </cell>
          <cell r="AH500">
            <v>0</v>
          </cell>
        </row>
        <row r="501">
          <cell r="D501" t="str">
            <v>کریم پرست</v>
          </cell>
          <cell r="O501">
            <v>7301</v>
          </cell>
          <cell r="AC501" t="str">
            <v>1405/05/26</v>
          </cell>
          <cell r="AF501">
            <v>4</v>
          </cell>
          <cell r="AH501">
            <v>0</v>
          </cell>
        </row>
        <row r="502">
          <cell r="D502" t="str">
            <v>کریم پرست</v>
          </cell>
          <cell r="O502">
            <v>7301</v>
          </cell>
          <cell r="AC502" t="str">
            <v>1405/05/27</v>
          </cell>
          <cell r="AF502">
            <v>11</v>
          </cell>
          <cell r="AH502">
            <v>0</v>
          </cell>
        </row>
        <row r="503">
          <cell r="D503" t="str">
            <v>یاراحمدی</v>
          </cell>
          <cell r="O503">
            <v>7501</v>
          </cell>
          <cell r="AC503" t="str">
            <v>1405/05/26</v>
          </cell>
          <cell r="AF503">
            <v>11</v>
          </cell>
          <cell r="AH503">
            <v>0</v>
          </cell>
        </row>
        <row r="504">
          <cell r="D504" t="str">
            <v>یاراحمدی</v>
          </cell>
          <cell r="O504">
            <v>7502</v>
          </cell>
          <cell r="AC504" t="str">
            <v>1405/05/26</v>
          </cell>
          <cell r="AF504">
            <v>1</v>
          </cell>
          <cell r="AH504">
            <v>0</v>
          </cell>
        </row>
        <row r="505">
          <cell r="D505" t="str">
            <v>یاراحمدی</v>
          </cell>
          <cell r="O505">
            <v>7502</v>
          </cell>
          <cell r="AC505" t="str">
            <v>1405/05/26</v>
          </cell>
          <cell r="AF505">
            <v>4</v>
          </cell>
          <cell r="AH505">
            <v>0</v>
          </cell>
        </row>
        <row r="506">
          <cell r="D506" t="str">
            <v>یاراحمدی</v>
          </cell>
          <cell r="O506">
            <v>7502</v>
          </cell>
          <cell r="AC506" t="str">
            <v>1405/05/27</v>
          </cell>
          <cell r="AF506">
            <v>11</v>
          </cell>
          <cell r="AH506">
            <v>0</v>
          </cell>
        </row>
        <row r="507">
          <cell r="D507" t="str">
            <v>یاراحمدی</v>
          </cell>
          <cell r="O507">
            <v>7501</v>
          </cell>
          <cell r="AC507" t="str">
            <v>1405/05/27</v>
          </cell>
          <cell r="AF507">
            <v>4</v>
          </cell>
          <cell r="AH507">
            <v>0</v>
          </cell>
        </row>
        <row r="508">
          <cell r="D508" t="str">
            <v>یاراحمدی</v>
          </cell>
          <cell r="O508">
            <v>7501</v>
          </cell>
          <cell r="AC508" t="str">
            <v>1405/05/27</v>
          </cell>
          <cell r="AF508">
            <v>7</v>
          </cell>
          <cell r="AH508">
            <v>0</v>
          </cell>
        </row>
        <row r="509">
          <cell r="D509" t="str">
            <v>هاشم زاده</v>
          </cell>
          <cell r="O509" t="str">
            <v>دمونتاژ</v>
          </cell>
          <cell r="AC509" t="str">
            <v>1405/05/26</v>
          </cell>
          <cell r="AF509">
            <v>3</v>
          </cell>
          <cell r="AH509">
            <v>0</v>
          </cell>
        </row>
        <row r="510">
          <cell r="D510" t="str">
            <v>هاشم زاده</v>
          </cell>
          <cell r="O510" t="str">
            <v>دمونتاژ</v>
          </cell>
          <cell r="AC510" t="str">
            <v>1405/05/26</v>
          </cell>
          <cell r="AF510">
            <v>3</v>
          </cell>
          <cell r="AH510">
            <v>0</v>
          </cell>
        </row>
        <row r="511">
          <cell r="D511" t="str">
            <v>هاشم زاده</v>
          </cell>
          <cell r="O511" t="str">
            <v>دمونتاژ</v>
          </cell>
          <cell r="AC511" t="str">
            <v>1405/05/26</v>
          </cell>
          <cell r="AF511">
            <v>3</v>
          </cell>
          <cell r="AH511">
            <v>0</v>
          </cell>
        </row>
        <row r="512">
          <cell r="D512" t="str">
            <v>هاشم زاده</v>
          </cell>
          <cell r="O512" t="str">
            <v>مونتاژ</v>
          </cell>
          <cell r="AC512" t="str">
            <v>1405/05/27</v>
          </cell>
          <cell r="AF512">
            <v>2</v>
          </cell>
          <cell r="AH512">
            <v>0</v>
          </cell>
        </row>
        <row r="513">
          <cell r="D513" t="str">
            <v>هاشم زاده</v>
          </cell>
          <cell r="O513" t="str">
            <v>مونتاژ</v>
          </cell>
          <cell r="AC513" t="str">
            <v>1405/05/27</v>
          </cell>
          <cell r="AF513">
            <v>2</v>
          </cell>
          <cell r="AH513">
            <v>0</v>
          </cell>
        </row>
        <row r="514">
          <cell r="D514" t="str">
            <v>هاشم زاده</v>
          </cell>
          <cell r="O514" t="str">
            <v>دمونتاژ</v>
          </cell>
          <cell r="AC514" t="str">
            <v>1405/05/27</v>
          </cell>
          <cell r="AF514">
            <v>2</v>
          </cell>
          <cell r="AH514">
            <v>0</v>
          </cell>
        </row>
        <row r="515">
          <cell r="D515" t="str">
            <v>هاشم زاده</v>
          </cell>
          <cell r="O515" t="str">
            <v>دمونتاژ</v>
          </cell>
          <cell r="AC515" t="str">
            <v>1405/05/27</v>
          </cell>
          <cell r="AF515">
            <v>2</v>
          </cell>
          <cell r="AH515">
            <v>0</v>
          </cell>
        </row>
        <row r="516">
          <cell r="D516" t="str">
            <v>هاشم زاده</v>
          </cell>
          <cell r="O516" t="str">
            <v>دمونتاژ</v>
          </cell>
          <cell r="AC516" t="str">
            <v>1405/05/27</v>
          </cell>
          <cell r="AF516">
            <v>3</v>
          </cell>
          <cell r="AH516">
            <v>0</v>
          </cell>
        </row>
        <row r="517">
          <cell r="D517" t="str">
            <v>موسوی</v>
          </cell>
          <cell r="O517">
            <v>7302</v>
          </cell>
          <cell r="AC517" t="str">
            <v>1405/05/26</v>
          </cell>
          <cell r="AF517">
            <v>5</v>
          </cell>
          <cell r="AH517">
            <v>0</v>
          </cell>
        </row>
        <row r="518">
          <cell r="D518" t="str">
            <v>موسوی</v>
          </cell>
          <cell r="O518">
            <v>7302</v>
          </cell>
          <cell r="AC518" t="str">
            <v>1405/05/26</v>
          </cell>
          <cell r="AF518">
            <v>1</v>
          </cell>
          <cell r="AH518">
            <v>0</v>
          </cell>
        </row>
        <row r="519">
          <cell r="D519" t="str">
            <v>موسوی</v>
          </cell>
          <cell r="O519">
            <v>7302</v>
          </cell>
          <cell r="AC519" t="str">
            <v>1405/05/26</v>
          </cell>
          <cell r="AF519">
            <v>2</v>
          </cell>
          <cell r="AH519">
            <v>0</v>
          </cell>
        </row>
        <row r="520">
          <cell r="D520" t="str">
            <v>موسوی</v>
          </cell>
          <cell r="O520">
            <v>7302</v>
          </cell>
          <cell r="AC520" t="str">
            <v>1405/05/26</v>
          </cell>
          <cell r="AF520">
            <v>3</v>
          </cell>
          <cell r="AH520">
            <v>0</v>
          </cell>
        </row>
        <row r="521">
          <cell r="D521" t="str">
            <v>موسوی</v>
          </cell>
          <cell r="O521">
            <v>7302</v>
          </cell>
          <cell r="AC521" t="str">
            <v>1405/05/27</v>
          </cell>
          <cell r="AF521">
            <v>3</v>
          </cell>
          <cell r="AH521">
            <v>0</v>
          </cell>
        </row>
        <row r="522">
          <cell r="D522" t="str">
            <v>موسوی</v>
          </cell>
          <cell r="O522">
            <v>7302</v>
          </cell>
          <cell r="AC522" t="str">
            <v>1405/05/27</v>
          </cell>
          <cell r="AF522">
            <v>6</v>
          </cell>
          <cell r="AH522">
            <v>2</v>
          </cell>
        </row>
        <row r="523">
          <cell r="D523" t="str">
            <v>خیرخواه</v>
          </cell>
          <cell r="O523">
            <v>7401</v>
          </cell>
          <cell r="AC523" t="str">
            <v>1405/05/26</v>
          </cell>
          <cell r="AF523">
            <v>0.5</v>
          </cell>
          <cell r="AH523">
            <v>0</v>
          </cell>
        </row>
        <row r="524">
          <cell r="D524" t="str">
            <v>خیرخواه</v>
          </cell>
          <cell r="O524">
            <v>7401</v>
          </cell>
          <cell r="AC524" t="str">
            <v>1405/05/26</v>
          </cell>
          <cell r="AF524">
            <v>0.5</v>
          </cell>
          <cell r="AH524">
            <v>0</v>
          </cell>
        </row>
        <row r="525">
          <cell r="D525" t="str">
            <v>خیرخواه</v>
          </cell>
          <cell r="O525" t="str">
            <v>دمونتاژ</v>
          </cell>
          <cell r="AC525" t="str">
            <v>1405/05/26</v>
          </cell>
          <cell r="AF525">
            <v>3</v>
          </cell>
          <cell r="AH525">
            <v>0</v>
          </cell>
        </row>
        <row r="526">
          <cell r="D526" t="str">
            <v>خیرخواه</v>
          </cell>
          <cell r="O526" t="str">
            <v>دمونتاژ</v>
          </cell>
          <cell r="AC526" t="str">
            <v>1405/05/26</v>
          </cell>
          <cell r="AF526">
            <v>5</v>
          </cell>
          <cell r="AH526">
            <v>0</v>
          </cell>
        </row>
        <row r="527">
          <cell r="D527" t="str">
            <v>خیرخواه</v>
          </cell>
          <cell r="O527">
            <v>7401</v>
          </cell>
          <cell r="AC527" t="str">
            <v>1405/05/27</v>
          </cell>
          <cell r="AF527">
            <v>1</v>
          </cell>
          <cell r="AH527">
            <v>0</v>
          </cell>
        </row>
        <row r="528">
          <cell r="D528" t="str">
            <v>خیرخواه</v>
          </cell>
          <cell r="O528">
            <v>7401</v>
          </cell>
          <cell r="AC528" t="str">
            <v>1405/05/27</v>
          </cell>
          <cell r="AF528">
            <v>1</v>
          </cell>
          <cell r="AH528">
            <v>0</v>
          </cell>
        </row>
        <row r="529">
          <cell r="D529" t="str">
            <v>خیرخواه</v>
          </cell>
          <cell r="O529" t="str">
            <v>دمونتاژ</v>
          </cell>
          <cell r="AC529" t="str">
            <v>1405/05/27</v>
          </cell>
          <cell r="AF529">
            <v>2.5</v>
          </cell>
          <cell r="AH529">
            <v>0</v>
          </cell>
        </row>
        <row r="530">
          <cell r="D530" t="str">
            <v>خیرخواه</v>
          </cell>
          <cell r="O530" t="str">
            <v>دمونتاژ</v>
          </cell>
          <cell r="AC530" t="str">
            <v>1405/05/27</v>
          </cell>
          <cell r="AF530">
            <v>1.5</v>
          </cell>
          <cell r="AH530">
            <v>0</v>
          </cell>
        </row>
        <row r="531">
          <cell r="D531" t="str">
            <v>خیرخواه</v>
          </cell>
          <cell r="O531" t="str">
            <v>مونتاژ</v>
          </cell>
          <cell r="AC531" t="str">
            <v>1405/05/27</v>
          </cell>
          <cell r="AF531">
            <v>2</v>
          </cell>
          <cell r="AH531">
            <v>0</v>
          </cell>
        </row>
        <row r="532">
          <cell r="D532" t="str">
            <v>خیرخواه</v>
          </cell>
          <cell r="O532">
            <v>7401</v>
          </cell>
          <cell r="AC532" t="str">
            <v>1405/05/27</v>
          </cell>
          <cell r="AF532">
            <v>1</v>
          </cell>
          <cell r="AH532">
            <v>2</v>
          </cell>
        </row>
        <row r="533">
          <cell r="D533" t="str">
            <v>صلواتی</v>
          </cell>
          <cell r="O533">
            <v>7601</v>
          </cell>
          <cell r="AC533" t="str">
            <v>1405/05/26</v>
          </cell>
          <cell r="AF533">
            <v>12</v>
          </cell>
          <cell r="AH533">
            <v>0</v>
          </cell>
        </row>
        <row r="534">
          <cell r="D534" t="str">
            <v>صلواتی</v>
          </cell>
          <cell r="O534">
            <v>7602</v>
          </cell>
          <cell r="AC534" t="str">
            <v>1405/05/26</v>
          </cell>
          <cell r="AF534">
            <v>6</v>
          </cell>
          <cell r="AH534">
            <v>0</v>
          </cell>
        </row>
        <row r="535">
          <cell r="D535" t="str">
            <v>صلواتی</v>
          </cell>
          <cell r="O535">
            <v>7602</v>
          </cell>
          <cell r="AC535" t="str">
            <v>1405/05/26</v>
          </cell>
          <cell r="AF535">
            <v>2</v>
          </cell>
          <cell r="AH535">
            <v>0</v>
          </cell>
        </row>
        <row r="536">
          <cell r="D536" t="str">
            <v>صلواتی</v>
          </cell>
          <cell r="O536">
            <v>7602</v>
          </cell>
          <cell r="AC536" t="str">
            <v>1405/05/26</v>
          </cell>
          <cell r="AF536">
            <v>3</v>
          </cell>
          <cell r="AH536">
            <v>0</v>
          </cell>
        </row>
        <row r="537">
          <cell r="D537" t="str">
            <v>صلواتی</v>
          </cell>
          <cell r="O537">
            <v>7604</v>
          </cell>
          <cell r="AC537" t="str">
            <v>1405/05/26</v>
          </cell>
          <cell r="AF537">
            <v>12</v>
          </cell>
          <cell r="AH537">
            <v>0</v>
          </cell>
        </row>
        <row r="538">
          <cell r="D538" t="str">
            <v>صلواتی</v>
          </cell>
          <cell r="O538">
            <v>7605</v>
          </cell>
          <cell r="AC538" t="str">
            <v>1405/05/26</v>
          </cell>
          <cell r="AF538">
            <v>12</v>
          </cell>
          <cell r="AH538">
            <v>0</v>
          </cell>
        </row>
        <row r="539">
          <cell r="D539" t="str">
            <v>صلواتی</v>
          </cell>
          <cell r="O539">
            <v>7601</v>
          </cell>
          <cell r="AC539" t="str">
            <v>1405/05/27</v>
          </cell>
          <cell r="AF539">
            <v>11</v>
          </cell>
          <cell r="AH539">
            <v>0</v>
          </cell>
        </row>
        <row r="540">
          <cell r="D540" t="str">
            <v>صلواتی</v>
          </cell>
          <cell r="O540">
            <v>7605</v>
          </cell>
          <cell r="AC540" t="str">
            <v>1405/05/27</v>
          </cell>
          <cell r="AF540">
            <v>11</v>
          </cell>
          <cell r="AH540">
            <v>0</v>
          </cell>
        </row>
        <row r="541">
          <cell r="D541" t="str">
            <v>صلواتی</v>
          </cell>
          <cell r="O541">
            <v>7602</v>
          </cell>
          <cell r="AC541" t="str">
            <v>1405/05/27</v>
          </cell>
          <cell r="AF541">
            <v>2</v>
          </cell>
          <cell r="AH541">
            <v>0</v>
          </cell>
        </row>
        <row r="542">
          <cell r="D542" t="str">
            <v>صلواتی</v>
          </cell>
          <cell r="O542">
            <v>7604</v>
          </cell>
          <cell r="AC542" t="str">
            <v>1405/05/27</v>
          </cell>
          <cell r="AF542">
            <v>3</v>
          </cell>
          <cell r="AH542">
            <v>0</v>
          </cell>
        </row>
        <row r="543">
          <cell r="D543" t="str">
            <v>صلواتی</v>
          </cell>
          <cell r="O543">
            <v>7604</v>
          </cell>
          <cell r="AC543" t="str">
            <v>1405/05/27</v>
          </cell>
          <cell r="AF543">
            <v>1</v>
          </cell>
          <cell r="AH543">
            <v>0</v>
          </cell>
        </row>
        <row r="544">
          <cell r="D544" t="str">
            <v>صلواتی</v>
          </cell>
          <cell r="O544">
            <v>7602</v>
          </cell>
          <cell r="AC544" t="str">
            <v>1405/05/27</v>
          </cell>
          <cell r="AF544">
            <v>8</v>
          </cell>
          <cell r="AH544">
            <v>1</v>
          </cell>
        </row>
        <row r="545">
          <cell r="D545" t="str">
            <v>حیدری</v>
          </cell>
          <cell r="O545">
            <v>8002</v>
          </cell>
          <cell r="AC545" t="str">
            <v>1405/05/26</v>
          </cell>
          <cell r="AF545">
            <v>6.166666666666667</v>
          </cell>
          <cell r="AH545">
            <v>37.833333333333336</v>
          </cell>
        </row>
        <row r="546">
          <cell r="D546" t="str">
            <v>فراهی</v>
          </cell>
          <cell r="O546">
            <v>7103</v>
          </cell>
          <cell r="AC546" t="str">
            <v>1405/05/28</v>
          </cell>
          <cell r="AF546">
            <v>1.5</v>
          </cell>
          <cell r="AH546">
            <v>0</v>
          </cell>
        </row>
        <row r="547">
          <cell r="D547" t="str">
            <v>فراهی</v>
          </cell>
          <cell r="O547">
            <v>7103</v>
          </cell>
          <cell r="AC547" t="str">
            <v>1405/05/28</v>
          </cell>
          <cell r="AF547">
            <v>3</v>
          </cell>
          <cell r="AH547">
            <v>0</v>
          </cell>
        </row>
        <row r="548">
          <cell r="D548" t="str">
            <v>فراهی</v>
          </cell>
          <cell r="O548">
            <v>7103</v>
          </cell>
          <cell r="AC548" t="str">
            <v>1405/05/28</v>
          </cell>
          <cell r="AF548">
            <v>2</v>
          </cell>
          <cell r="AH548">
            <v>0</v>
          </cell>
        </row>
        <row r="549">
          <cell r="D549" t="str">
            <v>قیطاسوند</v>
          </cell>
          <cell r="O549">
            <v>7102</v>
          </cell>
          <cell r="AC549" t="str">
            <v>1405/05/28</v>
          </cell>
          <cell r="AF549">
            <v>11</v>
          </cell>
          <cell r="AH549">
            <v>0</v>
          </cell>
        </row>
        <row r="550">
          <cell r="D550" t="str">
            <v>کریم پرست</v>
          </cell>
          <cell r="O550">
            <v>7301</v>
          </cell>
          <cell r="AC550" t="str">
            <v>1405/05/28</v>
          </cell>
          <cell r="AF550">
            <v>11</v>
          </cell>
          <cell r="AH550">
            <v>0</v>
          </cell>
        </row>
        <row r="551">
          <cell r="D551" t="str">
            <v>یاراحمدی</v>
          </cell>
          <cell r="O551" t="str">
            <v>مونتاژ</v>
          </cell>
          <cell r="AC551" t="str">
            <v>1405/05/28</v>
          </cell>
          <cell r="AF551">
            <v>10</v>
          </cell>
          <cell r="AH551">
            <v>0</v>
          </cell>
        </row>
        <row r="552">
          <cell r="D552" t="str">
            <v>خیرخواه</v>
          </cell>
          <cell r="O552" t="str">
            <v>مونتاژ</v>
          </cell>
          <cell r="AC552" t="str">
            <v>1405/05/28</v>
          </cell>
          <cell r="AF552">
            <v>1</v>
          </cell>
          <cell r="AH552">
            <v>0</v>
          </cell>
        </row>
        <row r="553">
          <cell r="D553" t="str">
            <v>زیلویی</v>
          </cell>
          <cell r="O553">
            <v>7203</v>
          </cell>
          <cell r="AC553" t="str">
            <v>1405/05/28</v>
          </cell>
          <cell r="AF553">
            <v>11</v>
          </cell>
          <cell r="AH553">
            <v>0</v>
          </cell>
        </row>
        <row r="554">
          <cell r="D554" t="str">
            <v>مسعودی</v>
          </cell>
          <cell r="O554">
            <v>7202</v>
          </cell>
          <cell r="AC554" t="str">
            <v>1405/05/28</v>
          </cell>
          <cell r="AF554">
            <v>5.5</v>
          </cell>
          <cell r="AH554">
            <v>0</v>
          </cell>
        </row>
        <row r="555">
          <cell r="D555" t="str">
            <v>مسعودی</v>
          </cell>
          <cell r="O555">
            <v>7202</v>
          </cell>
          <cell r="AC555" t="str">
            <v>1405/05/28</v>
          </cell>
          <cell r="AF555">
            <v>5.5</v>
          </cell>
          <cell r="AH555">
            <v>0</v>
          </cell>
        </row>
        <row r="556">
          <cell r="D556" t="str">
            <v>باقری اصل</v>
          </cell>
          <cell r="O556">
            <v>7204</v>
          </cell>
          <cell r="AC556" t="str">
            <v>1405/05/28</v>
          </cell>
          <cell r="AF556">
            <v>4.5</v>
          </cell>
          <cell r="AH556">
            <v>0</v>
          </cell>
        </row>
        <row r="557">
          <cell r="D557" t="str">
            <v>باقری اصل</v>
          </cell>
          <cell r="O557">
            <v>7204</v>
          </cell>
          <cell r="AC557" t="str">
            <v>1405/05/28</v>
          </cell>
          <cell r="AF557">
            <v>4.5</v>
          </cell>
          <cell r="AH557">
            <v>0</v>
          </cell>
        </row>
        <row r="558">
          <cell r="D558" t="str">
            <v>باقری اصل</v>
          </cell>
          <cell r="O558">
            <v>7204</v>
          </cell>
          <cell r="AC558" t="str">
            <v>1405/05/28</v>
          </cell>
          <cell r="AF558">
            <v>2</v>
          </cell>
          <cell r="AH558">
            <v>0</v>
          </cell>
        </row>
        <row r="559">
          <cell r="D559" t="str">
            <v>یاراحمدی</v>
          </cell>
          <cell r="O559">
            <v>7502</v>
          </cell>
          <cell r="AC559" t="str">
            <v>1405/05/28</v>
          </cell>
          <cell r="AF559">
            <v>11</v>
          </cell>
          <cell r="AH559">
            <v>0</v>
          </cell>
        </row>
        <row r="560">
          <cell r="D560" t="str">
            <v>یاراحمدی</v>
          </cell>
          <cell r="O560">
            <v>7501</v>
          </cell>
          <cell r="AC560" t="str">
            <v>1405/05/28</v>
          </cell>
          <cell r="AF560">
            <v>4</v>
          </cell>
          <cell r="AH560">
            <v>0</v>
          </cell>
        </row>
        <row r="561">
          <cell r="D561" t="str">
            <v>یاراحمدی</v>
          </cell>
          <cell r="O561">
            <v>7501</v>
          </cell>
          <cell r="AC561" t="str">
            <v>1405/05/28</v>
          </cell>
          <cell r="AF561">
            <v>4</v>
          </cell>
          <cell r="AH561">
            <v>0</v>
          </cell>
        </row>
        <row r="562">
          <cell r="D562" t="str">
            <v>یاراحمدی</v>
          </cell>
          <cell r="O562">
            <v>7501</v>
          </cell>
          <cell r="AC562" t="str">
            <v>1405/05/28</v>
          </cell>
          <cell r="AF562">
            <v>2</v>
          </cell>
          <cell r="AH562">
            <v>0</v>
          </cell>
        </row>
        <row r="563">
          <cell r="D563" t="str">
            <v>یاراحمدی</v>
          </cell>
          <cell r="O563">
            <v>7501</v>
          </cell>
          <cell r="AC563" t="str">
            <v>1405/05/28</v>
          </cell>
          <cell r="AF563">
            <v>1</v>
          </cell>
          <cell r="AH563">
            <v>0</v>
          </cell>
        </row>
        <row r="564">
          <cell r="D564" t="str">
            <v>موسوی</v>
          </cell>
          <cell r="O564">
            <v>7302</v>
          </cell>
          <cell r="AC564" t="str">
            <v>1405/05/28</v>
          </cell>
          <cell r="AF564">
            <v>4</v>
          </cell>
          <cell r="AH564">
            <v>0</v>
          </cell>
        </row>
        <row r="565">
          <cell r="D565" t="str">
            <v>موسوی</v>
          </cell>
          <cell r="O565">
            <v>7302</v>
          </cell>
          <cell r="AC565" t="str">
            <v>1405/05/28</v>
          </cell>
          <cell r="AF565">
            <v>1</v>
          </cell>
          <cell r="AH565">
            <v>0</v>
          </cell>
        </row>
        <row r="566">
          <cell r="D566" t="str">
            <v>خیرخواه</v>
          </cell>
          <cell r="O566" t="str">
            <v>مونتاژ</v>
          </cell>
          <cell r="AC566" t="str">
            <v>1405/05/25</v>
          </cell>
          <cell r="AF566">
            <v>0.5</v>
          </cell>
          <cell r="AH566">
            <v>0</v>
          </cell>
        </row>
        <row r="567">
          <cell r="D567" t="str">
            <v>موسوی</v>
          </cell>
          <cell r="O567">
            <v>7302</v>
          </cell>
          <cell r="AC567" t="str">
            <v>1405/05/28</v>
          </cell>
          <cell r="AF567">
            <v>2</v>
          </cell>
          <cell r="AH567">
            <v>0</v>
          </cell>
        </row>
        <row r="568">
          <cell r="D568" t="str">
            <v>موسوی</v>
          </cell>
          <cell r="O568">
            <v>7302</v>
          </cell>
          <cell r="AC568" t="str">
            <v>1405/05/28</v>
          </cell>
          <cell r="AF568">
            <v>2</v>
          </cell>
          <cell r="AH568">
            <v>2</v>
          </cell>
        </row>
        <row r="569">
          <cell r="D569" t="str">
            <v>صلواتی</v>
          </cell>
          <cell r="O569">
            <v>7601</v>
          </cell>
          <cell r="AC569" t="str">
            <v>1405/05/28</v>
          </cell>
          <cell r="AF569">
            <v>12</v>
          </cell>
          <cell r="AH569">
            <v>0</v>
          </cell>
        </row>
        <row r="570">
          <cell r="D570" t="str">
            <v>صلواتی</v>
          </cell>
          <cell r="O570">
            <v>7605</v>
          </cell>
          <cell r="AC570" t="str">
            <v>1405/05/28</v>
          </cell>
          <cell r="AF570">
            <v>12</v>
          </cell>
          <cell r="AH570">
            <v>0</v>
          </cell>
        </row>
        <row r="571">
          <cell r="D571" t="str">
            <v>صلواتی</v>
          </cell>
          <cell r="O571">
            <v>7602</v>
          </cell>
          <cell r="AC571" t="str">
            <v>1405/05/28</v>
          </cell>
          <cell r="AF571">
            <v>12</v>
          </cell>
          <cell r="AH571">
            <v>0</v>
          </cell>
        </row>
        <row r="572">
          <cell r="D572" t="str">
            <v>صلواتی</v>
          </cell>
          <cell r="O572">
            <v>7604</v>
          </cell>
          <cell r="AC572" t="str">
            <v>1405/05/28</v>
          </cell>
          <cell r="AF572">
            <v>6</v>
          </cell>
          <cell r="AH572">
            <v>0</v>
          </cell>
        </row>
        <row r="573">
          <cell r="D573" t="str">
            <v>هاشم زاده</v>
          </cell>
          <cell r="O573" t="str">
            <v>مونتاژ</v>
          </cell>
          <cell r="AC573" t="str">
            <v>1405/05/28</v>
          </cell>
          <cell r="AF573">
            <v>3</v>
          </cell>
          <cell r="AH573">
            <v>0</v>
          </cell>
        </row>
        <row r="574">
          <cell r="D574" t="str">
            <v>هاشم زاده</v>
          </cell>
          <cell r="O574" t="str">
            <v>مونتاژ</v>
          </cell>
          <cell r="AC574" t="str">
            <v>1405/05/28</v>
          </cell>
          <cell r="AF574">
            <v>4</v>
          </cell>
          <cell r="AH574">
            <v>0</v>
          </cell>
        </row>
        <row r="575">
          <cell r="D575" t="str">
            <v>هاشم زاده</v>
          </cell>
          <cell r="O575" t="str">
            <v>دمونتاژ</v>
          </cell>
          <cell r="AC575" t="str">
            <v>1405/05/29</v>
          </cell>
          <cell r="AF575">
            <v>3</v>
          </cell>
          <cell r="AH575">
            <v>0</v>
          </cell>
        </row>
        <row r="576">
          <cell r="D576" t="str">
            <v>هاشم زاده</v>
          </cell>
          <cell r="O576" t="str">
            <v>مونتاژ</v>
          </cell>
          <cell r="AC576" t="str">
            <v>1405/05/28</v>
          </cell>
          <cell r="AF576">
            <v>2</v>
          </cell>
          <cell r="AH576">
            <v>0</v>
          </cell>
        </row>
        <row r="577">
          <cell r="D577" t="str">
            <v>هاشم زاده</v>
          </cell>
          <cell r="O577" t="str">
            <v>مونتاژ</v>
          </cell>
          <cell r="AC577" t="str">
            <v>1405/05/29</v>
          </cell>
          <cell r="AF577">
            <v>2</v>
          </cell>
          <cell r="AH577">
            <v>0</v>
          </cell>
        </row>
        <row r="578">
          <cell r="D578" t="str">
            <v>خیرخواه</v>
          </cell>
          <cell r="O578" t="str">
            <v>مونتاژ</v>
          </cell>
          <cell r="AC578" t="str">
            <v>1405/05/29</v>
          </cell>
          <cell r="AF578">
            <v>2</v>
          </cell>
          <cell r="AH578">
            <v>0</v>
          </cell>
        </row>
        <row r="579">
          <cell r="D579" t="str">
            <v>قیطاسوند</v>
          </cell>
          <cell r="O579">
            <v>7102</v>
          </cell>
          <cell r="AC579" t="str">
            <v>1405/05/29</v>
          </cell>
          <cell r="AF579">
            <v>7.5</v>
          </cell>
          <cell r="AH579">
            <v>0</v>
          </cell>
        </row>
        <row r="580">
          <cell r="D580" t="str">
            <v>یاراحمدی</v>
          </cell>
          <cell r="O580">
            <v>7502</v>
          </cell>
          <cell r="AC580" t="str">
            <v>1405/05/29</v>
          </cell>
          <cell r="AF580">
            <v>5.5</v>
          </cell>
          <cell r="AH580">
            <v>0</v>
          </cell>
        </row>
        <row r="581">
          <cell r="D581" t="str">
            <v>یاراحمدی</v>
          </cell>
          <cell r="O581">
            <v>7502</v>
          </cell>
          <cell r="AC581" t="str">
            <v>1405/05/29</v>
          </cell>
          <cell r="AF581">
            <v>2</v>
          </cell>
          <cell r="AH581">
            <v>0</v>
          </cell>
        </row>
        <row r="582">
          <cell r="D582" t="str">
            <v>صلواتی</v>
          </cell>
          <cell r="O582">
            <v>7602</v>
          </cell>
          <cell r="AC582" t="str">
            <v>1405/05/29</v>
          </cell>
          <cell r="AF582">
            <v>8</v>
          </cell>
          <cell r="AH582">
            <v>0</v>
          </cell>
        </row>
        <row r="583">
          <cell r="D583" t="str">
            <v>صلواتی</v>
          </cell>
          <cell r="O583">
            <v>7604</v>
          </cell>
          <cell r="AC583" t="str">
            <v>1405/05/29</v>
          </cell>
          <cell r="AF583">
            <v>8</v>
          </cell>
          <cell r="AH583">
            <v>0</v>
          </cell>
        </row>
        <row r="584">
          <cell r="D584" t="str">
            <v>صلواتی</v>
          </cell>
          <cell r="O584">
            <v>7605</v>
          </cell>
          <cell r="AC584" t="str">
            <v>1405/05/29</v>
          </cell>
          <cell r="AF584">
            <v>8</v>
          </cell>
          <cell r="AH584">
            <v>0</v>
          </cell>
        </row>
        <row r="585">
          <cell r="D585" t="str">
            <v>صلواتی</v>
          </cell>
          <cell r="O585">
            <v>7601</v>
          </cell>
          <cell r="AC585" t="str">
            <v>1405/05/29</v>
          </cell>
          <cell r="AF585">
            <v>8</v>
          </cell>
          <cell r="AH585">
            <v>0</v>
          </cell>
        </row>
        <row r="586">
          <cell r="D586" t="str">
            <v>صلواتی</v>
          </cell>
          <cell r="O586">
            <v>7701</v>
          </cell>
          <cell r="AC586" t="str">
            <v>1405/05/29</v>
          </cell>
          <cell r="AF586">
            <v>8</v>
          </cell>
          <cell r="AH586">
            <v>0</v>
          </cell>
        </row>
        <row r="587">
          <cell r="D587" t="str">
            <v>باقری اصل</v>
          </cell>
          <cell r="O587">
            <v>7204</v>
          </cell>
          <cell r="AC587" t="str">
            <v>1405/05/29</v>
          </cell>
          <cell r="AF587">
            <v>7.5</v>
          </cell>
          <cell r="AH587">
            <v>0</v>
          </cell>
        </row>
        <row r="588">
          <cell r="D588" t="str">
            <v>زیلویی</v>
          </cell>
          <cell r="O588">
            <v>7203</v>
          </cell>
          <cell r="AC588" t="str">
            <v>1405/05/29</v>
          </cell>
          <cell r="AF588">
            <v>7.5</v>
          </cell>
          <cell r="AH588">
            <v>0</v>
          </cell>
        </row>
        <row r="589">
          <cell r="D589" t="str">
            <v>موسوی</v>
          </cell>
          <cell r="O589">
            <v>7302</v>
          </cell>
          <cell r="AC589" t="str">
            <v>1405/05/29</v>
          </cell>
          <cell r="AF589">
            <v>3</v>
          </cell>
          <cell r="AH589">
            <v>0</v>
          </cell>
        </row>
        <row r="590">
          <cell r="D590" t="str">
            <v>موسوی</v>
          </cell>
          <cell r="O590">
            <v>7302</v>
          </cell>
          <cell r="AC590" t="str">
            <v>1405/05/29</v>
          </cell>
          <cell r="AF590">
            <v>2</v>
          </cell>
          <cell r="AH590">
            <v>0</v>
          </cell>
        </row>
        <row r="591">
          <cell r="D591" t="str">
            <v>موسوی</v>
          </cell>
          <cell r="O591">
            <v>7302</v>
          </cell>
          <cell r="AC591" t="str">
            <v>1405/05/29</v>
          </cell>
          <cell r="AF591">
            <v>1</v>
          </cell>
          <cell r="AH591">
            <v>0</v>
          </cell>
        </row>
        <row r="592">
          <cell r="D592" t="str">
            <v>موسوی</v>
          </cell>
          <cell r="O592">
            <v>7302</v>
          </cell>
          <cell r="AC592" t="str">
            <v>1405/05/29</v>
          </cell>
          <cell r="AF592">
            <v>2</v>
          </cell>
          <cell r="AH592">
            <v>0</v>
          </cell>
        </row>
        <row r="593">
          <cell r="D593" t="str">
            <v>کریم پرست</v>
          </cell>
          <cell r="O593">
            <v>7301</v>
          </cell>
          <cell r="AC593" t="str">
            <v>1405/05/29</v>
          </cell>
          <cell r="AF593">
            <v>7.5</v>
          </cell>
          <cell r="AH593">
            <v>0</v>
          </cell>
        </row>
        <row r="594">
          <cell r="D594" t="str">
            <v>خیرخواه</v>
          </cell>
          <cell r="O594" t="str">
            <v>دمونتاژ</v>
          </cell>
          <cell r="AC594" t="str">
            <v>1405/05/29</v>
          </cell>
          <cell r="AF594">
            <v>4</v>
          </cell>
          <cell r="AH594">
            <v>0</v>
          </cell>
        </row>
        <row r="595">
          <cell r="D595" t="str">
            <v>خیرخواه</v>
          </cell>
          <cell r="O595" t="str">
            <v>دمونتاژ</v>
          </cell>
          <cell r="AC595" t="str">
            <v>1405/05/29</v>
          </cell>
          <cell r="AF595">
            <v>1</v>
          </cell>
          <cell r="AH595">
            <v>0</v>
          </cell>
        </row>
        <row r="596">
          <cell r="D596" t="str">
            <v>خیرخواه</v>
          </cell>
          <cell r="O596" t="str">
            <v>مونتاژ</v>
          </cell>
          <cell r="AC596" t="str">
            <v>1405/05/29</v>
          </cell>
          <cell r="AF596">
            <v>1</v>
          </cell>
          <cell r="AH596">
            <v>0</v>
          </cell>
        </row>
        <row r="597">
          <cell r="D597" t="str">
            <v>خیرخواه</v>
          </cell>
          <cell r="O597" t="str">
            <v>مونتاژ</v>
          </cell>
          <cell r="AC597" t="str">
            <v>1405/05/29</v>
          </cell>
          <cell r="AF597">
            <v>1</v>
          </cell>
          <cell r="AH597">
            <v>0</v>
          </cell>
        </row>
        <row r="598">
          <cell r="D598" t="str">
            <v>خیرخواه</v>
          </cell>
          <cell r="O598" t="str">
            <v>مونتاژ</v>
          </cell>
          <cell r="AC598" t="str">
            <v>1405/05/30</v>
          </cell>
          <cell r="AF598">
            <v>5.5</v>
          </cell>
          <cell r="AH598">
            <v>0</v>
          </cell>
        </row>
        <row r="599">
          <cell r="D599" t="str">
            <v>باقری اصل</v>
          </cell>
          <cell r="O599">
            <v>7204</v>
          </cell>
          <cell r="AC599" t="str">
            <v>1405/05/31</v>
          </cell>
          <cell r="AF599">
            <v>11</v>
          </cell>
          <cell r="AH599">
            <v>0</v>
          </cell>
        </row>
        <row r="600">
          <cell r="D600" t="str">
            <v>زیلویی</v>
          </cell>
          <cell r="O600">
            <v>7203</v>
          </cell>
          <cell r="AC600" t="str">
            <v>1405/05/31</v>
          </cell>
          <cell r="AF600">
            <v>11</v>
          </cell>
          <cell r="AH600">
            <v>0</v>
          </cell>
        </row>
        <row r="601">
          <cell r="D601" t="str">
            <v>قیطاسوند</v>
          </cell>
          <cell r="O601">
            <v>7102</v>
          </cell>
          <cell r="AC601" t="str">
            <v>1405/05/31</v>
          </cell>
          <cell r="AF601">
            <v>11</v>
          </cell>
          <cell r="AH601">
            <v>0</v>
          </cell>
        </row>
        <row r="602">
          <cell r="D602" t="str">
            <v>مسعودی</v>
          </cell>
          <cell r="O602">
            <v>7202</v>
          </cell>
          <cell r="AC602" t="str">
            <v>1405/05/31</v>
          </cell>
          <cell r="AF602">
            <v>11</v>
          </cell>
          <cell r="AH602">
            <v>0</v>
          </cell>
        </row>
        <row r="603">
          <cell r="D603" t="str">
            <v>فراهی</v>
          </cell>
          <cell r="O603">
            <v>7103</v>
          </cell>
          <cell r="AC603" t="str">
            <v>1405/05/31</v>
          </cell>
          <cell r="AF603">
            <v>6</v>
          </cell>
          <cell r="AH603">
            <v>0</v>
          </cell>
        </row>
        <row r="604">
          <cell r="D604" t="str">
            <v>فراهی</v>
          </cell>
          <cell r="O604">
            <v>7103</v>
          </cell>
          <cell r="AC604" t="str">
            <v>1405/05/31</v>
          </cell>
          <cell r="AF604">
            <v>0.5</v>
          </cell>
          <cell r="AH604">
            <v>0</v>
          </cell>
        </row>
        <row r="605">
          <cell r="D605" t="str">
            <v>حیدری</v>
          </cell>
          <cell r="O605">
            <v>7101</v>
          </cell>
          <cell r="AC605" t="str">
            <v>1405/05/31</v>
          </cell>
          <cell r="AF605">
            <v>5.5</v>
          </cell>
          <cell r="AH605">
            <v>0</v>
          </cell>
        </row>
        <row r="606">
          <cell r="D606" t="str">
            <v>کریم پرست</v>
          </cell>
          <cell r="O606">
            <v>7301</v>
          </cell>
          <cell r="AC606" t="str">
            <v>1405/05/31</v>
          </cell>
          <cell r="AF606">
            <v>2.5</v>
          </cell>
          <cell r="AH606">
            <v>0</v>
          </cell>
        </row>
        <row r="607">
          <cell r="D607" t="str">
            <v>کریم پرست</v>
          </cell>
          <cell r="O607">
            <v>7301</v>
          </cell>
          <cell r="AC607" t="str">
            <v>1405/05/31</v>
          </cell>
          <cell r="AF607">
            <v>5</v>
          </cell>
          <cell r="AH607">
            <v>0</v>
          </cell>
        </row>
        <row r="608">
          <cell r="D608" t="str">
            <v>کریم پرست</v>
          </cell>
          <cell r="O608">
            <v>7301</v>
          </cell>
          <cell r="AC608" t="str">
            <v>1405/05/31</v>
          </cell>
          <cell r="AF608">
            <v>2</v>
          </cell>
          <cell r="AH608">
            <v>1.5</v>
          </cell>
        </row>
        <row r="609">
          <cell r="D609" t="str">
            <v>یاراحمدی</v>
          </cell>
          <cell r="O609">
            <v>7502</v>
          </cell>
          <cell r="AC609" t="str">
            <v>1405/05/31</v>
          </cell>
          <cell r="AF609">
            <v>8</v>
          </cell>
          <cell r="AH609">
            <v>0</v>
          </cell>
        </row>
        <row r="610">
          <cell r="D610" t="str">
            <v>یاراحمدی</v>
          </cell>
          <cell r="O610">
            <v>7502</v>
          </cell>
          <cell r="AC610" t="str">
            <v>1405/05/31</v>
          </cell>
          <cell r="AF610">
            <v>1</v>
          </cell>
          <cell r="AH610">
            <v>0</v>
          </cell>
        </row>
        <row r="611">
          <cell r="D611" t="str">
            <v>یاراحمدی</v>
          </cell>
          <cell r="O611">
            <v>7502</v>
          </cell>
          <cell r="AC611" t="str">
            <v>1405/05/31</v>
          </cell>
          <cell r="AF611">
            <v>1</v>
          </cell>
          <cell r="AH611">
            <v>0</v>
          </cell>
        </row>
        <row r="612">
          <cell r="D612" t="str">
            <v>یاراحمدی</v>
          </cell>
          <cell r="O612">
            <v>7502</v>
          </cell>
          <cell r="AC612" t="str">
            <v>1405/05/31</v>
          </cell>
          <cell r="AF612">
            <v>1</v>
          </cell>
          <cell r="AH612">
            <v>0</v>
          </cell>
        </row>
        <row r="613">
          <cell r="D613" t="str">
            <v>صلواتی</v>
          </cell>
          <cell r="O613">
            <v>7601</v>
          </cell>
          <cell r="AC613" t="str">
            <v>1405/05/31</v>
          </cell>
          <cell r="AF613">
            <v>12</v>
          </cell>
          <cell r="AH613">
            <v>0</v>
          </cell>
        </row>
        <row r="614">
          <cell r="D614" t="str">
            <v>صلواتی</v>
          </cell>
          <cell r="O614">
            <v>7605</v>
          </cell>
          <cell r="AC614" t="str">
            <v>1405/05/31</v>
          </cell>
          <cell r="AF614">
            <v>12</v>
          </cell>
          <cell r="AH614">
            <v>0</v>
          </cell>
        </row>
        <row r="615">
          <cell r="D615" t="str">
            <v>موسوی</v>
          </cell>
          <cell r="O615">
            <v>7302</v>
          </cell>
          <cell r="AC615" t="str">
            <v>1405/05/31</v>
          </cell>
          <cell r="AF615">
            <v>3</v>
          </cell>
          <cell r="AH615">
            <v>0</v>
          </cell>
        </row>
        <row r="616">
          <cell r="D616" t="str">
            <v>موسوی</v>
          </cell>
          <cell r="O616">
            <v>7302</v>
          </cell>
          <cell r="AC616" t="str">
            <v>1405/05/31</v>
          </cell>
          <cell r="AF616">
            <v>2</v>
          </cell>
          <cell r="AH616">
            <v>0</v>
          </cell>
        </row>
        <row r="617">
          <cell r="D617" t="str">
            <v>موسوی</v>
          </cell>
          <cell r="O617">
            <v>7302</v>
          </cell>
          <cell r="AC617" t="str">
            <v>1405/05/31</v>
          </cell>
          <cell r="AF617">
            <v>3</v>
          </cell>
          <cell r="AH617">
            <v>0</v>
          </cell>
        </row>
        <row r="618">
          <cell r="D618" t="str">
            <v>صلواتی</v>
          </cell>
          <cell r="O618">
            <v>7604</v>
          </cell>
          <cell r="AC618" t="str">
            <v>1405/05/31</v>
          </cell>
          <cell r="AF618">
            <v>12</v>
          </cell>
          <cell r="AH618">
            <v>0</v>
          </cell>
        </row>
        <row r="619">
          <cell r="D619" t="str">
            <v>موسوی</v>
          </cell>
          <cell r="O619">
            <v>7302</v>
          </cell>
          <cell r="AC619" t="str">
            <v>1405/05/31</v>
          </cell>
          <cell r="AF619">
            <v>2</v>
          </cell>
          <cell r="AH619">
            <v>0</v>
          </cell>
        </row>
        <row r="620">
          <cell r="D620" t="str">
            <v>موسوی</v>
          </cell>
          <cell r="O620">
            <v>7302</v>
          </cell>
          <cell r="AC620" t="str">
            <v>1405/05/31</v>
          </cell>
          <cell r="AF620">
            <v>1</v>
          </cell>
          <cell r="AH620">
            <v>0</v>
          </cell>
        </row>
        <row r="621">
          <cell r="D621" t="str">
            <v>هاشم زاده</v>
          </cell>
          <cell r="O621" t="str">
            <v>دمونتاژ</v>
          </cell>
          <cell r="AC621" t="str">
            <v>1405/05/31</v>
          </cell>
          <cell r="AF621">
            <v>3</v>
          </cell>
          <cell r="AH621">
            <v>0</v>
          </cell>
        </row>
        <row r="622">
          <cell r="D622" t="str">
            <v>هاشم زاده</v>
          </cell>
          <cell r="O622">
            <v>8001</v>
          </cell>
          <cell r="AC622" t="str">
            <v>1405/05/31</v>
          </cell>
          <cell r="AF622">
            <v>2</v>
          </cell>
          <cell r="AH622">
            <v>0</v>
          </cell>
        </row>
        <row r="623">
          <cell r="D623" t="str">
            <v>هاشم زاده</v>
          </cell>
          <cell r="O623" t="str">
            <v>مونتاژ</v>
          </cell>
          <cell r="AC623" t="str">
            <v>1405/05/31</v>
          </cell>
          <cell r="AF623">
            <v>4</v>
          </cell>
          <cell r="AH623">
            <v>0</v>
          </cell>
        </row>
        <row r="624">
          <cell r="D624" t="str">
            <v>خیرخواه</v>
          </cell>
          <cell r="O624" t="str">
            <v>مونتاژ</v>
          </cell>
          <cell r="AC624" t="str">
            <v>1405/05/31</v>
          </cell>
          <cell r="AF624">
            <v>4</v>
          </cell>
          <cell r="AH624">
            <v>0</v>
          </cell>
        </row>
        <row r="625">
          <cell r="D625" t="str">
            <v>خیرخواه</v>
          </cell>
          <cell r="O625">
            <v>7401</v>
          </cell>
          <cell r="AC625" t="str">
            <v>1405/05/31</v>
          </cell>
          <cell r="AF625">
            <v>4</v>
          </cell>
          <cell r="AH625">
            <v>0</v>
          </cell>
        </row>
        <row r="626">
          <cell r="AF626">
            <v>0</v>
          </cell>
          <cell r="AH626">
            <v>0</v>
          </cell>
        </row>
        <row r="627">
          <cell r="AF627">
            <v>0</v>
          </cell>
          <cell r="AH627">
            <v>0</v>
          </cell>
        </row>
        <row r="628">
          <cell r="AF628">
            <v>0</v>
          </cell>
          <cell r="AH628">
            <v>0</v>
          </cell>
        </row>
        <row r="629">
          <cell r="AF629">
            <v>0</v>
          </cell>
          <cell r="AH629">
            <v>0</v>
          </cell>
        </row>
        <row r="630">
          <cell r="AF630">
            <v>0</v>
          </cell>
          <cell r="AH630">
            <v>0</v>
          </cell>
        </row>
        <row r="631">
          <cell r="AF631">
            <v>0</v>
          </cell>
          <cell r="AH631">
            <v>0</v>
          </cell>
        </row>
        <row r="632">
          <cell r="AF632">
            <v>0</v>
          </cell>
          <cell r="AH632">
            <v>0</v>
          </cell>
        </row>
        <row r="633">
          <cell r="AF633">
            <v>0</v>
          </cell>
          <cell r="AH633">
            <v>0</v>
          </cell>
        </row>
        <row r="634">
          <cell r="AF634">
            <v>0</v>
          </cell>
          <cell r="AH634">
            <v>0</v>
          </cell>
        </row>
        <row r="635">
          <cell r="AF635">
            <v>0</v>
          </cell>
          <cell r="AH635">
            <v>0</v>
          </cell>
        </row>
        <row r="636">
          <cell r="AF636">
            <v>0</v>
          </cell>
          <cell r="AH636">
            <v>0</v>
          </cell>
        </row>
        <row r="637">
          <cell r="AF637">
            <v>0</v>
          </cell>
          <cell r="AH637">
            <v>0</v>
          </cell>
        </row>
        <row r="638">
          <cell r="AF638">
            <v>0</v>
          </cell>
          <cell r="AH638">
            <v>0</v>
          </cell>
        </row>
        <row r="639">
          <cell r="AF639">
            <v>0</v>
          </cell>
          <cell r="AH639">
            <v>0</v>
          </cell>
        </row>
        <row r="640">
          <cell r="AF640">
            <v>0</v>
          </cell>
          <cell r="AH640">
            <v>0</v>
          </cell>
        </row>
        <row r="641">
          <cell r="AF641">
            <v>0</v>
          </cell>
          <cell r="AH641">
            <v>0</v>
          </cell>
        </row>
        <row r="642">
          <cell r="AF642">
            <v>0</v>
          </cell>
          <cell r="AH642">
            <v>0</v>
          </cell>
        </row>
        <row r="643">
          <cell r="AF643">
            <v>0</v>
          </cell>
          <cell r="AH643">
            <v>0</v>
          </cell>
        </row>
        <row r="644">
          <cell r="AF644">
            <v>0</v>
          </cell>
          <cell r="AH644">
            <v>0</v>
          </cell>
        </row>
        <row r="645">
          <cell r="AF645">
            <v>0</v>
          </cell>
          <cell r="AH645">
            <v>0</v>
          </cell>
        </row>
        <row r="646">
          <cell r="AF646">
            <v>0</v>
          </cell>
          <cell r="AH646">
            <v>0</v>
          </cell>
        </row>
        <row r="647">
          <cell r="AF647">
            <v>0</v>
          </cell>
          <cell r="AH647">
            <v>0</v>
          </cell>
        </row>
        <row r="648">
          <cell r="AF648">
            <v>0</v>
          </cell>
          <cell r="AH648">
            <v>0</v>
          </cell>
        </row>
        <row r="649">
          <cell r="AF649">
            <v>0</v>
          </cell>
          <cell r="AH649">
            <v>0</v>
          </cell>
        </row>
        <row r="650">
          <cell r="AF650">
            <v>0</v>
          </cell>
          <cell r="AH650">
            <v>0</v>
          </cell>
        </row>
        <row r="651">
          <cell r="AF651">
            <v>0</v>
          </cell>
          <cell r="AH651">
            <v>0</v>
          </cell>
        </row>
        <row r="652">
          <cell r="AF652">
            <v>0</v>
          </cell>
          <cell r="AH652">
            <v>0</v>
          </cell>
        </row>
        <row r="653">
          <cell r="AF653">
            <v>0</v>
          </cell>
          <cell r="AH653">
            <v>0</v>
          </cell>
        </row>
        <row r="654">
          <cell r="AF654">
            <v>0</v>
          </cell>
          <cell r="AH654">
            <v>0</v>
          </cell>
        </row>
        <row r="655">
          <cell r="AF655">
            <v>0</v>
          </cell>
          <cell r="AH655">
            <v>0</v>
          </cell>
        </row>
        <row r="656">
          <cell r="AF656">
            <v>0</v>
          </cell>
          <cell r="AH656">
            <v>0</v>
          </cell>
        </row>
        <row r="657">
          <cell r="AF657">
            <v>0</v>
          </cell>
          <cell r="AH657">
            <v>0</v>
          </cell>
        </row>
        <row r="658">
          <cell r="AF658">
            <v>0</v>
          </cell>
          <cell r="AH658">
            <v>0</v>
          </cell>
        </row>
        <row r="659">
          <cell r="AF659">
            <v>0</v>
          </cell>
          <cell r="AH659">
            <v>0</v>
          </cell>
        </row>
        <row r="660">
          <cell r="AF660">
            <v>0</v>
          </cell>
          <cell r="AH660">
            <v>0</v>
          </cell>
        </row>
        <row r="661">
          <cell r="AF661">
            <v>0</v>
          </cell>
          <cell r="AH661">
            <v>0</v>
          </cell>
        </row>
        <row r="662">
          <cell r="AF662">
            <v>0</v>
          </cell>
          <cell r="AH662">
            <v>0</v>
          </cell>
        </row>
        <row r="663">
          <cell r="AF663">
            <v>0</v>
          </cell>
          <cell r="AH663">
            <v>0</v>
          </cell>
        </row>
        <row r="664">
          <cell r="AF664">
            <v>0</v>
          </cell>
          <cell r="AH664">
            <v>0</v>
          </cell>
        </row>
        <row r="665">
          <cell r="AF665">
            <v>0</v>
          </cell>
          <cell r="AH665">
            <v>0</v>
          </cell>
        </row>
        <row r="666">
          <cell r="AF666">
            <v>0</v>
          </cell>
          <cell r="AH666">
            <v>0</v>
          </cell>
        </row>
        <row r="667">
          <cell r="AF667">
            <v>0</v>
          </cell>
          <cell r="AH667">
            <v>0</v>
          </cell>
        </row>
        <row r="668">
          <cell r="AF668">
            <v>0</v>
          </cell>
          <cell r="AH668">
            <v>0</v>
          </cell>
        </row>
        <row r="669">
          <cell r="AF669">
            <v>0</v>
          </cell>
          <cell r="AH669">
            <v>0</v>
          </cell>
        </row>
        <row r="670">
          <cell r="AF670">
            <v>0</v>
          </cell>
          <cell r="AH670">
            <v>0</v>
          </cell>
        </row>
        <row r="671">
          <cell r="AF671">
            <v>0</v>
          </cell>
          <cell r="AH671">
            <v>0</v>
          </cell>
        </row>
        <row r="672">
          <cell r="AF672">
            <v>0</v>
          </cell>
          <cell r="AH672">
            <v>0</v>
          </cell>
        </row>
        <row r="673">
          <cell r="AF673">
            <v>0</v>
          </cell>
          <cell r="AH673">
            <v>0</v>
          </cell>
        </row>
        <row r="674">
          <cell r="AF674">
            <v>0</v>
          </cell>
          <cell r="AH674">
            <v>0</v>
          </cell>
        </row>
        <row r="675">
          <cell r="AF675">
            <v>0</v>
          </cell>
          <cell r="AH675">
            <v>0</v>
          </cell>
        </row>
        <row r="676">
          <cell r="AF676">
            <v>0</v>
          </cell>
          <cell r="AH676">
            <v>0</v>
          </cell>
        </row>
        <row r="677">
          <cell r="AF677">
            <v>0</v>
          </cell>
          <cell r="AH677">
            <v>0</v>
          </cell>
        </row>
        <row r="678">
          <cell r="AF678">
            <v>0</v>
          </cell>
          <cell r="AH678">
            <v>0</v>
          </cell>
        </row>
        <row r="679">
          <cell r="AF679">
            <v>0</v>
          </cell>
          <cell r="AH679">
            <v>0</v>
          </cell>
        </row>
        <row r="680">
          <cell r="AF680">
            <v>0</v>
          </cell>
          <cell r="AH680">
            <v>0</v>
          </cell>
        </row>
        <row r="681">
          <cell r="AF681">
            <v>0</v>
          </cell>
          <cell r="AH681">
            <v>0</v>
          </cell>
        </row>
        <row r="682">
          <cell r="AF682">
            <v>0</v>
          </cell>
          <cell r="AH682">
            <v>0</v>
          </cell>
        </row>
        <row r="683">
          <cell r="AF683">
            <v>0</v>
          </cell>
          <cell r="AH683">
            <v>0</v>
          </cell>
        </row>
        <row r="684">
          <cell r="AF684">
            <v>0</v>
          </cell>
          <cell r="AH684">
            <v>0</v>
          </cell>
        </row>
        <row r="685">
          <cell r="AF685">
            <v>0</v>
          </cell>
          <cell r="AH685">
            <v>0</v>
          </cell>
        </row>
        <row r="686">
          <cell r="AF686">
            <v>0</v>
          </cell>
          <cell r="AH686">
            <v>0</v>
          </cell>
        </row>
        <row r="687">
          <cell r="AF687">
            <v>0</v>
          </cell>
          <cell r="AH687">
            <v>0</v>
          </cell>
        </row>
        <row r="688">
          <cell r="AF688">
            <v>0</v>
          </cell>
          <cell r="AH688">
            <v>0</v>
          </cell>
        </row>
        <row r="689">
          <cell r="AF689">
            <v>0</v>
          </cell>
          <cell r="AH689">
            <v>0</v>
          </cell>
        </row>
        <row r="690">
          <cell r="AF690">
            <v>0</v>
          </cell>
          <cell r="AH690">
            <v>0</v>
          </cell>
        </row>
        <row r="691">
          <cell r="AF691">
            <v>0</v>
          </cell>
          <cell r="AH691">
            <v>0</v>
          </cell>
        </row>
        <row r="692">
          <cell r="AF692">
            <v>0</v>
          </cell>
          <cell r="AH692">
            <v>0</v>
          </cell>
        </row>
        <row r="693">
          <cell r="AF693">
            <v>0</v>
          </cell>
          <cell r="AH693">
            <v>0</v>
          </cell>
        </row>
        <row r="694">
          <cell r="AF694">
            <v>0</v>
          </cell>
          <cell r="AH694">
            <v>0</v>
          </cell>
        </row>
        <row r="695">
          <cell r="AF695">
            <v>0</v>
          </cell>
          <cell r="AH695">
            <v>0</v>
          </cell>
        </row>
        <row r="696">
          <cell r="AF696">
            <v>0</v>
          </cell>
          <cell r="AH696">
            <v>0</v>
          </cell>
        </row>
        <row r="697">
          <cell r="AF697">
            <v>0</v>
          </cell>
          <cell r="AH697">
            <v>0</v>
          </cell>
        </row>
        <row r="698">
          <cell r="AF698">
            <v>0</v>
          </cell>
          <cell r="AH698">
            <v>0</v>
          </cell>
        </row>
        <row r="699">
          <cell r="AF699">
            <v>0</v>
          </cell>
          <cell r="AH699">
            <v>0</v>
          </cell>
        </row>
        <row r="700">
          <cell r="AF700">
            <v>0</v>
          </cell>
          <cell r="AH700">
            <v>0</v>
          </cell>
        </row>
        <row r="701">
          <cell r="AF701">
            <v>0</v>
          </cell>
          <cell r="AH701">
            <v>0</v>
          </cell>
        </row>
        <row r="702">
          <cell r="AF702">
            <v>0</v>
          </cell>
          <cell r="AH702">
            <v>0</v>
          </cell>
        </row>
        <row r="703">
          <cell r="AF703">
            <v>0</v>
          </cell>
          <cell r="AH703">
            <v>0</v>
          </cell>
        </row>
        <row r="704">
          <cell r="AF704">
            <v>0</v>
          </cell>
          <cell r="AH704">
            <v>0</v>
          </cell>
        </row>
        <row r="705">
          <cell r="AF705">
            <v>0</v>
          </cell>
          <cell r="AH705">
            <v>0</v>
          </cell>
        </row>
        <row r="706">
          <cell r="AF706">
            <v>0</v>
          </cell>
          <cell r="AH706">
            <v>0</v>
          </cell>
        </row>
        <row r="707">
          <cell r="AF707">
            <v>0</v>
          </cell>
          <cell r="AH707">
            <v>0</v>
          </cell>
        </row>
        <row r="708">
          <cell r="AF708">
            <v>0</v>
          </cell>
          <cell r="AH708">
            <v>0</v>
          </cell>
        </row>
        <row r="709">
          <cell r="AF709">
            <v>0</v>
          </cell>
          <cell r="AH709">
            <v>0</v>
          </cell>
        </row>
        <row r="710">
          <cell r="AF710">
            <v>0</v>
          </cell>
          <cell r="AH710">
            <v>0</v>
          </cell>
        </row>
        <row r="711">
          <cell r="AF711">
            <v>0</v>
          </cell>
          <cell r="AH711">
            <v>0</v>
          </cell>
        </row>
        <row r="712">
          <cell r="AF712">
            <v>0</v>
          </cell>
          <cell r="AH712">
            <v>0</v>
          </cell>
        </row>
        <row r="713">
          <cell r="AF713">
            <v>0</v>
          </cell>
          <cell r="AH713">
            <v>0</v>
          </cell>
        </row>
        <row r="714">
          <cell r="AF714">
            <v>0</v>
          </cell>
          <cell r="AH714">
            <v>0</v>
          </cell>
        </row>
        <row r="715">
          <cell r="AF715">
            <v>0</v>
          </cell>
          <cell r="AH715">
            <v>0</v>
          </cell>
        </row>
        <row r="716">
          <cell r="AF716">
            <v>0</v>
          </cell>
          <cell r="AH716">
            <v>0</v>
          </cell>
        </row>
        <row r="717">
          <cell r="AF717">
            <v>0</v>
          </cell>
          <cell r="AH717">
            <v>0</v>
          </cell>
        </row>
        <row r="718">
          <cell r="AF718">
            <v>0</v>
          </cell>
          <cell r="AH718">
            <v>0</v>
          </cell>
        </row>
        <row r="719">
          <cell r="AF719">
            <v>0</v>
          </cell>
          <cell r="AH719">
            <v>0</v>
          </cell>
        </row>
        <row r="720">
          <cell r="AF720">
            <v>0</v>
          </cell>
          <cell r="AH720">
            <v>0</v>
          </cell>
        </row>
        <row r="721">
          <cell r="AF721">
            <v>0</v>
          </cell>
          <cell r="AH721">
            <v>0</v>
          </cell>
        </row>
        <row r="722">
          <cell r="AF722">
            <v>0</v>
          </cell>
          <cell r="AH722">
            <v>0</v>
          </cell>
        </row>
        <row r="723">
          <cell r="AF723">
            <v>0</v>
          </cell>
          <cell r="AH723">
            <v>0</v>
          </cell>
        </row>
        <row r="724">
          <cell r="AF724">
            <v>0</v>
          </cell>
          <cell r="AH724">
            <v>0</v>
          </cell>
        </row>
        <row r="725">
          <cell r="AF725">
            <v>0</v>
          </cell>
          <cell r="AH725">
            <v>0</v>
          </cell>
        </row>
        <row r="726">
          <cell r="AF726">
            <v>0</v>
          </cell>
          <cell r="AH726">
            <v>0</v>
          </cell>
        </row>
        <row r="727">
          <cell r="AF727">
            <v>0</v>
          </cell>
          <cell r="AH727">
            <v>0</v>
          </cell>
        </row>
        <row r="728">
          <cell r="AF728">
            <v>0</v>
          </cell>
          <cell r="AH728">
            <v>0</v>
          </cell>
        </row>
        <row r="729">
          <cell r="AF729">
            <v>0</v>
          </cell>
          <cell r="AH729">
            <v>0</v>
          </cell>
        </row>
        <row r="730">
          <cell r="AF730">
            <v>0</v>
          </cell>
          <cell r="AH730">
            <v>0</v>
          </cell>
        </row>
        <row r="731">
          <cell r="AF731">
            <v>0</v>
          </cell>
          <cell r="AH731">
            <v>0</v>
          </cell>
        </row>
        <row r="732">
          <cell r="AF732">
            <v>0</v>
          </cell>
          <cell r="AH732">
            <v>0</v>
          </cell>
        </row>
        <row r="733">
          <cell r="AF733">
            <v>0</v>
          </cell>
          <cell r="AH733">
            <v>0</v>
          </cell>
        </row>
        <row r="734">
          <cell r="AF734">
            <v>0</v>
          </cell>
          <cell r="AH734">
            <v>0</v>
          </cell>
        </row>
        <row r="735">
          <cell r="AF735">
            <v>0</v>
          </cell>
          <cell r="AH735">
            <v>0</v>
          </cell>
        </row>
        <row r="736">
          <cell r="AF736">
            <v>0</v>
          </cell>
          <cell r="AH736">
            <v>0</v>
          </cell>
        </row>
        <row r="737">
          <cell r="AF737">
            <v>0</v>
          </cell>
          <cell r="AH737">
            <v>0</v>
          </cell>
        </row>
        <row r="738">
          <cell r="AF738">
            <v>0</v>
          </cell>
          <cell r="AH738">
            <v>0</v>
          </cell>
        </row>
        <row r="739">
          <cell r="AF739">
            <v>0</v>
          </cell>
          <cell r="AH739">
            <v>0</v>
          </cell>
        </row>
        <row r="740">
          <cell r="AF740">
            <v>0</v>
          </cell>
          <cell r="AH740">
            <v>0</v>
          </cell>
        </row>
        <row r="741">
          <cell r="AF741">
            <v>0</v>
          </cell>
          <cell r="AH741">
            <v>0</v>
          </cell>
        </row>
        <row r="742">
          <cell r="AF742">
            <v>0</v>
          </cell>
          <cell r="AH742">
            <v>0</v>
          </cell>
        </row>
        <row r="743">
          <cell r="AF743">
            <v>0</v>
          </cell>
          <cell r="AH743">
            <v>0</v>
          </cell>
        </row>
        <row r="744">
          <cell r="AF744">
            <v>0</v>
          </cell>
          <cell r="AH744">
            <v>0</v>
          </cell>
        </row>
        <row r="745">
          <cell r="AF745">
            <v>0</v>
          </cell>
          <cell r="AH745">
            <v>0</v>
          </cell>
        </row>
        <row r="746">
          <cell r="AF746">
            <v>0</v>
          </cell>
          <cell r="AH746">
            <v>0</v>
          </cell>
        </row>
        <row r="747">
          <cell r="AF747">
            <v>0</v>
          </cell>
          <cell r="AH747">
            <v>0</v>
          </cell>
        </row>
        <row r="748">
          <cell r="AF748">
            <v>0</v>
          </cell>
          <cell r="AH748">
            <v>0</v>
          </cell>
        </row>
        <row r="749">
          <cell r="AF749">
            <v>0</v>
          </cell>
          <cell r="AH749">
            <v>0</v>
          </cell>
        </row>
        <row r="750">
          <cell r="AF750">
            <v>0</v>
          </cell>
          <cell r="AH750">
            <v>0</v>
          </cell>
        </row>
        <row r="751">
          <cell r="AF751">
            <v>0</v>
          </cell>
          <cell r="AH751">
            <v>0</v>
          </cell>
        </row>
        <row r="752">
          <cell r="AF752">
            <v>0</v>
          </cell>
          <cell r="AH752">
            <v>0</v>
          </cell>
        </row>
        <row r="753">
          <cell r="AF753">
            <v>0</v>
          </cell>
          <cell r="AH753">
            <v>0</v>
          </cell>
        </row>
        <row r="754">
          <cell r="AF754">
            <v>0</v>
          </cell>
          <cell r="AH754">
            <v>0</v>
          </cell>
        </row>
        <row r="755">
          <cell r="AF755">
            <v>0</v>
          </cell>
          <cell r="AH755">
            <v>0</v>
          </cell>
        </row>
        <row r="756">
          <cell r="AF756">
            <v>0</v>
          </cell>
          <cell r="AH756">
            <v>0</v>
          </cell>
        </row>
        <row r="757">
          <cell r="AF757">
            <v>0</v>
          </cell>
          <cell r="AH757">
            <v>0</v>
          </cell>
        </row>
        <row r="758">
          <cell r="AF758">
            <v>0</v>
          </cell>
          <cell r="AH758">
            <v>0</v>
          </cell>
        </row>
        <row r="759">
          <cell r="AF759">
            <v>0</v>
          </cell>
          <cell r="AH759">
            <v>0</v>
          </cell>
        </row>
        <row r="760">
          <cell r="AF760">
            <v>0</v>
          </cell>
          <cell r="AH760">
            <v>0</v>
          </cell>
        </row>
        <row r="761">
          <cell r="AF761">
            <v>0</v>
          </cell>
          <cell r="AH761">
            <v>0</v>
          </cell>
        </row>
        <row r="762">
          <cell r="AF762">
            <v>0</v>
          </cell>
          <cell r="AH762">
            <v>0</v>
          </cell>
        </row>
        <row r="763">
          <cell r="AF763">
            <v>0</v>
          </cell>
          <cell r="AH763">
            <v>0</v>
          </cell>
        </row>
        <row r="764">
          <cell r="AF764">
            <v>0</v>
          </cell>
          <cell r="AH764">
            <v>0</v>
          </cell>
        </row>
        <row r="765">
          <cell r="AF765">
            <v>0</v>
          </cell>
          <cell r="AH765">
            <v>0</v>
          </cell>
        </row>
        <row r="766">
          <cell r="AF766">
            <v>0</v>
          </cell>
          <cell r="AH766">
            <v>0</v>
          </cell>
        </row>
        <row r="767">
          <cell r="AF767">
            <v>0</v>
          </cell>
          <cell r="AH767">
            <v>0</v>
          </cell>
        </row>
        <row r="768">
          <cell r="AF768">
            <v>0</v>
          </cell>
          <cell r="AH768">
            <v>0</v>
          </cell>
        </row>
        <row r="769">
          <cell r="AF769">
            <v>0</v>
          </cell>
          <cell r="AH769">
            <v>0</v>
          </cell>
        </row>
        <row r="770">
          <cell r="AF770">
            <v>0</v>
          </cell>
          <cell r="AH770">
            <v>0</v>
          </cell>
        </row>
        <row r="771">
          <cell r="AF771">
            <v>0</v>
          </cell>
          <cell r="AH771">
            <v>0</v>
          </cell>
        </row>
        <row r="772">
          <cell r="AF772">
            <v>0</v>
          </cell>
          <cell r="AH772">
            <v>0</v>
          </cell>
        </row>
        <row r="773">
          <cell r="AF773">
            <v>0</v>
          </cell>
          <cell r="AH773">
            <v>0</v>
          </cell>
        </row>
        <row r="774">
          <cell r="AF774">
            <v>0</v>
          </cell>
          <cell r="AH774">
            <v>0</v>
          </cell>
        </row>
        <row r="775">
          <cell r="AF775">
            <v>0</v>
          </cell>
          <cell r="AH775">
            <v>0</v>
          </cell>
        </row>
        <row r="776">
          <cell r="AF776">
            <v>0</v>
          </cell>
          <cell r="AH776">
            <v>0</v>
          </cell>
        </row>
        <row r="777">
          <cell r="AF777">
            <v>0</v>
          </cell>
          <cell r="AH777">
            <v>0</v>
          </cell>
        </row>
        <row r="778">
          <cell r="AF778">
            <v>0</v>
          </cell>
          <cell r="AH778">
            <v>0</v>
          </cell>
        </row>
        <row r="779">
          <cell r="AF779">
            <v>0</v>
          </cell>
          <cell r="AH779">
            <v>0</v>
          </cell>
        </row>
        <row r="780">
          <cell r="AF780">
            <v>0</v>
          </cell>
          <cell r="AH780">
            <v>0</v>
          </cell>
        </row>
        <row r="781">
          <cell r="AF781">
            <v>0</v>
          </cell>
          <cell r="AH781">
            <v>0</v>
          </cell>
        </row>
        <row r="782">
          <cell r="AF782">
            <v>0</v>
          </cell>
          <cell r="AH782">
            <v>0</v>
          </cell>
        </row>
        <row r="783">
          <cell r="AF783">
            <v>0</v>
          </cell>
          <cell r="AH783">
            <v>0</v>
          </cell>
        </row>
        <row r="784">
          <cell r="AF784">
            <v>0</v>
          </cell>
          <cell r="AH784">
            <v>0</v>
          </cell>
        </row>
        <row r="785">
          <cell r="AF785">
            <v>0</v>
          </cell>
          <cell r="AH785">
            <v>0</v>
          </cell>
        </row>
        <row r="786">
          <cell r="AF786">
            <v>0</v>
          </cell>
          <cell r="AH786">
            <v>0</v>
          </cell>
        </row>
        <row r="787">
          <cell r="AF787">
            <v>0</v>
          </cell>
          <cell r="AH787">
            <v>0</v>
          </cell>
        </row>
        <row r="788">
          <cell r="AF788">
            <v>0</v>
          </cell>
          <cell r="AH788">
            <v>0</v>
          </cell>
        </row>
        <row r="789">
          <cell r="AF789">
            <v>0</v>
          </cell>
          <cell r="AH789">
            <v>0</v>
          </cell>
        </row>
        <row r="790">
          <cell r="AF790">
            <v>0</v>
          </cell>
          <cell r="AH790">
            <v>0</v>
          </cell>
        </row>
        <row r="791">
          <cell r="AF791">
            <v>0</v>
          </cell>
          <cell r="AH791">
            <v>0</v>
          </cell>
        </row>
        <row r="792">
          <cell r="AF792">
            <v>0</v>
          </cell>
          <cell r="AH792">
            <v>0</v>
          </cell>
        </row>
        <row r="793">
          <cell r="AF793">
            <v>0</v>
          </cell>
          <cell r="AH793">
            <v>0</v>
          </cell>
        </row>
        <row r="794">
          <cell r="AF794">
            <v>0</v>
          </cell>
          <cell r="AH794">
            <v>0</v>
          </cell>
        </row>
        <row r="795">
          <cell r="AF795">
            <v>0</v>
          </cell>
          <cell r="AH795">
            <v>0</v>
          </cell>
        </row>
        <row r="796">
          <cell r="AF796">
            <v>0</v>
          </cell>
          <cell r="AH796">
            <v>0</v>
          </cell>
        </row>
        <row r="797">
          <cell r="AF797">
            <v>0</v>
          </cell>
          <cell r="AH797">
            <v>0</v>
          </cell>
        </row>
        <row r="798">
          <cell r="AF798">
            <v>0</v>
          </cell>
          <cell r="AH798">
            <v>0</v>
          </cell>
        </row>
        <row r="799">
          <cell r="AF799">
            <v>0</v>
          </cell>
          <cell r="AH799">
            <v>0</v>
          </cell>
        </row>
        <row r="800">
          <cell r="AF800">
            <v>0</v>
          </cell>
          <cell r="AH800">
            <v>0</v>
          </cell>
        </row>
        <row r="801">
          <cell r="AF801">
            <v>0</v>
          </cell>
          <cell r="AH801">
            <v>0</v>
          </cell>
        </row>
        <row r="802">
          <cell r="AF802">
            <v>0</v>
          </cell>
          <cell r="AH802">
            <v>0</v>
          </cell>
        </row>
        <row r="803">
          <cell r="AF803">
            <v>0</v>
          </cell>
          <cell r="AH803">
            <v>0</v>
          </cell>
        </row>
        <row r="804">
          <cell r="AF804">
            <v>0</v>
          </cell>
          <cell r="AH804">
            <v>0</v>
          </cell>
        </row>
        <row r="805">
          <cell r="AF805">
            <v>0</v>
          </cell>
          <cell r="AH805">
            <v>0</v>
          </cell>
        </row>
      </sheetData>
      <sheetData sheetId="5">
        <row r="2">
          <cell r="D2" t="str">
            <v>مسعودی</v>
          </cell>
          <cell r="O2">
            <v>7202</v>
          </cell>
          <cell r="AC2" t="str">
            <v>1405/06/01</v>
          </cell>
          <cell r="AF2">
            <v>11</v>
          </cell>
          <cell r="AH2">
            <v>0</v>
          </cell>
        </row>
        <row r="3">
          <cell r="D3" t="str">
            <v>مسعودی</v>
          </cell>
          <cell r="O3">
            <v>7202</v>
          </cell>
          <cell r="AC3" t="str">
            <v>1405/06/02</v>
          </cell>
          <cell r="AF3">
            <v>11</v>
          </cell>
          <cell r="AH3">
            <v>0</v>
          </cell>
        </row>
        <row r="4">
          <cell r="D4" t="str">
            <v>مطهری</v>
          </cell>
          <cell r="O4">
            <v>7203</v>
          </cell>
          <cell r="AC4" t="str">
            <v>1405/06/01</v>
          </cell>
          <cell r="AF4">
            <v>11</v>
          </cell>
          <cell r="AH4">
            <v>0</v>
          </cell>
        </row>
        <row r="5">
          <cell r="D5" t="str">
            <v>قیطاسوند</v>
          </cell>
          <cell r="O5">
            <v>7102</v>
          </cell>
          <cell r="AC5" t="str">
            <v>1405/06/01</v>
          </cell>
          <cell r="AF5">
            <v>11</v>
          </cell>
          <cell r="AH5">
            <v>0</v>
          </cell>
        </row>
        <row r="6">
          <cell r="D6" t="str">
            <v>فراهی</v>
          </cell>
          <cell r="O6">
            <v>7103</v>
          </cell>
          <cell r="AC6" t="str">
            <v>1405/06/01</v>
          </cell>
          <cell r="AF6">
            <v>6.5</v>
          </cell>
          <cell r="AH6">
            <v>0</v>
          </cell>
        </row>
        <row r="7">
          <cell r="D7" t="str">
            <v>فراهی</v>
          </cell>
          <cell r="O7">
            <v>7103</v>
          </cell>
          <cell r="AC7" t="str">
            <v>1405/06/02</v>
          </cell>
          <cell r="AF7">
            <v>4.75</v>
          </cell>
          <cell r="AH7">
            <v>0</v>
          </cell>
        </row>
        <row r="8">
          <cell r="D8" t="str">
            <v>فراهی</v>
          </cell>
          <cell r="O8">
            <v>7103</v>
          </cell>
          <cell r="AC8" t="str">
            <v>1405/06/02</v>
          </cell>
          <cell r="AF8">
            <v>1.75</v>
          </cell>
          <cell r="AH8">
            <v>0</v>
          </cell>
        </row>
        <row r="9">
          <cell r="D9" t="str">
            <v>باقری اصل</v>
          </cell>
          <cell r="O9">
            <v>7204</v>
          </cell>
          <cell r="AC9" t="str">
            <v>1405/06/01</v>
          </cell>
          <cell r="AF9">
            <v>2.5</v>
          </cell>
          <cell r="AH9">
            <v>4</v>
          </cell>
        </row>
        <row r="10">
          <cell r="D10" t="str">
            <v>باقری اصل</v>
          </cell>
          <cell r="O10">
            <v>7204</v>
          </cell>
          <cell r="AC10" t="str">
            <v>1405/06/01</v>
          </cell>
          <cell r="AF10">
            <v>4.5</v>
          </cell>
          <cell r="AH10">
            <v>0</v>
          </cell>
        </row>
        <row r="11">
          <cell r="D11" t="str">
            <v>باقری اصل</v>
          </cell>
          <cell r="O11">
            <v>7204</v>
          </cell>
          <cell r="AC11" t="str">
            <v>1405/06/02</v>
          </cell>
          <cell r="AF11">
            <v>11</v>
          </cell>
          <cell r="AH11">
            <v>0</v>
          </cell>
        </row>
        <row r="12">
          <cell r="D12" t="str">
            <v>کریم پرست</v>
          </cell>
          <cell r="O12">
            <v>7301</v>
          </cell>
          <cell r="AC12" t="str">
            <v>1405/06/01</v>
          </cell>
          <cell r="AF12">
            <v>4</v>
          </cell>
          <cell r="AH12">
            <v>0</v>
          </cell>
        </row>
        <row r="13">
          <cell r="D13" t="str">
            <v>کریم پرست</v>
          </cell>
          <cell r="O13">
            <v>7301</v>
          </cell>
          <cell r="AC13" t="str">
            <v>1405/06/01</v>
          </cell>
          <cell r="AF13">
            <v>4</v>
          </cell>
          <cell r="AH13">
            <v>0</v>
          </cell>
        </row>
        <row r="14">
          <cell r="D14" t="str">
            <v>کریم پرست</v>
          </cell>
          <cell r="O14">
            <v>7301</v>
          </cell>
          <cell r="AC14" t="str">
            <v>1405/06/02</v>
          </cell>
          <cell r="AF14">
            <v>11</v>
          </cell>
          <cell r="AH14">
            <v>0</v>
          </cell>
        </row>
        <row r="15">
          <cell r="D15" t="str">
            <v>موسوی</v>
          </cell>
          <cell r="O15">
            <v>7302</v>
          </cell>
          <cell r="AC15" t="str">
            <v>1405/06/01</v>
          </cell>
          <cell r="AF15">
            <v>2</v>
          </cell>
          <cell r="AH15">
            <v>0</v>
          </cell>
        </row>
        <row r="16">
          <cell r="D16" t="str">
            <v>موسوی</v>
          </cell>
          <cell r="O16">
            <v>7302</v>
          </cell>
          <cell r="AC16" t="str">
            <v>1405/06/01</v>
          </cell>
          <cell r="AF16">
            <v>2</v>
          </cell>
          <cell r="AH16">
            <v>0</v>
          </cell>
        </row>
        <row r="17">
          <cell r="D17" t="str">
            <v>موسوی</v>
          </cell>
          <cell r="O17">
            <v>7302</v>
          </cell>
          <cell r="AC17" t="str">
            <v>1405/06/01</v>
          </cell>
          <cell r="AF17">
            <v>2</v>
          </cell>
          <cell r="AH17">
            <v>0</v>
          </cell>
        </row>
        <row r="18">
          <cell r="D18" t="str">
            <v>موسوی</v>
          </cell>
          <cell r="O18">
            <v>7302</v>
          </cell>
          <cell r="AC18" t="str">
            <v>1405/06/01</v>
          </cell>
          <cell r="AF18">
            <v>2</v>
          </cell>
          <cell r="AH18">
            <v>0</v>
          </cell>
        </row>
        <row r="19">
          <cell r="D19" t="str">
            <v>موسوی</v>
          </cell>
          <cell r="O19" t="str">
            <v>مونتاژ</v>
          </cell>
          <cell r="AC19" t="str">
            <v>1405/06/01</v>
          </cell>
          <cell r="AF19">
            <v>3</v>
          </cell>
          <cell r="AH19">
            <v>0</v>
          </cell>
        </row>
        <row r="20">
          <cell r="D20" t="str">
            <v>موسوی</v>
          </cell>
          <cell r="O20">
            <v>7302</v>
          </cell>
          <cell r="AC20" t="str">
            <v>1405/06/02</v>
          </cell>
          <cell r="AF20">
            <v>3</v>
          </cell>
          <cell r="AH20">
            <v>0</v>
          </cell>
        </row>
        <row r="21">
          <cell r="D21" t="str">
            <v>موسوی</v>
          </cell>
          <cell r="O21">
            <v>7302</v>
          </cell>
          <cell r="AC21" t="str">
            <v>1405/06/02</v>
          </cell>
          <cell r="AF21">
            <v>5</v>
          </cell>
          <cell r="AH21">
            <v>0</v>
          </cell>
        </row>
        <row r="22">
          <cell r="D22" t="str">
            <v>موسوی</v>
          </cell>
          <cell r="O22" t="str">
            <v>مونتاژ</v>
          </cell>
          <cell r="AC22" t="str">
            <v>1405/06/02</v>
          </cell>
          <cell r="AF22">
            <v>2</v>
          </cell>
          <cell r="AH22">
            <v>0</v>
          </cell>
        </row>
        <row r="23">
          <cell r="D23" t="str">
            <v>موسوی</v>
          </cell>
          <cell r="O23" t="str">
            <v>مونتاژ</v>
          </cell>
          <cell r="AC23" t="str">
            <v>1405/06/02</v>
          </cell>
          <cell r="AF23">
            <v>1</v>
          </cell>
          <cell r="AH23">
            <v>0</v>
          </cell>
        </row>
        <row r="24">
          <cell r="D24" t="str">
            <v>صلواتی</v>
          </cell>
          <cell r="O24">
            <v>7601</v>
          </cell>
          <cell r="AC24" t="str">
            <v>1405/06/02</v>
          </cell>
          <cell r="AF24">
            <v>12</v>
          </cell>
          <cell r="AH24">
            <v>0</v>
          </cell>
        </row>
        <row r="25">
          <cell r="D25" t="str">
            <v>صلواتی</v>
          </cell>
          <cell r="O25">
            <v>7602</v>
          </cell>
          <cell r="AC25" t="str">
            <v>1405/06/02</v>
          </cell>
          <cell r="AF25">
            <v>11</v>
          </cell>
          <cell r="AH25">
            <v>0</v>
          </cell>
        </row>
        <row r="26">
          <cell r="D26" t="str">
            <v>صلواتی</v>
          </cell>
          <cell r="O26">
            <v>7604</v>
          </cell>
          <cell r="AC26" t="str">
            <v>1405/06/02</v>
          </cell>
          <cell r="AF26">
            <v>5</v>
          </cell>
          <cell r="AH26">
            <v>0</v>
          </cell>
        </row>
        <row r="27">
          <cell r="D27" t="str">
            <v>صلواتی</v>
          </cell>
          <cell r="O27">
            <v>7605</v>
          </cell>
          <cell r="AC27" t="str">
            <v>1405/06/02</v>
          </cell>
          <cell r="AF27">
            <v>6</v>
          </cell>
          <cell r="AH27">
            <v>0</v>
          </cell>
        </row>
        <row r="28">
          <cell r="D28" t="str">
            <v>یاراحمدی</v>
          </cell>
          <cell r="O28">
            <v>7502</v>
          </cell>
          <cell r="AC28" t="str">
            <v>1405/06/01</v>
          </cell>
          <cell r="AF28">
            <v>7</v>
          </cell>
          <cell r="AH28">
            <v>0</v>
          </cell>
        </row>
        <row r="29">
          <cell r="D29" t="str">
            <v>یاراحمدی</v>
          </cell>
          <cell r="O29">
            <v>7502</v>
          </cell>
          <cell r="AC29" t="str">
            <v>1405/06/01</v>
          </cell>
          <cell r="AF29">
            <v>3</v>
          </cell>
          <cell r="AH29">
            <v>0</v>
          </cell>
        </row>
        <row r="30">
          <cell r="D30" t="str">
            <v>یاراحمدی</v>
          </cell>
          <cell r="O30">
            <v>7502</v>
          </cell>
          <cell r="AC30" t="str">
            <v>1405/06/01</v>
          </cell>
          <cell r="AF30">
            <v>1</v>
          </cell>
          <cell r="AH30">
            <v>0</v>
          </cell>
        </row>
        <row r="31">
          <cell r="D31" t="str">
            <v>یاراحمدی</v>
          </cell>
          <cell r="O31">
            <v>7502</v>
          </cell>
          <cell r="AC31" t="str">
            <v>1405/06/02</v>
          </cell>
          <cell r="AF31">
            <v>6</v>
          </cell>
          <cell r="AH31">
            <v>0</v>
          </cell>
        </row>
        <row r="32">
          <cell r="D32" t="str">
            <v>یاراحمدی</v>
          </cell>
          <cell r="O32">
            <v>7502</v>
          </cell>
          <cell r="AC32" t="str">
            <v>1405/06/02</v>
          </cell>
          <cell r="AF32">
            <v>5</v>
          </cell>
          <cell r="AH32">
            <v>0</v>
          </cell>
        </row>
        <row r="33">
          <cell r="D33" t="str">
            <v>هاشم زاده</v>
          </cell>
          <cell r="O33" t="str">
            <v>مونتاژ</v>
          </cell>
          <cell r="AC33" t="str">
            <v>1405/06/02</v>
          </cell>
          <cell r="AF33">
            <v>4</v>
          </cell>
          <cell r="AH33">
            <v>0</v>
          </cell>
        </row>
        <row r="34">
          <cell r="D34" t="str">
            <v>هاشم زاده</v>
          </cell>
          <cell r="O34" t="str">
            <v>مونتاژ</v>
          </cell>
          <cell r="AC34" t="str">
            <v>1405/06/02</v>
          </cell>
          <cell r="AF34">
            <v>2</v>
          </cell>
          <cell r="AH34">
            <v>0</v>
          </cell>
        </row>
        <row r="35">
          <cell r="D35" t="str">
            <v>کریم پرست</v>
          </cell>
          <cell r="O35">
            <v>7301</v>
          </cell>
          <cell r="AC35" t="str">
            <v>1405/06/01</v>
          </cell>
          <cell r="AF35">
            <v>2</v>
          </cell>
          <cell r="AH35">
            <v>0</v>
          </cell>
        </row>
        <row r="36">
          <cell r="D36" t="str">
            <v>هاشم زاده</v>
          </cell>
          <cell r="O36" t="str">
            <v>مونتاژ</v>
          </cell>
          <cell r="AC36" t="str">
            <v>1405/06/02</v>
          </cell>
          <cell r="AF36">
            <v>3</v>
          </cell>
          <cell r="AH36">
            <v>0</v>
          </cell>
        </row>
        <row r="37">
          <cell r="D37" t="str">
            <v>حیدری</v>
          </cell>
          <cell r="O37">
            <v>7101</v>
          </cell>
          <cell r="AC37" t="str">
            <v>1405/06/01</v>
          </cell>
          <cell r="AF37">
            <v>4.5</v>
          </cell>
          <cell r="AH37">
            <v>0</v>
          </cell>
        </row>
        <row r="38">
          <cell r="D38" t="str">
            <v>حیدری</v>
          </cell>
          <cell r="O38">
            <v>7101</v>
          </cell>
          <cell r="AC38" t="str">
            <v>1405/06/01</v>
          </cell>
          <cell r="AF38">
            <v>3.5</v>
          </cell>
          <cell r="AH38">
            <v>0</v>
          </cell>
        </row>
        <row r="39">
          <cell r="D39" t="str">
            <v>حیدری</v>
          </cell>
          <cell r="O39">
            <v>7101</v>
          </cell>
          <cell r="AC39" t="str">
            <v>1405/06/01</v>
          </cell>
          <cell r="AF39">
            <v>3</v>
          </cell>
          <cell r="AH39">
            <v>0</v>
          </cell>
        </row>
        <row r="40">
          <cell r="D40" t="str">
            <v>حیدری</v>
          </cell>
          <cell r="O40">
            <v>7101</v>
          </cell>
          <cell r="AC40" t="str">
            <v>1405/06/02</v>
          </cell>
          <cell r="AF40">
            <v>3.5</v>
          </cell>
          <cell r="AH40">
            <v>0</v>
          </cell>
        </row>
        <row r="41">
          <cell r="D41" t="str">
            <v>حیدری</v>
          </cell>
          <cell r="O41">
            <v>7101</v>
          </cell>
          <cell r="AC41" t="str">
            <v>1405/06/02</v>
          </cell>
          <cell r="AF41">
            <v>4.5</v>
          </cell>
          <cell r="AH41">
            <v>0</v>
          </cell>
        </row>
        <row r="42">
          <cell r="D42" t="str">
            <v>حیدری</v>
          </cell>
          <cell r="O42">
            <v>7101</v>
          </cell>
          <cell r="AC42" t="str">
            <v>1405/06/02</v>
          </cell>
          <cell r="AF42">
            <v>3</v>
          </cell>
          <cell r="AH42">
            <v>0</v>
          </cell>
        </row>
        <row r="43">
          <cell r="D43" t="str">
            <v>خیرخواه</v>
          </cell>
          <cell r="O43" t="str">
            <v>مونتاژ</v>
          </cell>
          <cell r="AC43" t="str">
            <v>1405/06/01</v>
          </cell>
          <cell r="AF43">
            <v>4</v>
          </cell>
          <cell r="AH43">
            <v>0</v>
          </cell>
        </row>
        <row r="44">
          <cell r="D44" t="str">
            <v>خیرخواه</v>
          </cell>
          <cell r="O44">
            <v>7401</v>
          </cell>
          <cell r="AC44" t="str">
            <v>1405/06/01</v>
          </cell>
          <cell r="AF44">
            <v>1</v>
          </cell>
          <cell r="AH44">
            <v>0</v>
          </cell>
        </row>
        <row r="45">
          <cell r="D45" t="str">
            <v>خیرخواه</v>
          </cell>
          <cell r="O45">
            <v>7401</v>
          </cell>
          <cell r="AC45" t="str">
            <v>1405/06/01</v>
          </cell>
          <cell r="AF45">
            <v>1</v>
          </cell>
          <cell r="AH45">
            <v>0</v>
          </cell>
        </row>
        <row r="46">
          <cell r="D46" t="str">
            <v>خیرخواه</v>
          </cell>
          <cell r="O46" t="str">
            <v>مونتاژ</v>
          </cell>
          <cell r="AC46" t="str">
            <v>1405/06/01</v>
          </cell>
          <cell r="AF46">
            <v>5</v>
          </cell>
          <cell r="AH46">
            <v>0</v>
          </cell>
        </row>
        <row r="47">
          <cell r="D47" t="str">
            <v>هاشم زاده</v>
          </cell>
          <cell r="O47" t="str">
            <v>مونتاژ</v>
          </cell>
          <cell r="AC47" t="str">
            <v>1405/06/01</v>
          </cell>
          <cell r="AF47">
            <v>3</v>
          </cell>
          <cell r="AH47">
            <v>0</v>
          </cell>
        </row>
        <row r="48">
          <cell r="D48" t="str">
            <v>هاشم زاده</v>
          </cell>
          <cell r="O48" t="str">
            <v>مونتاژ</v>
          </cell>
          <cell r="AC48" t="str">
            <v>1405/06/01</v>
          </cell>
          <cell r="AF48">
            <v>3</v>
          </cell>
          <cell r="AH48">
            <v>0</v>
          </cell>
        </row>
        <row r="49">
          <cell r="D49" t="str">
            <v>هاشم زاده</v>
          </cell>
          <cell r="O49">
            <v>8001</v>
          </cell>
          <cell r="AC49" t="str">
            <v>1405/06/01</v>
          </cell>
          <cell r="AF49">
            <v>2</v>
          </cell>
          <cell r="AH49">
            <v>0</v>
          </cell>
        </row>
        <row r="50">
          <cell r="D50" t="str">
            <v>هاشم زاده</v>
          </cell>
          <cell r="O50" t="str">
            <v>مونتاژ</v>
          </cell>
          <cell r="AC50" t="str">
            <v>1405/06/01</v>
          </cell>
          <cell r="AF50">
            <v>3</v>
          </cell>
          <cell r="AH50">
            <v>0</v>
          </cell>
        </row>
        <row r="51">
          <cell r="D51" t="str">
            <v>خیرخواه</v>
          </cell>
          <cell r="O51">
            <v>7401</v>
          </cell>
          <cell r="AC51" t="str">
            <v>1405/06/03</v>
          </cell>
          <cell r="AF51">
            <v>10</v>
          </cell>
          <cell r="AH51">
            <v>0</v>
          </cell>
        </row>
        <row r="52">
          <cell r="D52" t="str">
            <v>خیرخواه</v>
          </cell>
          <cell r="O52">
            <v>7401</v>
          </cell>
          <cell r="AC52" t="str">
            <v>1405/06/03</v>
          </cell>
          <cell r="AF52">
            <v>0.5</v>
          </cell>
          <cell r="AH52">
            <v>0</v>
          </cell>
        </row>
        <row r="53">
          <cell r="D53" t="str">
            <v>خیرخواه</v>
          </cell>
          <cell r="O53" t="str">
            <v>مونتاژ</v>
          </cell>
          <cell r="AC53" t="str">
            <v>1405/06/04</v>
          </cell>
          <cell r="AF53">
            <v>10</v>
          </cell>
          <cell r="AH53">
            <v>0</v>
          </cell>
        </row>
        <row r="54">
          <cell r="D54" t="str">
            <v>خیرخواه</v>
          </cell>
          <cell r="O54" t="str">
            <v>مونتاژ</v>
          </cell>
          <cell r="AC54" t="str">
            <v>1405/06/04</v>
          </cell>
          <cell r="AF54">
            <v>1</v>
          </cell>
          <cell r="AH54">
            <v>0</v>
          </cell>
        </row>
        <row r="55">
          <cell r="D55" t="str">
            <v>هاشم زاده</v>
          </cell>
          <cell r="O55" t="str">
            <v>مونتاژ</v>
          </cell>
          <cell r="AC55" t="str">
            <v>1405/06/03</v>
          </cell>
          <cell r="AF55">
            <v>3</v>
          </cell>
          <cell r="AH55">
            <v>0</v>
          </cell>
        </row>
        <row r="56">
          <cell r="D56" t="str">
            <v>هاشم زاده</v>
          </cell>
          <cell r="O56" t="str">
            <v>مونتاژ</v>
          </cell>
          <cell r="AC56" t="str">
            <v>1405/06/03</v>
          </cell>
          <cell r="AF56">
            <v>2</v>
          </cell>
          <cell r="AH56">
            <v>0</v>
          </cell>
        </row>
        <row r="57">
          <cell r="D57" t="str">
            <v>هاشم زاده</v>
          </cell>
          <cell r="O57">
            <v>8001</v>
          </cell>
          <cell r="AC57" t="str">
            <v>1405/06/03</v>
          </cell>
          <cell r="AF57">
            <v>3</v>
          </cell>
          <cell r="AH57">
            <v>0</v>
          </cell>
        </row>
        <row r="58">
          <cell r="D58" t="str">
            <v>هاشم زاده</v>
          </cell>
          <cell r="O58" t="str">
            <v>مونتاژ</v>
          </cell>
          <cell r="AC58" t="str">
            <v>1405/06/03</v>
          </cell>
          <cell r="AF58">
            <v>1</v>
          </cell>
          <cell r="AH58">
            <v>0</v>
          </cell>
        </row>
        <row r="59">
          <cell r="D59" t="str">
            <v>خیرخواه</v>
          </cell>
          <cell r="O59" t="str">
            <v>مونتاژ</v>
          </cell>
          <cell r="AC59" t="str">
            <v>1405/06/04</v>
          </cell>
          <cell r="AF59">
            <v>8</v>
          </cell>
          <cell r="AH59">
            <v>0</v>
          </cell>
        </row>
        <row r="60">
          <cell r="D60" t="str">
            <v>یاراحمدی</v>
          </cell>
          <cell r="O60">
            <v>7502</v>
          </cell>
          <cell r="AC60" t="str">
            <v>1405/06/03</v>
          </cell>
          <cell r="AF60">
            <v>7</v>
          </cell>
          <cell r="AH60">
            <v>0</v>
          </cell>
        </row>
        <row r="61">
          <cell r="D61" t="str">
            <v>یاراحمدی</v>
          </cell>
          <cell r="O61">
            <v>7502</v>
          </cell>
          <cell r="AC61" t="str">
            <v>1405/06/03</v>
          </cell>
          <cell r="AF61">
            <v>2</v>
          </cell>
          <cell r="AH61">
            <v>0</v>
          </cell>
        </row>
        <row r="62">
          <cell r="D62" t="str">
            <v>یاراحمدی</v>
          </cell>
          <cell r="O62">
            <v>7502</v>
          </cell>
          <cell r="AC62" t="str">
            <v>1405/06/04</v>
          </cell>
          <cell r="AF62">
            <v>6</v>
          </cell>
          <cell r="AH62">
            <v>0</v>
          </cell>
        </row>
        <row r="63">
          <cell r="D63" t="str">
            <v>یاراحمدی</v>
          </cell>
          <cell r="O63">
            <v>7502</v>
          </cell>
          <cell r="AC63" t="str">
            <v>1405/06/04</v>
          </cell>
          <cell r="AF63">
            <v>2</v>
          </cell>
          <cell r="AH63">
            <v>0</v>
          </cell>
        </row>
        <row r="64">
          <cell r="D64" t="str">
            <v>یاراحمدی</v>
          </cell>
          <cell r="O64">
            <v>7502</v>
          </cell>
          <cell r="AC64" t="str">
            <v>1405/06/04</v>
          </cell>
          <cell r="AF64">
            <v>1</v>
          </cell>
          <cell r="AH64">
            <v>0</v>
          </cell>
        </row>
        <row r="65">
          <cell r="D65" t="str">
            <v>یاراحمدی</v>
          </cell>
          <cell r="O65">
            <v>7502</v>
          </cell>
          <cell r="AC65" t="str">
            <v>1405/06/04</v>
          </cell>
          <cell r="AF65">
            <v>2</v>
          </cell>
          <cell r="AH65">
            <v>0</v>
          </cell>
        </row>
        <row r="66">
          <cell r="D66" t="str">
            <v>حیدری</v>
          </cell>
          <cell r="O66">
            <v>7101</v>
          </cell>
          <cell r="AC66" t="str">
            <v>1405/06/03</v>
          </cell>
          <cell r="AF66">
            <v>4.5</v>
          </cell>
          <cell r="AH66">
            <v>0</v>
          </cell>
        </row>
        <row r="67">
          <cell r="D67" t="str">
            <v>حیدری</v>
          </cell>
          <cell r="O67">
            <v>7101</v>
          </cell>
          <cell r="AC67" t="str">
            <v>1405/06/03</v>
          </cell>
          <cell r="AF67">
            <v>4.5</v>
          </cell>
          <cell r="AH67">
            <v>0</v>
          </cell>
        </row>
        <row r="68">
          <cell r="D68" t="str">
            <v>حیدری</v>
          </cell>
          <cell r="O68">
            <v>7101</v>
          </cell>
          <cell r="AC68" t="str">
            <v>1405/06/03</v>
          </cell>
          <cell r="AF68">
            <v>1</v>
          </cell>
          <cell r="AH68">
            <v>1</v>
          </cell>
        </row>
        <row r="69">
          <cell r="D69" t="str">
            <v>حیدری</v>
          </cell>
          <cell r="O69">
            <v>7101</v>
          </cell>
          <cell r="AC69" t="str">
            <v>1405/06/04</v>
          </cell>
          <cell r="AF69">
            <v>2.5</v>
          </cell>
          <cell r="AH69">
            <v>0</v>
          </cell>
        </row>
        <row r="70">
          <cell r="D70" t="str">
            <v>حیدری</v>
          </cell>
          <cell r="O70">
            <v>7101</v>
          </cell>
          <cell r="AC70" t="str">
            <v>1405/06/04</v>
          </cell>
          <cell r="AF70">
            <v>1</v>
          </cell>
          <cell r="AH70">
            <v>0</v>
          </cell>
        </row>
        <row r="71">
          <cell r="D71" t="str">
            <v>حیدری</v>
          </cell>
          <cell r="O71">
            <v>7101</v>
          </cell>
          <cell r="AC71" t="str">
            <v>1405/06/04</v>
          </cell>
          <cell r="AF71">
            <v>4.5</v>
          </cell>
          <cell r="AH71">
            <v>0</v>
          </cell>
        </row>
        <row r="72">
          <cell r="D72" t="str">
            <v>حیدری</v>
          </cell>
          <cell r="O72">
            <v>7101</v>
          </cell>
          <cell r="AC72" t="str">
            <v>1405/06/04</v>
          </cell>
          <cell r="AF72">
            <v>2</v>
          </cell>
          <cell r="AH72">
            <v>0</v>
          </cell>
        </row>
        <row r="73">
          <cell r="D73" t="str">
            <v>قیطاسوند</v>
          </cell>
          <cell r="O73">
            <v>7102</v>
          </cell>
          <cell r="AC73" t="str">
            <v>1405/06/03</v>
          </cell>
          <cell r="AF73">
            <v>11</v>
          </cell>
          <cell r="AH73">
            <v>0</v>
          </cell>
        </row>
        <row r="74">
          <cell r="D74" t="str">
            <v>قیطاسوند</v>
          </cell>
          <cell r="O74">
            <v>7102</v>
          </cell>
          <cell r="AC74" t="str">
            <v>1405/06/04</v>
          </cell>
          <cell r="AF74">
            <v>11</v>
          </cell>
          <cell r="AH74">
            <v>0</v>
          </cell>
        </row>
        <row r="75">
          <cell r="D75" t="str">
            <v>فراهی</v>
          </cell>
          <cell r="O75">
            <v>7103</v>
          </cell>
          <cell r="AC75" t="str">
            <v>1405/06/03</v>
          </cell>
          <cell r="AF75">
            <v>6.5</v>
          </cell>
          <cell r="AH75">
            <v>0</v>
          </cell>
        </row>
        <row r="76">
          <cell r="D76" t="str">
            <v>فراهی</v>
          </cell>
          <cell r="O76">
            <v>7103</v>
          </cell>
          <cell r="AC76" t="str">
            <v>1405/06/04</v>
          </cell>
          <cell r="AF76">
            <v>6.5</v>
          </cell>
          <cell r="AH76">
            <v>0</v>
          </cell>
        </row>
        <row r="77">
          <cell r="D77" t="str">
            <v>کریم پرست</v>
          </cell>
          <cell r="O77">
            <v>7301</v>
          </cell>
          <cell r="AC77" t="str">
            <v>1405/06/03</v>
          </cell>
          <cell r="AF77">
            <v>4</v>
          </cell>
          <cell r="AH77">
            <v>0</v>
          </cell>
        </row>
        <row r="78">
          <cell r="D78" t="str">
            <v>موسوی</v>
          </cell>
          <cell r="O78">
            <v>7302</v>
          </cell>
          <cell r="AC78" t="str">
            <v>1405/06/03</v>
          </cell>
          <cell r="AF78">
            <v>4</v>
          </cell>
          <cell r="AH78">
            <v>0</v>
          </cell>
        </row>
        <row r="79">
          <cell r="D79" t="str">
            <v>موسوی</v>
          </cell>
          <cell r="O79">
            <v>7302</v>
          </cell>
          <cell r="AC79" t="str">
            <v>1405/06/03</v>
          </cell>
          <cell r="AF79">
            <v>2</v>
          </cell>
          <cell r="AH79">
            <v>0</v>
          </cell>
        </row>
        <row r="80">
          <cell r="D80" t="str">
            <v>کریم پرست</v>
          </cell>
          <cell r="O80">
            <v>7301</v>
          </cell>
          <cell r="AC80" t="str">
            <v>1405/06/03</v>
          </cell>
          <cell r="AF80">
            <v>1</v>
          </cell>
          <cell r="AH80">
            <v>0</v>
          </cell>
        </row>
        <row r="81">
          <cell r="D81" t="str">
            <v>کریم پرست</v>
          </cell>
          <cell r="O81">
            <v>7301</v>
          </cell>
          <cell r="AC81" t="str">
            <v>1405/06/04</v>
          </cell>
          <cell r="AF81">
            <v>3</v>
          </cell>
          <cell r="AH81">
            <v>0</v>
          </cell>
        </row>
        <row r="82">
          <cell r="D82" t="str">
            <v>کریم پرست</v>
          </cell>
          <cell r="O82">
            <v>7301</v>
          </cell>
          <cell r="AC82" t="str">
            <v>1405/06/04</v>
          </cell>
          <cell r="AF82">
            <v>2</v>
          </cell>
          <cell r="AH82">
            <v>0</v>
          </cell>
        </row>
        <row r="83">
          <cell r="D83" t="str">
            <v>کریم پرست</v>
          </cell>
          <cell r="O83">
            <v>7301</v>
          </cell>
          <cell r="AC83" t="str">
            <v>1405/06/04</v>
          </cell>
          <cell r="AF83">
            <v>4</v>
          </cell>
          <cell r="AH83">
            <v>0</v>
          </cell>
        </row>
        <row r="84">
          <cell r="D84" t="str">
            <v>کریم پرست</v>
          </cell>
          <cell r="O84">
            <v>7301</v>
          </cell>
          <cell r="AC84" t="str">
            <v>1405/06/04</v>
          </cell>
          <cell r="AF84">
            <v>0.5</v>
          </cell>
          <cell r="AH84">
            <v>0</v>
          </cell>
        </row>
        <row r="85">
          <cell r="D85" t="str">
            <v>کریم پرست</v>
          </cell>
          <cell r="O85">
            <v>7301</v>
          </cell>
          <cell r="AC85" t="str">
            <v>1405/06/04</v>
          </cell>
          <cell r="AF85">
            <v>0.5</v>
          </cell>
          <cell r="AH85">
            <v>0</v>
          </cell>
        </row>
        <row r="86">
          <cell r="D86" t="str">
            <v>موسوی</v>
          </cell>
          <cell r="O86">
            <v>7302</v>
          </cell>
          <cell r="AC86" t="str">
            <v>1405/06/03</v>
          </cell>
          <cell r="AF86">
            <v>2</v>
          </cell>
          <cell r="AH86">
            <v>0</v>
          </cell>
        </row>
        <row r="87">
          <cell r="D87" t="str">
            <v>موسوی</v>
          </cell>
          <cell r="O87">
            <v>7302</v>
          </cell>
          <cell r="AC87" t="str">
            <v>1405/06/03</v>
          </cell>
          <cell r="AF87">
            <v>5</v>
          </cell>
          <cell r="AH87">
            <v>0</v>
          </cell>
        </row>
        <row r="88">
          <cell r="D88" t="str">
            <v>موسوی</v>
          </cell>
          <cell r="O88">
            <v>7302</v>
          </cell>
          <cell r="AC88" t="str">
            <v>1405/06/03</v>
          </cell>
          <cell r="AF88">
            <v>2</v>
          </cell>
          <cell r="AH88">
            <v>0</v>
          </cell>
        </row>
        <row r="89">
          <cell r="D89" t="str">
            <v>موسوی</v>
          </cell>
          <cell r="O89">
            <v>7302</v>
          </cell>
          <cell r="AC89" t="str">
            <v>1405/06/03</v>
          </cell>
          <cell r="AF89">
            <v>1</v>
          </cell>
          <cell r="AH89">
            <v>0</v>
          </cell>
        </row>
        <row r="90">
          <cell r="D90" t="str">
            <v>موسوی</v>
          </cell>
          <cell r="O90">
            <v>7302</v>
          </cell>
          <cell r="AC90" t="str">
            <v>1405/06/04</v>
          </cell>
          <cell r="AF90">
            <v>5</v>
          </cell>
          <cell r="AH90">
            <v>0</v>
          </cell>
        </row>
        <row r="91">
          <cell r="D91" t="str">
            <v>موسوی</v>
          </cell>
          <cell r="O91">
            <v>7302</v>
          </cell>
          <cell r="AC91" t="str">
            <v>1405/06/04</v>
          </cell>
          <cell r="AF91">
            <v>3</v>
          </cell>
          <cell r="AH91">
            <v>0</v>
          </cell>
        </row>
        <row r="92">
          <cell r="D92" t="str">
            <v>موسوی</v>
          </cell>
          <cell r="O92">
            <v>7302</v>
          </cell>
          <cell r="AC92" t="str">
            <v>1405/06/04</v>
          </cell>
          <cell r="AF92">
            <v>3</v>
          </cell>
          <cell r="AH92">
            <v>0</v>
          </cell>
        </row>
        <row r="93">
          <cell r="D93" t="str">
            <v>صلواتی</v>
          </cell>
          <cell r="O93">
            <v>7601</v>
          </cell>
          <cell r="AC93" t="str">
            <v>1405/06/03</v>
          </cell>
          <cell r="AF93">
            <v>11</v>
          </cell>
          <cell r="AH93">
            <v>0</v>
          </cell>
        </row>
        <row r="94">
          <cell r="D94" t="str">
            <v>صلواتی</v>
          </cell>
          <cell r="O94">
            <v>7602</v>
          </cell>
          <cell r="AC94" t="str">
            <v>1405/06/03</v>
          </cell>
          <cell r="AF94">
            <v>11</v>
          </cell>
          <cell r="AH94">
            <v>0</v>
          </cell>
        </row>
        <row r="95">
          <cell r="D95" t="str">
            <v>صلواتی</v>
          </cell>
          <cell r="O95">
            <v>7605</v>
          </cell>
          <cell r="AC95" t="str">
            <v>1405/06/03</v>
          </cell>
          <cell r="AF95">
            <v>11</v>
          </cell>
          <cell r="AH95">
            <v>0</v>
          </cell>
        </row>
        <row r="96">
          <cell r="D96" t="str">
            <v>باقری اصل</v>
          </cell>
          <cell r="O96">
            <v>7204</v>
          </cell>
          <cell r="AC96" t="str">
            <v>1405/06/03</v>
          </cell>
          <cell r="AF96">
            <v>11</v>
          </cell>
          <cell r="AH96">
            <v>0</v>
          </cell>
        </row>
        <row r="97">
          <cell r="D97" t="str">
            <v>باقری اصل</v>
          </cell>
          <cell r="O97">
            <v>7204</v>
          </cell>
          <cell r="AC97" t="str">
            <v>1405/06/04</v>
          </cell>
          <cell r="AF97">
            <v>1.5</v>
          </cell>
          <cell r="AH97">
            <v>1</v>
          </cell>
        </row>
        <row r="98">
          <cell r="D98" t="str">
            <v>باقری اصل</v>
          </cell>
          <cell r="O98">
            <v>7204</v>
          </cell>
          <cell r="AC98" t="str">
            <v>1405/06/04</v>
          </cell>
          <cell r="AF98">
            <v>5.5</v>
          </cell>
          <cell r="AH98">
            <v>3</v>
          </cell>
        </row>
        <row r="99">
          <cell r="D99" t="str">
            <v>مسعودی</v>
          </cell>
          <cell r="O99">
            <v>7202</v>
          </cell>
          <cell r="AC99" t="str">
            <v>1405/06/03</v>
          </cell>
          <cell r="AF99">
            <v>11</v>
          </cell>
          <cell r="AH99">
            <v>0</v>
          </cell>
        </row>
        <row r="100">
          <cell r="D100" t="str">
            <v>مسعودی</v>
          </cell>
          <cell r="O100">
            <v>7202</v>
          </cell>
          <cell r="AC100" t="str">
            <v>1405/06/04</v>
          </cell>
          <cell r="AF100">
            <v>11</v>
          </cell>
          <cell r="AH100">
            <v>0</v>
          </cell>
        </row>
        <row r="101">
          <cell r="D101" t="str">
            <v>مطهری</v>
          </cell>
          <cell r="O101">
            <v>7203</v>
          </cell>
          <cell r="AC101" t="str">
            <v>1405/06/02</v>
          </cell>
          <cell r="AF101">
            <v>11</v>
          </cell>
          <cell r="AH101">
            <v>0</v>
          </cell>
        </row>
        <row r="102">
          <cell r="D102" t="str">
            <v>مطهری</v>
          </cell>
          <cell r="O102">
            <v>7203</v>
          </cell>
          <cell r="AC102" t="str">
            <v>1405/06/03</v>
          </cell>
          <cell r="AF102">
            <v>11</v>
          </cell>
          <cell r="AH102">
            <v>0</v>
          </cell>
        </row>
        <row r="103">
          <cell r="D103" t="str">
            <v>مطهری</v>
          </cell>
          <cell r="O103">
            <v>7203</v>
          </cell>
          <cell r="AC103" t="str">
            <v>1405/06/04</v>
          </cell>
          <cell r="AF103">
            <v>11</v>
          </cell>
          <cell r="AH103">
            <v>0</v>
          </cell>
        </row>
        <row r="104">
          <cell r="D104" t="str">
            <v>آذرمنش</v>
          </cell>
          <cell r="O104">
            <v>7203</v>
          </cell>
          <cell r="AC104" t="str">
            <v>1405/06/07</v>
          </cell>
          <cell r="AF104">
            <v>11</v>
          </cell>
          <cell r="AH104">
            <v>0</v>
          </cell>
        </row>
        <row r="105">
          <cell r="D105" t="str">
            <v>آذرمنش</v>
          </cell>
          <cell r="O105">
            <v>7203</v>
          </cell>
          <cell r="AC105" t="str">
            <v>1405/06/07</v>
          </cell>
          <cell r="AF105">
            <v>11</v>
          </cell>
          <cell r="AH105">
            <v>0</v>
          </cell>
        </row>
        <row r="106">
          <cell r="D106" t="str">
            <v>حیدری</v>
          </cell>
          <cell r="O106">
            <v>7101</v>
          </cell>
          <cell r="AC106" t="str">
            <v>1405/06/07</v>
          </cell>
          <cell r="AF106">
            <v>3.5</v>
          </cell>
          <cell r="AH106">
            <v>0</v>
          </cell>
        </row>
        <row r="107">
          <cell r="D107" t="str">
            <v>حیدری</v>
          </cell>
          <cell r="O107">
            <v>7101</v>
          </cell>
          <cell r="AC107" t="str">
            <v>1405/06/07</v>
          </cell>
          <cell r="AF107">
            <v>4</v>
          </cell>
          <cell r="AH107">
            <v>0</v>
          </cell>
        </row>
        <row r="108">
          <cell r="D108" t="str">
            <v>حیدری</v>
          </cell>
          <cell r="O108">
            <v>7101</v>
          </cell>
          <cell r="AC108" t="str">
            <v>1405/06/07</v>
          </cell>
          <cell r="AF108">
            <v>3.5</v>
          </cell>
          <cell r="AH108">
            <v>0</v>
          </cell>
        </row>
        <row r="109">
          <cell r="D109" t="str">
            <v>یاراحمدی</v>
          </cell>
          <cell r="O109">
            <v>7502</v>
          </cell>
          <cell r="AC109" t="str">
            <v>1405/06/07</v>
          </cell>
          <cell r="AF109">
            <v>4</v>
          </cell>
          <cell r="AH109">
            <v>0</v>
          </cell>
        </row>
        <row r="110">
          <cell r="D110" t="str">
            <v>یاراحمدی</v>
          </cell>
          <cell r="O110">
            <v>7502</v>
          </cell>
          <cell r="AC110" t="str">
            <v>1405/06/07</v>
          </cell>
          <cell r="AF110">
            <v>1</v>
          </cell>
          <cell r="AH110">
            <v>0</v>
          </cell>
        </row>
        <row r="111">
          <cell r="D111" t="str">
            <v>یاراحمدی</v>
          </cell>
          <cell r="O111">
            <v>7502</v>
          </cell>
          <cell r="AC111" t="str">
            <v>1405/06/07</v>
          </cell>
          <cell r="AF111">
            <v>1</v>
          </cell>
          <cell r="AH111">
            <v>0</v>
          </cell>
        </row>
        <row r="112">
          <cell r="D112" t="str">
            <v>یاراحمدی</v>
          </cell>
          <cell r="O112">
            <v>7502</v>
          </cell>
          <cell r="AC112" t="str">
            <v>1405/06/07</v>
          </cell>
          <cell r="AF112">
            <v>5</v>
          </cell>
          <cell r="AH112">
            <v>0</v>
          </cell>
        </row>
        <row r="113">
          <cell r="D113" t="str">
            <v>خیرخواه</v>
          </cell>
          <cell r="O113">
            <v>7401</v>
          </cell>
          <cell r="AC113" t="str">
            <v>1405/06/07</v>
          </cell>
          <cell r="AF113">
            <v>1</v>
          </cell>
          <cell r="AH113">
            <v>0</v>
          </cell>
        </row>
        <row r="114">
          <cell r="D114" t="str">
            <v>خیرخواه</v>
          </cell>
          <cell r="O114" t="str">
            <v>مونتاژ</v>
          </cell>
          <cell r="AC114" t="str">
            <v>1405/06/07</v>
          </cell>
          <cell r="AF114">
            <v>3</v>
          </cell>
          <cell r="AH114">
            <v>0</v>
          </cell>
        </row>
        <row r="115">
          <cell r="D115" t="str">
            <v>خیرخواه</v>
          </cell>
          <cell r="O115">
            <v>7401</v>
          </cell>
          <cell r="AC115" t="str">
            <v>1405/06/07</v>
          </cell>
          <cell r="AF115">
            <v>1</v>
          </cell>
          <cell r="AH115">
            <v>0</v>
          </cell>
        </row>
        <row r="116">
          <cell r="D116" t="str">
            <v>فراهی</v>
          </cell>
          <cell r="O116">
            <v>7103</v>
          </cell>
          <cell r="AC116" t="str">
            <v>1405/06/07</v>
          </cell>
          <cell r="AF116">
            <v>6.5</v>
          </cell>
          <cell r="AH116">
            <v>0</v>
          </cell>
        </row>
        <row r="117">
          <cell r="D117" t="str">
            <v>کریم پرست</v>
          </cell>
          <cell r="O117">
            <v>7301</v>
          </cell>
          <cell r="AC117" t="str">
            <v>1405/06/07</v>
          </cell>
          <cell r="AF117">
            <v>1.5</v>
          </cell>
          <cell r="AH117">
            <v>0</v>
          </cell>
        </row>
        <row r="118">
          <cell r="D118" t="str">
            <v>کریم پرست</v>
          </cell>
          <cell r="O118">
            <v>7301</v>
          </cell>
          <cell r="AC118" t="str">
            <v>1405/06/07</v>
          </cell>
          <cell r="AF118">
            <v>9.5</v>
          </cell>
          <cell r="AH118">
            <v>0</v>
          </cell>
        </row>
        <row r="119">
          <cell r="D119" t="str">
            <v>باقری اصل</v>
          </cell>
          <cell r="O119">
            <v>7204</v>
          </cell>
          <cell r="AC119" t="str">
            <v>1405/06/07</v>
          </cell>
          <cell r="AF119">
            <v>4.5</v>
          </cell>
          <cell r="AH119">
            <v>0</v>
          </cell>
        </row>
        <row r="120">
          <cell r="D120" t="str">
            <v>باقری اصل</v>
          </cell>
          <cell r="O120">
            <v>7204</v>
          </cell>
          <cell r="AC120" t="str">
            <v>1405/06/07</v>
          </cell>
          <cell r="AF120">
            <v>6.5</v>
          </cell>
          <cell r="AH120">
            <v>0</v>
          </cell>
        </row>
        <row r="121">
          <cell r="D121" t="str">
            <v>مسعودی</v>
          </cell>
          <cell r="O121">
            <v>7202</v>
          </cell>
          <cell r="AC121" t="str">
            <v>1405/06/07</v>
          </cell>
          <cell r="AF121">
            <v>2.5</v>
          </cell>
          <cell r="AH121">
            <v>0</v>
          </cell>
        </row>
        <row r="122">
          <cell r="D122" t="str">
            <v>مسعودی</v>
          </cell>
          <cell r="O122">
            <v>7202</v>
          </cell>
          <cell r="AC122" t="str">
            <v>1405/06/07</v>
          </cell>
          <cell r="AF122">
            <v>8.5</v>
          </cell>
          <cell r="AH122">
            <v>0</v>
          </cell>
        </row>
        <row r="123">
          <cell r="D123" t="str">
            <v>قیطاسوند</v>
          </cell>
          <cell r="O123">
            <v>7102</v>
          </cell>
          <cell r="AC123" t="str">
            <v>1405/06/07</v>
          </cell>
          <cell r="AF123">
            <v>11</v>
          </cell>
          <cell r="AH123">
            <v>0</v>
          </cell>
        </row>
        <row r="124">
          <cell r="D124" t="str">
            <v>قیطاسوند</v>
          </cell>
          <cell r="O124">
            <v>7102</v>
          </cell>
          <cell r="AC124" t="str">
            <v>1405/06/09</v>
          </cell>
          <cell r="AF124">
            <v>11</v>
          </cell>
          <cell r="AH124">
            <v>0</v>
          </cell>
        </row>
        <row r="125">
          <cell r="D125" t="str">
            <v>فراهی</v>
          </cell>
          <cell r="O125">
            <v>7103</v>
          </cell>
          <cell r="AC125" t="str">
            <v>1405/06/09</v>
          </cell>
          <cell r="AF125">
            <v>6.5</v>
          </cell>
          <cell r="AH125">
            <v>0</v>
          </cell>
        </row>
        <row r="126">
          <cell r="D126" t="str">
            <v>حیدری</v>
          </cell>
          <cell r="O126">
            <v>7101</v>
          </cell>
          <cell r="AC126" t="str">
            <v>1405/06/09</v>
          </cell>
          <cell r="AF126">
            <v>5.5</v>
          </cell>
          <cell r="AH126">
            <v>0</v>
          </cell>
        </row>
        <row r="127">
          <cell r="D127" t="str">
            <v>حیدری</v>
          </cell>
          <cell r="O127">
            <v>7101</v>
          </cell>
          <cell r="AC127" t="str">
            <v>1405/06/09</v>
          </cell>
          <cell r="AF127">
            <v>5.5</v>
          </cell>
          <cell r="AH127">
            <v>0</v>
          </cell>
        </row>
        <row r="128">
          <cell r="D128" t="str">
            <v>صلواتی</v>
          </cell>
          <cell r="O128">
            <v>7701</v>
          </cell>
          <cell r="AC128" t="str">
            <v>1405/06/09</v>
          </cell>
          <cell r="AF128">
            <v>3</v>
          </cell>
          <cell r="AH128">
            <v>0</v>
          </cell>
        </row>
        <row r="129">
          <cell r="D129" t="str">
            <v>صلواتی</v>
          </cell>
          <cell r="O129">
            <v>7604</v>
          </cell>
          <cell r="AC129" t="str">
            <v>1405/06/09</v>
          </cell>
          <cell r="AF129">
            <v>12</v>
          </cell>
          <cell r="AH129">
            <v>0</v>
          </cell>
        </row>
        <row r="130">
          <cell r="D130" t="str">
            <v>صلواتی</v>
          </cell>
          <cell r="O130">
            <v>7602</v>
          </cell>
          <cell r="AC130" t="str">
            <v>1405/06/09</v>
          </cell>
          <cell r="AF130">
            <v>11</v>
          </cell>
          <cell r="AH130">
            <v>0</v>
          </cell>
        </row>
        <row r="131">
          <cell r="D131" t="str">
            <v>صلواتی</v>
          </cell>
          <cell r="O131">
            <v>7605</v>
          </cell>
          <cell r="AC131" t="str">
            <v>1405/06/09</v>
          </cell>
          <cell r="AF131">
            <v>7</v>
          </cell>
          <cell r="AH131">
            <v>0</v>
          </cell>
        </row>
        <row r="132">
          <cell r="D132" t="str">
            <v>صلواتی</v>
          </cell>
          <cell r="O132">
            <v>7701</v>
          </cell>
          <cell r="AC132" t="str">
            <v>1405/06/07</v>
          </cell>
          <cell r="AF132">
            <v>9</v>
          </cell>
          <cell r="AH132">
            <v>3</v>
          </cell>
        </row>
        <row r="133">
          <cell r="D133" t="str">
            <v>صلواتی</v>
          </cell>
          <cell r="O133">
            <v>7601</v>
          </cell>
          <cell r="AC133" t="str">
            <v>1405/06/07</v>
          </cell>
          <cell r="AF133">
            <v>6</v>
          </cell>
          <cell r="AH133">
            <v>3</v>
          </cell>
        </row>
        <row r="134">
          <cell r="D134" t="str">
            <v>صلواتی</v>
          </cell>
          <cell r="O134">
            <v>7604</v>
          </cell>
          <cell r="AC134" t="str">
            <v>1405/06/07</v>
          </cell>
          <cell r="AF134">
            <v>9</v>
          </cell>
          <cell r="AH134">
            <v>3</v>
          </cell>
        </row>
        <row r="135">
          <cell r="D135" t="str">
            <v>هاشم زاده</v>
          </cell>
          <cell r="O135" t="str">
            <v>دمونتاژ</v>
          </cell>
          <cell r="AC135" t="str">
            <v>1405/06/07</v>
          </cell>
          <cell r="AF135">
            <v>2</v>
          </cell>
          <cell r="AH135">
            <v>0</v>
          </cell>
        </row>
        <row r="136">
          <cell r="D136" t="str">
            <v>هاشم زاده</v>
          </cell>
          <cell r="O136" t="str">
            <v>مونتاژ</v>
          </cell>
          <cell r="AC136" t="str">
            <v>1405/06/07</v>
          </cell>
          <cell r="AF136">
            <v>3</v>
          </cell>
          <cell r="AH136">
            <v>0</v>
          </cell>
        </row>
        <row r="137">
          <cell r="D137" t="str">
            <v>مسعودی</v>
          </cell>
          <cell r="O137">
            <v>7202</v>
          </cell>
          <cell r="AC137" t="str">
            <v>1405/06/09</v>
          </cell>
          <cell r="AF137">
            <v>11</v>
          </cell>
          <cell r="AH137">
            <v>0</v>
          </cell>
        </row>
        <row r="138">
          <cell r="D138" t="str">
            <v>مطهری</v>
          </cell>
          <cell r="O138">
            <v>7203</v>
          </cell>
          <cell r="AC138" t="str">
            <v>1405/06/09</v>
          </cell>
          <cell r="AF138">
            <v>11</v>
          </cell>
          <cell r="AH138">
            <v>0</v>
          </cell>
        </row>
        <row r="139">
          <cell r="D139" t="str">
            <v>باقری اصل</v>
          </cell>
          <cell r="O139">
            <v>7204</v>
          </cell>
          <cell r="AC139" t="str">
            <v>1405/06/09</v>
          </cell>
          <cell r="AF139">
            <v>5.5</v>
          </cell>
          <cell r="AH139">
            <v>0</v>
          </cell>
        </row>
        <row r="140">
          <cell r="D140" t="str">
            <v>باقری اصل</v>
          </cell>
          <cell r="O140">
            <v>7204</v>
          </cell>
          <cell r="AC140" t="str">
            <v>1405/06/09</v>
          </cell>
          <cell r="AF140">
            <v>5.5</v>
          </cell>
          <cell r="AH140">
            <v>0</v>
          </cell>
        </row>
        <row r="141">
          <cell r="D141" t="str">
            <v>کریم پرست</v>
          </cell>
          <cell r="O141">
            <v>7301</v>
          </cell>
          <cell r="AC141" t="str">
            <v>1405/06/09</v>
          </cell>
          <cell r="AF141">
            <v>6</v>
          </cell>
          <cell r="AH141">
            <v>0</v>
          </cell>
        </row>
        <row r="142">
          <cell r="D142" t="str">
            <v>کریم پرست</v>
          </cell>
          <cell r="O142">
            <v>7301</v>
          </cell>
          <cell r="AC142" t="str">
            <v>1405/06/09</v>
          </cell>
          <cell r="AF142">
            <v>4</v>
          </cell>
          <cell r="AH142">
            <v>0</v>
          </cell>
        </row>
        <row r="143">
          <cell r="D143" t="str">
            <v>کریم پرست</v>
          </cell>
          <cell r="O143">
            <v>7301</v>
          </cell>
          <cell r="AC143" t="str">
            <v>1405/06/09</v>
          </cell>
          <cell r="AF143">
            <v>1</v>
          </cell>
          <cell r="AH143">
            <v>0</v>
          </cell>
        </row>
        <row r="144">
          <cell r="D144" t="str">
            <v>مسعودی</v>
          </cell>
          <cell r="O144">
            <v>7202</v>
          </cell>
          <cell r="AC144" t="str">
            <v>1405/06/10</v>
          </cell>
          <cell r="AF144">
            <v>6.5</v>
          </cell>
          <cell r="AH144">
            <v>0</v>
          </cell>
        </row>
        <row r="145">
          <cell r="D145" t="str">
            <v>مسعودی</v>
          </cell>
          <cell r="O145">
            <v>7202</v>
          </cell>
          <cell r="AC145" t="str">
            <v>1405/06/10</v>
          </cell>
          <cell r="AF145">
            <v>4.5</v>
          </cell>
          <cell r="AH145">
            <v>0</v>
          </cell>
        </row>
        <row r="146">
          <cell r="D146" t="str">
            <v>حیدری</v>
          </cell>
          <cell r="O146" t="str">
            <v>مونتاژ</v>
          </cell>
          <cell r="AC146" t="str">
            <v>1405/06/10</v>
          </cell>
          <cell r="AF146">
            <v>3</v>
          </cell>
          <cell r="AH146">
            <v>0</v>
          </cell>
        </row>
        <row r="147">
          <cell r="D147" t="str">
            <v>حیدری</v>
          </cell>
          <cell r="O147">
            <v>7101</v>
          </cell>
          <cell r="AC147" t="str">
            <v>1405/06/10</v>
          </cell>
          <cell r="AF147">
            <v>3</v>
          </cell>
          <cell r="AH147">
            <v>0</v>
          </cell>
        </row>
        <row r="148">
          <cell r="D148" t="str">
            <v>حیدری</v>
          </cell>
          <cell r="O148" t="str">
            <v>مونتاژ</v>
          </cell>
          <cell r="AC148" t="str">
            <v>1405/06/10</v>
          </cell>
          <cell r="AF148">
            <v>2</v>
          </cell>
          <cell r="AH148">
            <v>0</v>
          </cell>
        </row>
        <row r="149">
          <cell r="D149" t="str">
            <v>حیدری</v>
          </cell>
          <cell r="O149">
            <v>7101</v>
          </cell>
          <cell r="AC149" t="str">
            <v>1405/06/10</v>
          </cell>
          <cell r="AF149">
            <v>1</v>
          </cell>
          <cell r="AH149">
            <v>0</v>
          </cell>
        </row>
        <row r="150">
          <cell r="D150" t="str">
            <v>هاشم زاده</v>
          </cell>
          <cell r="O150" t="str">
            <v>مونتاژ</v>
          </cell>
          <cell r="AC150" t="str">
            <v>1405/06/10</v>
          </cell>
          <cell r="AF150">
            <v>1</v>
          </cell>
          <cell r="AH150">
            <v>0</v>
          </cell>
        </row>
        <row r="151">
          <cell r="D151" t="str">
            <v>هاشم زاده</v>
          </cell>
          <cell r="O151" t="str">
            <v>مونتاژ</v>
          </cell>
          <cell r="AC151" t="str">
            <v>1405/06/10</v>
          </cell>
          <cell r="AF151">
            <v>2</v>
          </cell>
          <cell r="AH151">
            <v>0</v>
          </cell>
        </row>
        <row r="152">
          <cell r="D152" t="str">
            <v>هاشم زاده</v>
          </cell>
          <cell r="O152" t="str">
            <v>مونتاژ</v>
          </cell>
          <cell r="AC152" t="str">
            <v>1405/06/10</v>
          </cell>
          <cell r="AF152">
            <v>3</v>
          </cell>
          <cell r="AH152">
            <v>0</v>
          </cell>
        </row>
        <row r="153">
          <cell r="D153" t="str">
            <v>هاشم زاده</v>
          </cell>
          <cell r="O153" t="str">
            <v>مونتاژ</v>
          </cell>
          <cell r="AC153" t="str">
            <v>1405/06/10</v>
          </cell>
          <cell r="AF153">
            <v>2</v>
          </cell>
          <cell r="AH153">
            <v>0</v>
          </cell>
        </row>
        <row r="154">
          <cell r="D154" t="str">
            <v>هاشم زاده</v>
          </cell>
          <cell r="O154" t="str">
            <v>مونتاژ</v>
          </cell>
          <cell r="AC154" t="str">
            <v>1405/06/10</v>
          </cell>
          <cell r="AF154">
            <v>3</v>
          </cell>
          <cell r="AH154">
            <v>0</v>
          </cell>
        </row>
        <row r="155">
          <cell r="D155" t="str">
            <v>هاشم زاده</v>
          </cell>
          <cell r="O155" t="str">
            <v>مونتاژ</v>
          </cell>
          <cell r="AC155" t="str">
            <v>1405/06/07</v>
          </cell>
          <cell r="AF155">
            <v>3</v>
          </cell>
          <cell r="AH155">
            <v>0</v>
          </cell>
        </row>
        <row r="156">
          <cell r="D156" t="str">
            <v>هاشم زاده</v>
          </cell>
          <cell r="O156">
            <v>8001</v>
          </cell>
          <cell r="AC156" t="str">
            <v>1405/06/07</v>
          </cell>
          <cell r="AF156">
            <v>2</v>
          </cell>
          <cell r="AH156">
            <v>0</v>
          </cell>
        </row>
        <row r="157">
          <cell r="D157" t="str">
            <v>هاشم زاده</v>
          </cell>
          <cell r="O157" t="str">
            <v>مونتاژ</v>
          </cell>
          <cell r="AC157" t="str">
            <v>1405/06/07</v>
          </cell>
          <cell r="AF157">
            <v>3</v>
          </cell>
          <cell r="AH157">
            <v>0</v>
          </cell>
        </row>
        <row r="158">
          <cell r="D158" t="str">
            <v>هاشم زاده</v>
          </cell>
          <cell r="O158">
            <v>8001</v>
          </cell>
          <cell r="AC158" t="str">
            <v>1405/06/07</v>
          </cell>
          <cell r="AF158">
            <v>1</v>
          </cell>
          <cell r="AH158">
            <v>0</v>
          </cell>
        </row>
        <row r="159">
          <cell r="D159" t="str">
            <v>باقری اصل</v>
          </cell>
          <cell r="O159">
            <v>7204</v>
          </cell>
          <cell r="AC159" t="str">
            <v>1405/06/10</v>
          </cell>
          <cell r="AF159">
            <v>2.5</v>
          </cell>
          <cell r="AH159">
            <v>0</v>
          </cell>
        </row>
        <row r="160">
          <cell r="D160" t="str">
            <v>باقری اصل</v>
          </cell>
          <cell r="O160">
            <v>7204</v>
          </cell>
          <cell r="AC160" t="str">
            <v>1405/06/10</v>
          </cell>
          <cell r="AF160">
            <v>2</v>
          </cell>
          <cell r="AH160">
            <v>0</v>
          </cell>
        </row>
        <row r="161">
          <cell r="D161" t="str">
            <v>باقری اصل</v>
          </cell>
          <cell r="O161">
            <v>7204</v>
          </cell>
          <cell r="AC161" t="str">
            <v>1405/06/10</v>
          </cell>
          <cell r="AF161">
            <v>6.5</v>
          </cell>
          <cell r="AH161">
            <v>0</v>
          </cell>
        </row>
        <row r="162">
          <cell r="D162" t="str">
            <v>آذرمنش</v>
          </cell>
          <cell r="O162">
            <v>7203</v>
          </cell>
          <cell r="AC162" t="str">
            <v>1405/06/10</v>
          </cell>
          <cell r="AF162">
            <v>11</v>
          </cell>
          <cell r="AH162">
            <v>0</v>
          </cell>
        </row>
        <row r="163">
          <cell r="D163" t="str">
            <v>قیطاسوند</v>
          </cell>
          <cell r="O163">
            <v>7102</v>
          </cell>
          <cell r="AC163" t="str">
            <v>1405/06/10</v>
          </cell>
          <cell r="AF163">
            <v>4.5</v>
          </cell>
          <cell r="AH163">
            <v>0</v>
          </cell>
        </row>
        <row r="164">
          <cell r="D164" t="str">
            <v>قیطاسوند</v>
          </cell>
          <cell r="O164">
            <v>7102</v>
          </cell>
          <cell r="AC164" t="str">
            <v>1405/06/10</v>
          </cell>
          <cell r="AF164">
            <v>6.5</v>
          </cell>
          <cell r="AH164">
            <v>0</v>
          </cell>
        </row>
        <row r="165">
          <cell r="D165" t="str">
            <v>فراهی</v>
          </cell>
          <cell r="O165">
            <v>7103</v>
          </cell>
          <cell r="AC165" t="str">
            <v>1405/06/10</v>
          </cell>
          <cell r="AF165">
            <v>6.5</v>
          </cell>
          <cell r="AH165">
            <v>0</v>
          </cell>
        </row>
        <row r="166">
          <cell r="D166" t="str">
            <v>کریم پرست</v>
          </cell>
          <cell r="O166">
            <v>7301</v>
          </cell>
          <cell r="AC166" t="str">
            <v>1405/06/10</v>
          </cell>
          <cell r="AF166">
            <v>3.3333333333333335</v>
          </cell>
          <cell r="AH166">
            <v>3.5833333333333335</v>
          </cell>
        </row>
        <row r="167">
          <cell r="D167" t="str">
            <v>کریم پرست</v>
          </cell>
          <cell r="O167">
            <v>7301</v>
          </cell>
          <cell r="AC167" t="str">
            <v>1405/06/10</v>
          </cell>
          <cell r="AF167">
            <v>4.083333333333333</v>
          </cell>
          <cell r="AH167">
            <v>0</v>
          </cell>
        </row>
        <row r="168">
          <cell r="D168" t="str">
            <v>موسوی</v>
          </cell>
          <cell r="O168">
            <v>7302</v>
          </cell>
          <cell r="AC168" t="str">
            <v>1405/06/10</v>
          </cell>
          <cell r="AF168">
            <v>9</v>
          </cell>
          <cell r="AH168">
            <v>11</v>
          </cell>
        </row>
        <row r="169">
          <cell r="D169" t="str">
            <v>موسوی</v>
          </cell>
          <cell r="O169">
            <v>7302</v>
          </cell>
          <cell r="AC169" t="str">
            <v>1405/06/10</v>
          </cell>
          <cell r="AF169">
            <v>2</v>
          </cell>
          <cell r="AH169">
            <v>0</v>
          </cell>
        </row>
        <row r="170">
          <cell r="D170" t="str">
            <v>صلواتی</v>
          </cell>
          <cell r="O170">
            <v>7601</v>
          </cell>
          <cell r="AC170" t="str">
            <v>1405/06/10</v>
          </cell>
          <cell r="AF170">
            <v>8</v>
          </cell>
          <cell r="AH170">
            <v>0</v>
          </cell>
        </row>
        <row r="171">
          <cell r="D171" t="str">
            <v>صلواتی</v>
          </cell>
          <cell r="O171">
            <v>7602</v>
          </cell>
          <cell r="AC171" t="str">
            <v>1405/06/10</v>
          </cell>
          <cell r="AF171">
            <v>8</v>
          </cell>
          <cell r="AH171">
            <v>0</v>
          </cell>
        </row>
        <row r="172">
          <cell r="D172" t="str">
            <v>صلواتی</v>
          </cell>
          <cell r="O172">
            <v>7605</v>
          </cell>
          <cell r="AC172" t="str">
            <v>1405/06/10</v>
          </cell>
          <cell r="AF172">
            <v>8</v>
          </cell>
          <cell r="AH172">
            <v>0</v>
          </cell>
        </row>
        <row r="173">
          <cell r="D173" t="str">
            <v>صلواتی</v>
          </cell>
          <cell r="O173">
            <v>7602</v>
          </cell>
          <cell r="AC173" t="str">
            <v>1405/06/10</v>
          </cell>
          <cell r="AF173">
            <v>12</v>
          </cell>
          <cell r="AH173">
            <v>0</v>
          </cell>
        </row>
        <row r="174">
          <cell r="D174" t="str">
            <v>صلواتی</v>
          </cell>
          <cell r="O174">
            <v>7701</v>
          </cell>
          <cell r="AC174" t="str">
            <v>1405/06/10</v>
          </cell>
          <cell r="AF174">
            <v>4</v>
          </cell>
          <cell r="AH174">
            <v>0</v>
          </cell>
        </row>
        <row r="175">
          <cell r="D175" t="str">
            <v>خیرخواه</v>
          </cell>
          <cell r="O175" t="str">
            <v>مونتاژ</v>
          </cell>
          <cell r="AC175" t="str">
            <v>1405/06/10</v>
          </cell>
          <cell r="AF175">
            <v>3</v>
          </cell>
          <cell r="AH175">
            <v>0</v>
          </cell>
        </row>
        <row r="176">
          <cell r="D176" t="str">
            <v>خیرخواه</v>
          </cell>
          <cell r="O176" t="str">
            <v>مونتاژ</v>
          </cell>
          <cell r="AC176" t="str">
            <v>1405/06/10</v>
          </cell>
          <cell r="AF176">
            <v>4</v>
          </cell>
          <cell r="AH176">
            <v>0</v>
          </cell>
        </row>
        <row r="177">
          <cell r="D177" t="str">
            <v>خیرخواه</v>
          </cell>
          <cell r="O177">
            <v>7401</v>
          </cell>
          <cell r="AC177" t="str">
            <v>1405/06/10</v>
          </cell>
          <cell r="AF177">
            <v>0.5</v>
          </cell>
          <cell r="AH177">
            <v>0</v>
          </cell>
        </row>
        <row r="178">
          <cell r="D178" t="str">
            <v>خیرخواه</v>
          </cell>
          <cell r="O178">
            <v>7401</v>
          </cell>
          <cell r="AC178" t="str">
            <v>1405/06/10</v>
          </cell>
          <cell r="AF178">
            <v>1</v>
          </cell>
          <cell r="AH178">
            <v>0</v>
          </cell>
        </row>
        <row r="179">
          <cell r="D179" t="str">
            <v>خیرخواه</v>
          </cell>
          <cell r="O179">
            <v>7401</v>
          </cell>
          <cell r="AC179" t="str">
            <v>1405/06/10</v>
          </cell>
          <cell r="AF179">
            <v>1</v>
          </cell>
          <cell r="AH179">
            <v>0</v>
          </cell>
        </row>
        <row r="180">
          <cell r="D180" t="str">
            <v>خیرخواه</v>
          </cell>
          <cell r="O180">
            <v>7401</v>
          </cell>
          <cell r="AC180" t="str">
            <v>1405/06/10</v>
          </cell>
          <cell r="AF180">
            <v>4</v>
          </cell>
          <cell r="AH180">
            <v>0</v>
          </cell>
        </row>
        <row r="181">
          <cell r="D181" t="str">
            <v>خیرخواه</v>
          </cell>
          <cell r="O181">
            <v>7401</v>
          </cell>
          <cell r="AC181" t="str">
            <v>1405/06/10</v>
          </cell>
          <cell r="AF181">
            <v>1</v>
          </cell>
          <cell r="AH181">
            <v>0</v>
          </cell>
        </row>
        <row r="182">
          <cell r="D182" t="str">
            <v>خیرخواه</v>
          </cell>
          <cell r="O182">
            <v>7401</v>
          </cell>
          <cell r="AC182" t="str">
            <v>1405/06/10</v>
          </cell>
          <cell r="AF182">
            <v>4</v>
          </cell>
          <cell r="AH182">
            <v>0</v>
          </cell>
        </row>
        <row r="183">
          <cell r="D183" t="str">
            <v>خیرخواه</v>
          </cell>
          <cell r="O183" t="str">
            <v>مونتاژ</v>
          </cell>
          <cell r="AC183" t="str">
            <v>1405/06/10</v>
          </cell>
          <cell r="AF183">
            <v>1</v>
          </cell>
          <cell r="AH183">
            <v>0</v>
          </cell>
        </row>
        <row r="184">
          <cell r="D184" t="str">
            <v>خیرخواه</v>
          </cell>
          <cell r="O184">
            <v>7401</v>
          </cell>
          <cell r="AC184" t="str">
            <v>1405/06/10</v>
          </cell>
          <cell r="AF184">
            <v>1</v>
          </cell>
          <cell r="AH184">
            <v>0</v>
          </cell>
        </row>
        <row r="185">
          <cell r="D185" t="str">
            <v>قیطاسوند</v>
          </cell>
          <cell r="O185">
            <v>7102</v>
          </cell>
          <cell r="AC185" t="str">
            <v>1405/06/11</v>
          </cell>
          <cell r="AF185">
            <v>11</v>
          </cell>
          <cell r="AH185">
            <v>0</v>
          </cell>
        </row>
        <row r="186">
          <cell r="D186" t="str">
            <v>کریم پرست</v>
          </cell>
          <cell r="O186">
            <v>7103</v>
          </cell>
          <cell r="AC186" t="str">
            <v>1405/06/11</v>
          </cell>
          <cell r="AF186">
            <v>6.5</v>
          </cell>
          <cell r="AH186">
            <v>0</v>
          </cell>
        </row>
        <row r="187">
          <cell r="D187" t="str">
            <v>موسوی</v>
          </cell>
          <cell r="O187">
            <v>7302</v>
          </cell>
          <cell r="AC187" t="str">
            <v>1405/06/11</v>
          </cell>
          <cell r="AF187">
            <v>11</v>
          </cell>
          <cell r="AH187">
            <v>0</v>
          </cell>
        </row>
        <row r="188">
          <cell r="D188" t="str">
            <v>آذرمنش</v>
          </cell>
          <cell r="O188">
            <v>7203</v>
          </cell>
          <cell r="AC188" t="str">
            <v>1405/06/11</v>
          </cell>
          <cell r="AF188">
            <v>11</v>
          </cell>
          <cell r="AH188">
            <v>0</v>
          </cell>
        </row>
        <row r="189">
          <cell r="D189" t="str">
            <v>باقری اصل</v>
          </cell>
          <cell r="O189">
            <v>7204</v>
          </cell>
          <cell r="AC189" t="str">
            <v>1405/06/11</v>
          </cell>
          <cell r="AF189">
            <v>2</v>
          </cell>
          <cell r="AH189">
            <v>0</v>
          </cell>
        </row>
        <row r="190">
          <cell r="D190" t="str">
            <v>باقری اصل</v>
          </cell>
          <cell r="O190">
            <v>7204</v>
          </cell>
          <cell r="AC190" t="str">
            <v>1405/06/11</v>
          </cell>
          <cell r="AF190">
            <v>9</v>
          </cell>
          <cell r="AH190">
            <v>0</v>
          </cell>
        </row>
        <row r="191">
          <cell r="D191" t="str">
            <v>مسعودی</v>
          </cell>
          <cell r="O191">
            <v>7202</v>
          </cell>
          <cell r="AC191" t="str">
            <v>1405/06/11</v>
          </cell>
          <cell r="AF191">
            <v>2.5</v>
          </cell>
          <cell r="AH191">
            <v>0</v>
          </cell>
        </row>
        <row r="192">
          <cell r="D192" t="str">
            <v>مسعودی</v>
          </cell>
          <cell r="O192">
            <v>7202</v>
          </cell>
          <cell r="AC192" t="str">
            <v>1405/06/11</v>
          </cell>
          <cell r="AF192">
            <v>4</v>
          </cell>
          <cell r="AH192">
            <v>0</v>
          </cell>
        </row>
        <row r="193">
          <cell r="D193" t="str">
            <v>مسعودی</v>
          </cell>
          <cell r="O193">
            <v>7202</v>
          </cell>
          <cell r="AC193" t="str">
            <v>1405/06/11</v>
          </cell>
          <cell r="AF193">
            <v>4.5</v>
          </cell>
          <cell r="AH193">
            <v>0</v>
          </cell>
        </row>
        <row r="194">
          <cell r="D194" t="str">
            <v>کریم پرست</v>
          </cell>
          <cell r="O194">
            <v>7301</v>
          </cell>
          <cell r="AC194" t="str">
            <v>1405/06/11</v>
          </cell>
          <cell r="AF194">
            <v>4</v>
          </cell>
          <cell r="AH194">
            <v>0</v>
          </cell>
        </row>
        <row r="195">
          <cell r="D195" t="str">
            <v>کریم پرست</v>
          </cell>
          <cell r="O195">
            <v>7301</v>
          </cell>
          <cell r="AC195" t="str">
            <v>1405/06/11</v>
          </cell>
          <cell r="AF195">
            <v>4</v>
          </cell>
          <cell r="AH195">
            <v>0</v>
          </cell>
        </row>
        <row r="196">
          <cell r="D196" t="str">
            <v>کریم پرست</v>
          </cell>
          <cell r="O196">
            <v>7301</v>
          </cell>
          <cell r="AC196" t="str">
            <v>1405/06/11</v>
          </cell>
          <cell r="AF196">
            <v>2</v>
          </cell>
          <cell r="AH196">
            <v>0</v>
          </cell>
        </row>
        <row r="197">
          <cell r="D197" t="str">
            <v>صلواتی</v>
          </cell>
          <cell r="O197">
            <v>7701</v>
          </cell>
          <cell r="AC197" t="str">
            <v>1405/06/11</v>
          </cell>
          <cell r="AF197">
            <v>12</v>
          </cell>
          <cell r="AH197">
            <v>0</v>
          </cell>
        </row>
        <row r="198">
          <cell r="D198" t="str">
            <v>صلواتی</v>
          </cell>
          <cell r="O198">
            <v>7602</v>
          </cell>
          <cell r="AC198" t="str">
            <v>1405/06/11</v>
          </cell>
          <cell r="AF198">
            <v>4</v>
          </cell>
          <cell r="AH198">
            <v>0</v>
          </cell>
        </row>
        <row r="199">
          <cell r="D199" t="str">
            <v>صلواتی</v>
          </cell>
          <cell r="O199">
            <v>7604</v>
          </cell>
          <cell r="AC199" t="str">
            <v>1405/06/11</v>
          </cell>
          <cell r="AF199">
            <v>12</v>
          </cell>
          <cell r="AH199">
            <v>0</v>
          </cell>
        </row>
        <row r="200">
          <cell r="D200" t="str">
            <v>حیدری</v>
          </cell>
          <cell r="O200" t="str">
            <v>مونتاژ</v>
          </cell>
          <cell r="AC200" t="str">
            <v>1405/06/11</v>
          </cell>
          <cell r="AF200">
            <v>3</v>
          </cell>
          <cell r="AH200">
            <v>0</v>
          </cell>
        </row>
        <row r="201">
          <cell r="D201" t="str">
            <v>حیدری</v>
          </cell>
          <cell r="O201" t="str">
            <v>مونتاژ</v>
          </cell>
          <cell r="AC201" t="str">
            <v>1405/06/11</v>
          </cell>
          <cell r="AF201">
            <v>2</v>
          </cell>
          <cell r="AH201">
            <v>0</v>
          </cell>
        </row>
        <row r="202">
          <cell r="D202" t="str">
            <v>حیدری</v>
          </cell>
          <cell r="O202" t="str">
            <v>دمونتاژ</v>
          </cell>
          <cell r="AC202" t="str">
            <v>1405/06/11</v>
          </cell>
          <cell r="AF202">
            <v>2</v>
          </cell>
          <cell r="AH202">
            <v>0</v>
          </cell>
        </row>
        <row r="203">
          <cell r="D203" t="str">
            <v>هاشم زاده</v>
          </cell>
          <cell r="O203" t="str">
            <v>مونتاژ</v>
          </cell>
          <cell r="AC203" t="str">
            <v>1405/06/11</v>
          </cell>
          <cell r="AF203">
            <v>4</v>
          </cell>
          <cell r="AH203">
            <v>0</v>
          </cell>
        </row>
        <row r="204">
          <cell r="D204" t="str">
            <v>هاشم زاده</v>
          </cell>
          <cell r="O204" t="str">
            <v>مونتاژ</v>
          </cell>
          <cell r="AC204" t="str">
            <v>1405/06/11</v>
          </cell>
          <cell r="AF204">
            <v>3</v>
          </cell>
          <cell r="AH204">
            <v>0</v>
          </cell>
        </row>
        <row r="205">
          <cell r="D205" t="str">
            <v>هاشم زاده</v>
          </cell>
          <cell r="O205" t="str">
            <v>دمونتاژ</v>
          </cell>
          <cell r="AC205" t="str">
            <v>1405/06/11</v>
          </cell>
          <cell r="AF205">
            <v>3</v>
          </cell>
          <cell r="AH205">
            <v>0</v>
          </cell>
        </row>
        <row r="206">
          <cell r="D206" t="str">
            <v>فراهی</v>
          </cell>
          <cell r="O206">
            <v>7103</v>
          </cell>
          <cell r="AC206" t="str">
            <v>1405/06/14</v>
          </cell>
          <cell r="AF206">
            <v>6.5</v>
          </cell>
          <cell r="AH206">
            <v>0</v>
          </cell>
        </row>
        <row r="207">
          <cell r="D207" t="str">
            <v>آذرمنش</v>
          </cell>
          <cell r="O207">
            <v>7203</v>
          </cell>
          <cell r="AC207" t="str">
            <v>1405/06/14</v>
          </cell>
          <cell r="AF207">
            <v>11</v>
          </cell>
          <cell r="AH207">
            <v>0</v>
          </cell>
        </row>
        <row r="208">
          <cell r="D208" t="str">
            <v>حیدری</v>
          </cell>
          <cell r="O208">
            <v>7101</v>
          </cell>
          <cell r="AC208" t="str">
            <v>1405/06/14</v>
          </cell>
          <cell r="AF208">
            <v>5.5</v>
          </cell>
          <cell r="AH208">
            <v>0</v>
          </cell>
        </row>
        <row r="209">
          <cell r="D209" t="str">
            <v>حیدری</v>
          </cell>
          <cell r="O209">
            <v>7101</v>
          </cell>
          <cell r="AC209" t="str">
            <v>1405/06/14</v>
          </cell>
          <cell r="AF209">
            <v>5.5</v>
          </cell>
          <cell r="AH209">
            <v>0</v>
          </cell>
        </row>
        <row r="210">
          <cell r="D210" t="str">
            <v>قیطاسوند</v>
          </cell>
          <cell r="O210">
            <v>7102</v>
          </cell>
          <cell r="AC210" t="str">
            <v>1405/06/14</v>
          </cell>
          <cell r="AF210">
            <v>11</v>
          </cell>
          <cell r="AH210">
            <v>0</v>
          </cell>
        </row>
        <row r="211">
          <cell r="D211" t="str">
            <v>مسعودی</v>
          </cell>
          <cell r="O211">
            <v>7202</v>
          </cell>
          <cell r="AC211" t="str">
            <v>1405/06/14</v>
          </cell>
          <cell r="AF211">
            <v>3</v>
          </cell>
          <cell r="AH211">
            <v>0</v>
          </cell>
        </row>
        <row r="212">
          <cell r="D212" t="str">
            <v>مسعودی</v>
          </cell>
          <cell r="O212">
            <v>7202</v>
          </cell>
          <cell r="AC212" t="str">
            <v>1405/06/14</v>
          </cell>
          <cell r="AF212">
            <v>8</v>
          </cell>
          <cell r="AH212">
            <v>0</v>
          </cell>
        </row>
        <row r="213">
          <cell r="D213" t="str">
            <v>موسوی</v>
          </cell>
          <cell r="O213">
            <v>7302</v>
          </cell>
          <cell r="AC213" t="str">
            <v>1405/06/14</v>
          </cell>
          <cell r="AF213">
            <v>4</v>
          </cell>
          <cell r="AH213">
            <v>0</v>
          </cell>
        </row>
        <row r="214">
          <cell r="D214" t="str">
            <v>موسوی</v>
          </cell>
          <cell r="O214">
            <v>7302</v>
          </cell>
          <cell r="AC214" t="str">
            <v>1405/06/14</v>
          </cell>
          <cell r="AF214">
            <v>2</v>
          </cell>
          <cell r="AH214">
            <v>0</v>
          </cell>
        </row>
        <row r="215">
          <cell r="D215" t="str">
            <v>موسوی</v>
          </cell>
          <cell r="O215">
            <v>7302</v>
          </cell>
          <cell r="AC215" t="str">
            <v>1405/06/14</v>
          </cell>
          <cell r="AF215">
            <v>3</v>
          </cell>
          <cell r="AH215">
            <v>2</v>
          </cell>
        </row>
        <row r="216">
          <cell r="D216" t="str">
            <v>باقری اصل</v>
          </cell>
          <cell r="O216">
            <v>7204</v>
          </cell>
          <cell r="AC216" t="str">
            <v>1405/06/14</v>
          </cell>
          <cell r="AF216">
            <v>2.5</v>
          </cell>
          <cell r="AH216">
            <v>0</v>
          </cell>
        </row>
        <row r="217">
          <cell r="D217" t="str">
            <v>باقری اصل</v>
          </cell>
          <cell r="O217">
            <v>7204</v>
          </cell>
          <cell r="AC217" t="str">
            <v>1405/06/14</v>
          </cell>
          <cell r="AF217">
            <v>2.5</v>
          </cell>
          <cell r="AH217">
            <v>0</v>
          </cell>
        </row>
        <row r="218">
          <cell r="D218" t="str">
            <v>باقری اصل</v>
          </cell>
          <cell r="O218">
            <v>7204</v>
          </cell>
          <cell r="AC218" t="str">
            <v>1405/06/14</v>
          </cell>
          <cell r="AF218">
            <v>3</v>
          </cell>
          <cell r="AH218">
            <v>0</v>
          </cell>
        </row>
        <row r="219">
          <cell r="D219" t="str">
            <v>باقری اصل</v>
          </cell>
          <cell r="O219">
            <v>7204</v>
          </cell>
          <cell r="AC219" t="str">
            <v>1405/06/14</v>
          </cell>
          <cell r="AF219">
            <v>3</v>
          </cell>
          <cell r="AH219">
            <v>0</v>
          </cell>
        </row>
        <row r="220">
          <cell r="D220" t="str">
            <v>صلواتی</v>
          </cell>
          <cell r="O220">
            <v>7602</v>
          </cell>
          <cell r="AC220" t="str">
            <v>1405/06/14</v>
          </cell>
          <cell r="AF220">
            <v>12</v>
          </cell>
          <cell r="AH220">
            <v>0</v>
          </cell>
        </row>
        <row r="221">
          <cell r="D221" t="str">
            <v>صلواتی</v>
          </cell>
          <cell r="O221">
            <v>7604</v>
          </cell>
          <cell r="AC221" t="str">
            <v>1405/06/14</v>
          </cell>
          <cell r="AF221">
            <v>12</v>
          </cell>
          <cell r="AH221">
            <v>0</v>
          </cell>
        </row>
        <row r="222">
          <cell r="D222" t="str">
            <v>صلواتی</v>
          </cell>
          <cell r="O222">
            <v>7701</v>
          </cell>
          <cell r="AC222" t="str">
            <v>1405/06/14</v>
          </cell>
          <cell r="AF222">
            <v>12</v>
          </cell>
          <cell r="AH222">
            <v>0</v>
          </cell>
        </row>
        <row r="223">
          <cell r="D223" t="str">
            <v>هاشم زاده</v>
          </cell>
          <cell r="O223">
            <v>8001</v>
          </cell>
          <cell r="AC223" t="str">
            <v>1405/06/14</v>
          </cell>
          <cell r="AF223">
            <v>2</v>
          </cell>
          <cell r="AH223">
            <v>0</v>
          </cell>
        </row>
        <row r="224">
          <cell r="D224" t="str">
            <v>هاشم زاده</v>
          </cell>
          <cell r="O224" t="str">
            <v>دمونتاژ</v>
          </cell>
          <cell r="AC224" t="str">
            <v>1405/06/14</v>
          </cell>
          <cell r="AF224">
            <v>4</v>
          </cell>
          <cell r="AH224">
            <v>0</v>
          </cell>
        </row>
        <row r="225">
          <cell r="D225" t="str">
            <v>هاشم زاده</v>
          </cell>
          <cell r="O225" t="str">
            <v>مونتاژ</v>
          </cell>
          <cell r="AC225" t="str">
            <v>1405/06/14</v>
          </cell>
          <cell r="AF225">
            <v>3</v>
          </cell>
          <cell r="AH225">
            <v>0</v>
          </cell>
        </row>
        <row r="226">
          <cell r="D226" t="str">
            <v>هاشم زاده</v>
          </cell>
          <cell r="O226" t="str">
            <v>مونتاژ</v>
          </cell>
          <cell r="AC226" t="str">
            <v>1405/06/14</v>
          </cell>
          <cell r="AF226">
            <v>2</v>
          </cell>
          <cell r="AH226">
            <v>0</v>
          </cell>
        </row>
        <row r="227">
          <cell r="D227" t="str">
            <v>کریم پرست</v>
          </cell>
          <cell r="O227">
            <v>7301</v>
          </cell>
          <cell r="AC227" t="str">
            <v>1405/06/14</v>
          </cell>
          <cell r="AF227">
            <v>3</v>
          </cell>
          <cell r="AH227">
            <v>0</v>
          </cell>
        </row>
        <row r="228">
          <cell r="D228" t="str">
            <v>کریم پرست</v>
          </cell>
          <cell r="O228">
            <v>7301</v>
          </cell>
          <cell r="AC228" t="str">
            <v>1405/06/14</v>
          </cell>
          <cell r="AF228">
            <v>3</v>
          </cell>
          <cell r="AH228">
            <v>0</v>
          </cell>
        </row>
        <row r="229">
          <cell r="D229" t="str">
            <v>کریم پرست</v>
          </cell>
          <cell r="O229">
            <v>7301</v>
          </cell>
          <cell r="AC229" t="str">
            <v>1405/06/14</v>
          </cell>
          <cell r="AF229">
            <v>5</v>
          </cell>
          <cell r="AH229">
            <v>0</v>
          </cell>
        </row>
        <row r="230">
          <cell r="D230" t="str">
            <v>یاراحمدی</v>
          </cell>
          <cell r="O230">
            <v>7502</v>
          </cell>
          <cell r="AC230" t="str">
            <v>1405/06/14</v>
          </cell>
          <cell r="AF230">
            <v>4</v>
          </cell>
          <cell r="AH230">
            <v>0</v>
          </cell>
        </row>
        <row r="231">
          <cell r="D231" t="str">
            <v>یاراحمدی</v>
          </cell>
          <cell r="O231">
            <v>7502</v>
          </cell>
          <cell r="AC231" t="str">
            <v>1405/06/14</v>
          </cell>
          <cell r="AF231">
            <v>6</v>
          </cell>
          <cell r="AH231">
            <v>0</v>
          </cell>
        </row>
        <row r="232">
          <cell r="D232" t="str">
            <v>یاراحمدی</v>
          </cell>
          <cell r="O232">
            <v>7502</v>
          </cell>
          <cell r="AC232" t="str">
            <v>1405/06/14</v>
          </cell>
          <cell r="AF232">
            <v>1</v>
          </cell>
          <cell r="AH232">
            <v>0</v>
          </cell>
        </row>
        <row r="233">
          <cell r="D233" t="str">
            <v>باقری اصل</v>
          </cell>
          <cell r="O233">
            <v>7204</v>
          </cell>
          <cell r="AC233" t="str">
            <v>1405/06/15</v>
          </cell>
          <cell r="AF233">
            <v>6.5</v>
          </cell>
          <cell r="AH233">
            <v>4.5</v>
          </cell>
        </row>
        <row r="234">
          <cell r="D234" t="str">
            <v>آذرمنش</v>
          </cell>
          <cell r="O234">
            <v>7203</v>
          </cell>
          <cell r="AC234" t="str">
            <v>1405/06/15</v>
          </cell>
          <cell r="AF234">
            <v>11</v>
          </cell>
          <cell r="AH234">
            <v>0</v>
          </cell>
        </row>
        <row r="235">
          <cell r="D235" t="str">
            <v>قیطاسوند</v>
          </cell>
          <cell r="O235">
            <v>7102</v>
          </cell>
          <cell r="AC235" t="str">
            <v>1405/06/15</v>
          </cell>
          <cell r="AF235">
            <v>11</v>
          </cell>
          <cell r="AH235">
            <v>0</v>
          </cell>
        </row>
        <row r="236">
          <cell r="D236" t="str">
            <v>مسعودی</v>
          </cell>
          <cell r="O236">
            <v>7202</v>
          </cell>
          <cell r="AC236" t="str">
            <v>1405/06/15</v>
          </cell>
          <cell r="AF236">
            <v>6.5</v>
          </cell>
          <cell r="AH236">
            <v>0</v>
          </cell>
        </row>
        <row r="237">
          <cell r="D237" t="str">
            <v>مسعودی</v>
          </cell>
          <cell r="O237">
            <v>7202</v>
          </cell>
          <cell r="AC237" t="str">
            <v>1405/06/15</v>
          </cell>
          <cell r="AF237">
            <v>4.5</v>
          </cell>
          <cell r="AH237">
            <v>0</v>
          </cell>
        </row>
        <row r="238">
          <cell r="D238" t="str">
            <v>فراهی</v>
          </cell>
          <cell r="O238">
            <v>7103</v>
          </cell>
          <cell r="AC238" t="str">
            <v>1405/06/15</v>
          </cell>
          <cell r="AF238">
            <v>5</v>
          </cell>
          <cell r="AH238">
            <v>0</v>
          </cell>
        </row>
        <row r="239">
          <cell r="D239" t="str">
            <v>فراهی</v>
          </cell>
          <cell r="O239">
            <v>7103</v>
          </cell>
          <cell r="AC239" t="str">
            <v>1405/06/15</v>
          </cell>
          <cell r="AF239">
            <v>1.5</v>
          </cell>
          <cell r="AH239">
            <v>0</v>
          </cell>
        </row>
        <row r="240">
          <cell r="D240" t="str">
            <v>حیدری</v>
          </cell>
          <cell r="O240">
            <v>7101</v>
          </cell>
          <cell r="AC240" t="str">
            <v>1405/06/15</v>
          </cell>
          <cell r="AF240">
            <v>5.5</v>
          </cell>
          <cell r="AH240">
            <v>0</v>
          </cell>
        </row>
        <row r="241">
          <cell r="D241" t="str">
            <v>حیدری</v>
          </cell>
          <cell r="O241">
            <v>7101</v>
          </cell>
          <cell r="AC241" t="str">
            <v>1405/06/15</v>
          </cell>
          <cell r="AF241">
            <v>5.5</v>
          </cell>
          <cell r="AH241">
            <v>0</v>
          </cell>
        </row>
        <row r="242">
          <cell r="D242" t="str">
            <v>کریم پرست</v>
          </cell>
          <cell r="O242">
            <v>7301</v>
          </cell>
          <cell r="AC242" t="str">
            <v>1405/06/15</v>
          </cell>
          <cell r="AF242">
            <v>8</v>
          </cell>
          <cell r="AH242">
            <v>3</v>
          </cell>
        </row>
        <row r="243">
          <cell r="D243" t="str">
            <v>صلواتی</v>
          </cell>
          <cell r="O243">
            <v>7601</v>
          </cell>
          <cell r="AC243" t="str">
            <v>1405/06/15</v>
          </cell>
          <cell r="AF243">
            <v>9</v>
          </cell>
          <cell r="AH243">
            <v>0</v>
          </cell>
        </row>
        <row r="244">
          <cell r="D244" t="str">
            <v>صلواتی</v>
          </cell>
          <cell r="O244">
            <v>7602</v>
          </cell>
          <cell r="AC244" t="str">
            <v>1405/06/15</v>
          </cell>
          <cell r="AF244">
            <v>3</v>
          </cell>
          <cell r="AH244">
            <v>0</v>
          </cell>
        </row>
        <row r="245">
          <cell r="D245" t="str">
            <v>صلواتی</v>
          </cell>
          <cell r="O245">
            <v>7604</v>
          </cell>
          <cell r="AC245" t="str">
            <v>1405/06/15</v>
          </cell>
          <cell r="AF245">
            <v>9</v>
          </cell>
          <cell r="AH245">
            <v>0</v>
          </cell>
        </row>
        <row r="246">
          <cell r="D246" t="str">
            <v>یاراحمدی</v>
          </cell>
          <cell r="O246">
            <v>7502</v>
          </cell>
          <cell r="AC246" t="str">
            <v>1405/06/15</v>
          </cell>
          <cell r="AF246">
            <v>6</v>
          </cell>
          <cell r="AH246">
            <v>0</v>
          </cell>
        </row>
        <row r="247">
          <cell r="D247" t="str">
            <v>یاراحمدی</v>
          </cell>
          <cell r="O247">
            <v>7502</v>
          </cell>
          <cell r="AC247" t="str">
            <v>1405/06/15</v>
          </cell>
          <cell r="AF247">
            <v>2</v>
          </cell>
          <cell r="AH247">
            <v>0</v>
          </cell>
        </row>
        <row r="248">
          <cell r="D248" t="str">
            <v>یاراحمدی</v>
          </cell>
          <cell r="O248">
            <v>7502</v>
          </cell>
          <cell r="AC248" t="str">
            <v>1405/06/15</v>
          </cell>
          <cell r="AF248">
            <v>3</v>
          </cell>
          <cell r="AH248">
            <v>0</v>
          </cell>
        </row>
        <row r="249">
          <cell r="D249" t="str">
            <v>هاشم زاده</v>
          </cell>
          <cell r="O249" t="str">
            <v>مونتاژ</v>
          </cell>
          <cell r="AC249" t="str">
            <v>1405/06/15</v>
          </cell>
          <cell r="AF249">
            <v>4</v>
          </cell>
          <cell r="AH249">
            <v>0</v>
          </cell>
        </row>
        <row r="250">
          <cell r="D250" t="str">
            <v>هاشم زاده</v>
          </cell>
          <cell r="O250" t="str">
            <v>مونتاژ</v>
          </cell>
          <cell r="AC250" t="str">
            <v>1405/06/15</v>
          </cell>
          <cell r="AF250">
            <v>2</v>
          </cell>
          <cell r="AH250">
            <v>0</v>
          </cell>
        </row>
        <row r="251">
          <cell r="D251" t="str">
            <v>هاشم زاده</v>
          </cell>
          <cell r="O251" t="str">
            <v>مونتاژ</v>
          </cell>
          <cell r="AC251" t="str">
            <v>1405/06/15</v>
          </cell>
          <cell r="AF251">
            <v>2</v>
          </cell>
          <cell r="AH251">
            <v>0</v>
          </cell>
        </row>
        <row r="252">
          <cell r="D252" t="str">
            <v>موسوی</v>
          </cell>
          <cell r="O252">
            <v>7302</v>
          </cell>
          <cell r="AC252" t="str">
            <v>1405/06/15</v>
          </cell>
          <cell r="AF252">
            <v>4</v>
          </cell>
          <cell r="AH252">
            <v>0</v>
          </cell>
        </row>
        <row r="253">
          <cell r="D253" t="str">
            <v>موسوی</v>
          </cell>
          <cell r="O253">
            <v>7303</v>
          </cell>
          <cell r="AC253" t="str">
            <v>1405/06/15</v>
          </cell>
          <cell r="AF253">
            <v>3</v>
          </cell>
          <cell r="AH253">
            <v>0</v>
          </cell>
        </row>
        <row r="254">
          <cell r="D254" t="str">
            <v>موسوی</v>
          </cell>
          <cell r="O254">
            <v>7302</v>
          </cell>
          <cell r="AC254" t="str">
            <v>1405/06/15</v>
          </cell>
          <cell r="AF254">
            <v>2</v>
          </cell>
          <cell r="AH254">
            <v>0</v>
          </cell>
        </row>
        <row r="255">
          <cell r="D255" t="str">
            <v>خیرخواه</v>
          </cell>
          <cell r="O255">
            <v>7401</v>
          </cell>
          <cell r="AC255" t="str">
            <v>1405/06/15</v>
          </cell>
          <cell r="AF255">
            <v>2</v>
          </cell>
          <cell r="AH255">
            <v>0</v>
          </cell>
        </row>
        <row r="256">
          <cell r="D256" t="str">
            <v>خیرخواه</v>
          </cell>
          <cell r="O256">
            <v>7401</v>
          </cell>
          <cell r="AC256" t="str">
            <v>1405/06/15</v>
          </cell>
          <cell r="AF256">
            <v>1</v>
          </cell>
          <cell r="AH256">
            <v>0</v>
          </cell>
        </row>
        <row r="257">
          <cell r="D257" t="str">
            <v>خیرخواه</v>
          </cell>
          <cell r="O257">
            <v>7401</v>
          </cell>
          <cell r="AC257" t="str">
            <v>1405/06/15</v>
          </cell>
          <cell r="AF257">
            <v>2</v>
          </cell>
          <cell r="AH257">
            <v>0</v>
          </cell>
        </row>
        <row r="258">
          <cell r="D258" t="str">
            <v>خیرخواه</v>
          </cell>
          <cell r="O258">
            <v>7401</v>
          </cell>
          <cell r="AC258" t="str">
            <v>1405/06/15</v>
          </cell>
          <cell r="AF258">
            <v>2</v>
          </cell>
          <cell r="AH258">
            <v>0</v>
          </cell>
        </row>
        <row r="259">
          <cell r="D259" t="str">
            <v>خیرخواه</v>
          </cell>
          <cell r="O259" t="str">
            <v>مونتاژ</v>
          </cell>
          <cell r="AC259" t="str">
            <v>1405/06/15</v>
          </cell>
          <cell r="AF259">
            <v>2</v>
          </cell>
          <cell r="AH259">
            <v>0</v>
          </cell>
        </row>
        <row r="260">
          <cell r="D260" t="str">
            <v>خیرخواه</v>
          </cell>
          <cell r="O260">
            <v>7401</v>
          </cell>
          <cell r="AC260" t="str">
            <v>1405/06/15</v>
          </cell>
          <cell r="AF260">
            <v>1</v>
          </cell>
          <cell r="AH260">
            <v>11</v>
          </cell>
        </row>
        <row r="261">
          <cell r="D261" t="str">
            <v>خیرخواه</v>
          </cell>
          <cell r="O261" t="str">
            <v>مونتاژ</v>
          </cell>
          <cell r="AC261" t="str">
            <v>1405/06/11</v>
          </cell>
          <cell r="AF261">
            <v>5</v>
          </cell>
          <cell r="AH261">
            <v>0</v>
          </cell>
        </row>
        <row r="262">
          <cell r="D262" t="str">
            <v>خیرخواه</v>
          </cell>
          <cell r="O262">
            <v>7401</v>
          </cell>
          <cell r="AC262" t="str">
            <v>1405/06/11</v>
          </cell>
          <cell r="AF262">
            <v>4</v>
          </cell>
          <cell r="AH262">
            <v>0</v>
          </cell>
        </row>
        <row r="263">
          <cell r="D263" t="str">
            <v>خیرخواه</v>
          </cell>
          <cell r="O263" t="str">
            <v>دمونتاژ</v>
          </cell>
          <cell r="AC263" t="str">
            <v>1405/06/11</v>
          </cell>
          <cell r="AF263">
            <v>1</v>
          </cell>
          <cell r="AH263">
            <v>0</v>
          </cell>
        </row>
        <row r="264">
          <cell r="D264" t="str">
            <v>مسعودی</v>
          </cell>
          <cell r="O264">
            <v>7202</v>
          </cell>
          <cell r="AC264" t="str">
            <v>1405/06/16</v>
          </cell>
          <cell r="AF264">
            <v>11</v>
          </cell>
          <cell r="AH264">
            <v>0</v>
          </cell>
        </row>
        <row r="265">
          <cell r="D265" t="str">
            <v>آذرمنش</v>
          </cell>
          <cell r="O265">
            <v>7203</v>
          </cell>
          <cell r="AC265" t="str">
            <v>1405/06/16</v>
          </cell>
          <cell r="AF265">
            <v>11</v>
          </cell>
          <cell r="AH265">
            <v>0</v>
          </cell>
        </row>
        <row r="266">
          <cell r="D266" t="str">
            <v>فراهی</v>
          </cell>
          <cell r="O266">
            <v>7103</v>
          </cell>
          <cell r="AC266" t="str">
            <v>1405/06/16</v>
          </cell>
          <cell r="AF266">
            <v>6.5</v>
          </cell>
          <cell r="AH266">
            <v>0</v>
          </cell>
        </row>
        <row r="267">
          <cell r="D267" t="str">
            <v>قیطاسوند</v>
          </cell>
          <cell r="O267">
            <v>7102</v>
          </cell>
          <cell r="AC267" t="str">
            <v>1405/06/16</v>
          </cell>
          <cell r="AF267">
            <v>3.5</v>
          </cell>
          <cell r="AH267">
            <v>0</v>
          </cell>
        </row>
        <row r="268">
          <cell r="D268" t="str">
            <v>قیطاسوند</v>
          </cell>
          <cell r="O268">
            <v>7102</v>
          </cell>
          <cell r="AC268" t="str">
            <v>1405/06/16</v>
          </cell>
          <cell r="AF268">
            <v>7.5</v>
          </cell>
          <cell r="AH268">
            <v>0</v>
          </cell>
        </row>
        <row r="269">
          <cell r="D269" t="str">
            <v>حیدری</v>
          </cell>
          <cell r="O269">
            <v>7101</v>
          </cell>
          <cell r="AC269" t="str">
            <v>1405/06/16</v>
          </cell>
          <cell r="AF269">
            <v>5.5</v>
          </cell>
          <cell r="AH269">
            <v>0</v>
          </cell>
        </row>
        <row r="270">
          <cell r="D270" t="str">
            <v>حیدری</v>
          </cell>
          <cell r="O270">
            <v>7101</v>
          </cell>
          <cell r="AC270" t="str">
            <v>1405/06/16</v>
          </cell>
          <cell r="AF270">
            <v>4.5</v>
          </cell>
          <cell r="AH270">
            <v>0</v>
          </cell>
        </row>
        <row r="271">
          <cell r="D271" t="str">
            <v>حیدری</v>
          </cell>
          <cell r="O271">
            <v>7101</v>
          </cell>
          <cell r="AC271" t="str">
            <v>1405/06/16</v>
          </cell>
          <cell r="AF271">
            <v>1</v>
          </cell>
          <cell r="AH271">
            <v>0</v>
          </cell>
        </row>
        <row r="272">
          <cell r="D272" t="str">
            <v>کریم پرست</v>
          </cell>
          <cell r="O272">
            <v>7301</v>
          </cell>
          <cell r="AC272" t="str">
            <v>1405/06/16</v>
          </cell>
          <cell r="AF272">
            <v>3.3333333333333335</v>
          </cell>
          <cell r="AH272">
            <v>0</v>
          </cell>
        </row>
        <row r="273">
          <cell r="D273" t="str">
            <v>کریم پرست</v>
          </cell>
          <cell r="O273">
            <v>7301</v>
          </cell>
          <cell r="AC273" t="str">
            <v>1405/06/16</v>
          </cell>
          <cell r="AF273">
            <v>3.3333333333333335</v>
          </cell>
          <cell r="AH273">
            <v>0</v>
          </cell>
        </row>
        <row r="274">
          <cell r="D274" t="str">
            <v>کریم پرست</v>
          </cell>
          <cell r="O274">
            <v>7301</v>
          </cell>
          <cell r="AC274" t="str">
            <v>1405/06/16</v>
          </cell>
          <cell r="AF274">
            <v>1</v>
          </cell>
          <cell r="AH274">
            <v>0</v>
          </cell>
        </row>
        <row r="275">
          <cell r="D275" t="str">
            <v>کریم پرست</v>
          </cell>
          <cell r="O275">
            <v>7301</v>
          </cell>
          <cell r="AC275" t="str">
            <v>1405/06/16</v>
          </cell>
          <cell r="AF275">
            <v>3.3333333333333335</v>
          </cell>
          <cell r="AH275">
            <v>0</v>
          </cell>
        </row>
        <row r="276">
          <cell r="D276" t="str">
            <v>صلواتی</v>
          </cell>
          <cell r="O276">
            <v>7601</v>
          </cell>
          <cell r="AC276" t="str">
            <v>1405/06/16</v>
          </cell>
          <cell r="AF276">
            <v>12</v>
          </cell>
          <cell r="AH276">
            <v>0</v>
          </cell>
        </row>
        <row r="277">
          <cell r="D277" t="str">
            <v>صلواتی</v>
          </cell>
          <cell r="O277">
            <v>7602</v>
          </cell>
          <cell r="AC277" t="str">
            <v>1405/06/16</v>
          </cell>
          <cell r="AF277">
            <v>7</v>
          </cell>
          <cell r="AH277">
            <v>0</v>
          </cell>
        </row>
        <row r="278">
          <cell r="D278" t="str">
            <v>صلواتی</v>
          </cell>
          <cell r="O278">
            <v>7605</v>
          </cell>
          <cell r="AC278" t="str">
            <v>1405/06/16</v>
          </cell>
          <cell r="AF278">
            <v>4</v>
          </cell>
          <cell r="AH278">
            <v>0</v>
          </cell>
        </row>
        <row r="279">
          <cell r="D279" t="str">
            <v>موسوی</v>
          </cell>
          <cell r="O279">
            <v>7303</v>
          </cell>
          <cell r="AC279" t="str">
            <v>1405/06/16</v>
          </cell>
          <cell r="AF279">
            <v>3</v>
          </cell>
          <cell r="AH279">
            <v>0</v>
          </cell>
        </row>
        <row r="280">
          <cell r="D280" t="str">
            <v>موسوی</v>
          </cell>
          <cell r="O280">
            <v>7302</v>
          </cell>
          <cell r="AC280" t="str">
            <v>1405/06/16</v>
          </cell>
          <cell r="AF280">
            <v>2</v>
          </cell>
          <cell r="AH280">
            <v>0</v>
          </cell>
        </row>
        <row r="281">
          <cell r="D281" t="str">
            <v>موسوی</v>
          </cell>
          <cell r="O281" t="str">
            <v>مونتاژ</v>
          </cell>
          <cell r="AC281" t="str">
            <v>1405/06/16</v>
          </cell>
          <cell r="AF281">
            <v>1</v>
          </cell>
          <cell r="AH281">
            <v>0</v>
          </cell>
        </row>
        <row r="282">
          <cell r="D282" t="str">
            <v>هاشم زاده</v>
          </cell>
          <cell r="O282" t="str">
            <v>مونتاژ</v>
          </cell>
          <cell r="AC282" t="str">
            <v>1405/06/16</v>
          </cell>
          <cell r="AF282">
            <v>3</v>
          </cell>
          <cell r="AH282">
            <v>0</v>
          </cell>
        </row>
        <row r="283">
          <cell r="D283" t="str">
            <v>هاشم زاده</v>
          </cell>
          <cell r="O283" t="str">
            <v>مونتاژ</v>
          </cell>
          <cell r="AC283" t="str">
            <v>1405/06/16</v>
          </cell>
          <cell r="AF283">
            <v>2</v>
          </cell>
          <cell r="AH283">
            <v>0</v>
          </cell>
        </row>
        <row r="284">
          <cell r="D284" t="str">
            <v>هاشم زاده</v>
          </cell>
          <cell r="O284" t="str">
            <v>مونتاژ</v>
          </cell>
          <cell r="AC284" t="str">
            <v>1405/06/16</v>
          </cell>
          <cell r="AF284">
            <v>2</v>
          </cell>
          <cell r="AH284">
            <v>0</v>
          </cell>
        </row>
        <row r="285">
          <cell r="D285" t="str">
            <v>موسوی</v>
          </cell>
          <cell r="O285">
            <v>7302</v>
          </cell>
          <cell r="AC285" t="str">
            <v>1405/06/16</v>
          </cell>
          <cell r="AF285">
            <v>5</v>
          </cell>
          <cell r="AH285">
            <v>0</v>
          </cell>
        </row>
        <row r="286">
          <cell r="D286" t="str">
            <v>هاشم زاده</v>
          </cell>
          <cell r="O286" t="str">
            <v>مونتاژ</v>
          </cell>
          <cell r="AC286" t="str">
            <v>1405/06/16</v>
          </cell>
          <cell r="AF286">
            <v>2</v>
          </cell>
          <cell r="AH286">
            <v>0</v>
          </cell>
        </row>
        <row r="287">
          <cell r="D287" t="str">
            <v>هاشم زاده</v>
          </cell>
          <cell r="O287">
            <v>8001</v>
          </cell>
          <cell r="AC287" t="str">
            <v>1405/06/16</v>
          </cell>
          <cell r="AF287">
            <v>2</v>
          </cell>
          <cell r="AH287">
            <v>0</v>
          </cell>
        </row>
        <row r="288">
          <cell r="D288" t="str">
            <v>خیرخواه</v>
          </cell>
          <cell r="O288" t="str">
            <v>مونتاژ</v>
          </cell>
          <cell r="AC288" t="str">
            <v>1405/06/16</v>
          </cell>
          <cell r="AF288">
            <v>2</v>
          </cell>
          <cell r="AH288">
            <v>0</v>
          </cell>
        </row>
        <row r="289">
          <cell r="D289" t="str">
            <v>خیرخواه</v>
          </cell>
          <cell r="O289">
            <v>7401</v>
          </cell>
          <cell r="AC289" t="str">
            <v>1405/06/16</v>
          </cell>
          <cell r="AF289">
            <v>2</v>
          </cell>
          <cell r="AH289">
            <v>0</v>
          </cell>
        </row>
        <row r="290">
          <cell r="D290" t="str">
            <v>خیرخواه</v>
          </cell>
          <cell r="O290">
            <v>7401</v>
          </cell>
          <cell r="AC290" t="str">
            <v>1405/06/16</v>
          </cell>
          <cell r="AF290">
            <v>1</v>
          </cell>
          <cell r="AH290">
            <v>0</v>
          </cell>
        </row>
        <row r="291">
          <cell r="D291" t="str">
            <v>خیرخواه</v>
          </cell>
          <cell r="O291">
            <v>8001</v>
          </cell>
          <cell r="AC291" t="str">
            <v>1405/06/16</v>
          </cell>
          <cell r="AF291">
            <v>3</v>
          </cell>
          <cell r="AH291">
            <v>0</v>
          </cell>
        </row>
        <row r="292">
          <cell r="D292" t="str">
            <v>خیرخواه</v>
          </cell>
          <cell r="O292">
            <v>7401</v>
          </cell>
          <cell r="AC292" t="str">
            <v>1405/06/16</v>
          </cell>
          <cell r="AF292">
            <v>1</v>
          </cell>
          <cell r="AH292">
            <v>0</v>
          </cell>
        </row>
        <row r="293">
          <cell r="D293" t="str">
            <v>خیرخواه</v>
          </cell>
          <cell r="O293" t="str">
            <v>مونتاژ</v>
          </cell>
          <cell r="AC293" t="str">
            <v>1405/06/16</v>
          </cell>
          <cell r="AF293">
            <v>2</v>
          </cell>
          <cell r="AH293">
            <v>0</v>
          </cell>
        </row>
        <row r="294">
          <cell r="D294" t="str">
            <v>باقری اصل</v>
          </cell>
          <cell r="O294">
            <v>7204</v>
          </cell>
          <cell r="AC294" t="str">
            <v>1405/06/16</v>
          </cell>
          <cell r="AF294">
            <v>5.5</v>
          </cell>
          <cell r="AH294">
            <v>0</v>
          </cell>
        </row>
        <row r="295">
          <cell r="D295" t="str">
            <v>باقری اصل</v>
          </cell>
          <cell r="O295">
            <v>7204</v>
          </cell>
          <cell r="AC295" t="str">
            <v>1405/06/16</v>
          </cell>
          <cell r="AF295">
            <v>5.5</v>
          </cell>
          <cell r="AH295">
            <v>0</v>
          </cell>
        </row>
        <row r="296">
          <cell r="D296" t="str">
            <v>فراهی</v>
          </cell>
          <cell r="O296">
            <v>7103</v>
          </cell>
          <cell r="AC296" t="str">
            <v>1405/06/17</v>
          </cell>
          <cell r="AF296">
            <v>6.5</v>
          </cell>
          <cell r="AH296">
            <v>0</v>
          </cell>
        </row>
        <row r="297">
          <cell r="D297" t="str">
            <v>آذرمنش</v>
          </cell>
          <cell r="O297">
            <v>7203</v>
          </cell>
          <cell r="AC297" t="str">
            <v>1405/06/17</v>
          </cell>
          <cell r="AF297">
            <v>6</v>
          </cell>
          <cell r="AH297">
            <v>0</v>
          </cell>
        </row>
        <row r="298">
          <cell r="D298" t="str">
            <v>آذرمنش</v>
          </cell>
          <cell r="O298" t="str">
            <v>مونتاژ</v>
          </cell>
          <cell r="AC298" t="str">
            <v>1405/06/17</v>
          </cell>
          <cell r="AF298">
            <v>1.5</v>
          </cell>
          <cell r="AH298">
            <v>0</v>
          </cell>
        </row>
        <row r="299">
          <cell r="D299" t="str">
            <v>آذرمنش</v>
          </cell>
          <cell r="O299">
            <v>7203</v>
          </cell>
          <cell r="AC299" t="str">
            <v>1405/06/17</v>
          </cell>
          <cell r="AF299">
            <v>3.5</v>
          </cell>
          <cell r="AH299">
            <v>0</v>
          </cell>
        </row>
        <row r="300">
          <cell r="D300" t="str">
            <v>یاراحمدی</v>
          </cell>
          <cell r="O300">
            <v>7502</v>
          </cell>
          <cell r="AC300" t="str">
            <v>1405/06/16</v>
          </cell>
          <cell r="AF300">
            <v>3</v>
          </cell>
          <cell r="AH300">
            <v>0</v>
          </cell>
        </row>
        <row r="301">
          <cell r="D301" t="str">
            <v>یاراحمدی</v>
          </cell>
          <cell r="O301">
            <v>7502</v>
          </cell>
          <cell r="AC301" t="str">
            <v>1405/06/16</v>
          </cell>
          <cell r="AF301">
            <v>8</v>
          </cell>
          <cell r="AH301">
            <v>11</v>
          </cell>
        </row>
        <row r="302">
          <cell r="D302" t="str">
            <v>قیطاسوند</v>
          </cell>
          <cell r="O302">
            <v>7102</v>
          </cell>
          <cell r="AC302" t="str">
            <v>1405/06/17</v>
          </cell>
          <cell r="AF302">
            <v>3.5</v>
          </cell>
          <cell r="AH302">
            <v>0</v>
          </cell>
        </row>
        <row r="303">
          <cell r="D303" t="str">
            <v>قیطاسوند</v>
          </cell>
          <cell r="O303">
            <v>7102</v>
          </cell>
          <cell r="AC303" t="str">
            <v>1405/06/17</v>
          </cell>
          <cell r="AF303">
            <v>7.5</v>
          </cell>
          <cell r="AH303">
            <v>0</v>
          </cell>
        </row>
        <row r="304">
          <cell r="D304" t="str">
            <v>مسعودی</v>
          </cell>
          <cell r="O304">
            <v>7202</v>
          </cell>
          <cell r="AC304" t="str">
            <v>1405/06/17</v>
          </cell>
          <cell r="AF304">
            <v>6</v>
          </cell>
          <cell r="AH304">
            <v>0</v>
          </cell>
        </row>
        <row r="305">
          <cell r="D305" t="str">
            <v>مسعودی</v>
          </cell>
          <cell r="O305" t="str">
            <v>مونتاژ</v>
          </cell>
          <cell r="AC305" t="str">
            <v>1405/06/17</v>
          </cell>
          <cell r="AF305">
            <v>1.5</v>
          </cell>
          <cell r="AH305">
            <v>0</v>
          </cell>
        </row>
        <row r="306">
          <cell r="D306" t="str">
            <v>مسعودی</v>
          </cell>
          <cell r="O306">
            <v>7202</v>
          </cell>
          <cell r="AC306" t="str">
            <v>1405/06/17</v>
          </cell>
          <cell r="AF306">
            <v>3.5</v>
          </cell>
          <cell r="AH306">
            <v>0</v>
          </cell>
        </row>
        <row r="307">
          <cell r="D307" t="str">
            <v>باقری اصل</v>
          </cell>
          <cell r="O307">
            <v>7204</v>
          </cell>
          <cell r="AC307" t="str">
            <v>1405/06/17</v>
          </cell>
          <cell r="AF307">
            <v>3.5</v>
          </cell>
          <cell r="AH307">
            <v>2.5</v>
          </cell>
        </row>
        <row r="308">
          <cell r="D308" t="str">
            <v>باقری اصل</v>
          </cell>
          <cell r="O308">
            <v>7204</v>
          </cell>
          <cell r="AC308" t="str">
            <v>1405/06/17</v>
          </cell>
          <cell r="AF308">
            <v>2</v>
          </cell>
          <cell r="AH308">
            <v>0</v>
          </cell>
        </row>
        <row r="309">
          <cell r="D309" t="str">
            <v>باقری اصل</v>
          </cell>
          <cell r="O309">
            <v>7204</v>
          </cell>
          <cell r="AC309" t="str">
            <v>1405/06/17</v>
          </cell>
          <cell r="AF309">
            <v>1.5</v>
          </cell>
          <cell r="AH309">
            <v>0</v>
          </cell>
        </row>
        <row r="310">
          <cell r="D310" t="str">
            <v>باقری اصل</v>
          </cell>
          <cell r="O310" t="str">
            <v>مونتاژ</v>
          </cell>
          <cell r="AC310" t="str">
            <v>1405/06/17</v>
          </cell>
          <cell r="AF310">
            <v>1.5</v>
          </cell>
          <cell r="AH310">
            <v>0</v>
          </cell>
        </row>
        <row r="311">
          <cell r="D311" t="str">
            <v>موسوی</v>
          </cell>
          <cell r="O311">
            <v>7302</v>
          </cell>
          <cell r="AC311" t="str">
            <v>1405/06/17</v>
          </cell>
          <cell r="AF311">
            <v>2</v>
          </cell>
          <cell r="AH311">
            <v>0</v>
          </cell>
        </row>
        <row r="312">
          <cell r="D312" t="str">
            <v>موسوی</v>
          </cell>
          <cell r="O312">
            <v>7302</v>
          </cell>
          <cell r="AC312" t="str">
            <v>1405/06/17</v>
          </cell>
          <cell r="AF312">
            <v>3</v>
          </cell>
          <cell r="AH312">
            <v>0</v>
          </cell>
        </row>
        <row r="313">
          <cell r="D313" t="str">
            <v>موسوی</v>
          </cell>
          <cell r="O313">
            <v>7302</v>
          </cell>
          <cell r="AC313" t="str">
            <v>1405/06/17</v>
          </cell>
          <cell r="AF313">
            <v>5</v>
          </cell>
          <cell r="AH313">
            <v>0</v>
          </cell>
        </row>
        <row r="314">
          <cell r="D314" t="str">
            <v>موسوی</v>
          </cell>
          <cell r="O314" t="str">
            <v>مونتاژ</v>
          </cell>
          <cell r="AC314" t="str">
            <v>1405/06/17</v>
          </cell>
          <cell r="AF314">
            <v>1</v>
          </cell>
          <cell r="AH314">
            <v>0</v>
          </cell>
        </row>
        <row r="315">
          <cell r="D315" t="str">
            <v>خیرخواه</v>
          </cell>
          <cell r="O315">
            <v>7401</v>
          </cell>
          <cell r="AC315" t="str">
            <v>1405/06/17</v>
          </cell>
          <cell r="AF315">
            <v>1</v>
          </cell>
          <cell r="AH315">
            <v>0</v>
          </cell>
        </row>
        <row r="316">
          <cell r="D316" t="str">
            <v>خیرخواه</v>
          </cell>
          <cell r="O316">
            <v>7401</v>
          </cell>
          <cell r="AC316" t="str">
            <v>1405/06/17</v>
          </cell>
          <cell r="AF316">
            <v>1</v>
          </cell>
          <cell r="AH316">
            <v>0</v>
          </cell>
        </row>
        <row r="317">
          <cell r="D317" t="str">
            <v>خیرخواه</v>
          </cell>
          <cell r="O317" t="str">
            <v>مونتاژ</v>
          </cell>
          <cell r="AC317" t="str">
            <v>1405/06/17</v>
          </cell>
          <cell r="AF317">
            <v>4</v>
          </cell>
          <cell r="AH317">
            <v>0</v>
          </cell>
        </row>
        <row r="318">
          <cell r="D318" t="str">
            <v>خیرخواه</v>
          </cell>
          <cell r="O318" t="str">
            <v>مونتاژ</v>
          </cell>
          <cell r="AC318" t="str">
            <v>1405/06/17</v>
          </cell>
          <cell r="AF318">
            <v>4</v>
          </cell>
          <cell r="AH318">
            <v>0</v>
          </cell>
        </row>
        <row r="319">
          <cell r="D319" t="str">
            <v>خیرخواه</v>
          </cell>
          <cell r="O319" t="str">
            <v>دمونتاژ</v>
          </cell>
          <cell r="AC319" t="str">
            <v>1405/06/17</v>
          </cell>
          <cell r="AF319">
            <v>1</v>
          </cell>
          <cell r="AH319">
            <v>0</v>
          </cell>
        </row>
        <row r="320">
          <cell r="D320" t="str">
            <v>هاشم زاده</v>
          </cell>
          <cell r="O320" t="str">
            <v>مونتاژ</v>
          </cell>
          <cell r="AC320" t="str">
            <v>1405/06/17</v>
          </cell>
          <cell r="AF320">
            <v>4</v>
          </cell>
          <cell r="AH320">
            <v>0</v>
          </cell>
        </row>
        <row r="321">
          <cell r="D321" t="str">
            <v>هاشم زاده</v>
          </cell>
          <cell r="O321" t="str">
            <v>مونتاژ</v>
          </cell>
          <cell r="AC321" t="str">
            <v>1405/06/17</v>
          </cell>
          <cell r="AF321">
            <v>3</v>
          </cell>
          <cell r="AH321">
            <v>0</v>
          </cell>
        </row>
        <row r="322">
          <cell r="D322" t="str">
            <v>هاشم زاده</v>
          </cell>
          <cell r="O322" t="str">
            <v>مونتاژ</v>
          </cell>
          <cell r="AC322" t="str">
            <v>1405/06/17</v>
          </cell>
          <cell r="AF322">
            <v>1</v>
          </cell>
          <cell r="AH322">
            <v>0</v>
          </cell>
        </row>
        <row r="323">
          <cell r="D323" t="str">
            <v>هاشم زاده</v>
          </cell>
          <cell r="O323" t="str">
            <v>مونتاژ</v>
          </cell>
          <cell r="AC323" t="str">
            <v>1405/06/17</v>
          </cell>
          <cell r="AF323">
            <v>1</v>
          </cell>
          <cell r="AH323">
            <v>0</v>
          </cell>
        </row>
        <row r="324">
          <cell r="D324" t="str">
            <v>هاشم زاده</v>
          </cell>
          <cell r="O324">
            <v>8001</v>
          </cell>
          <cell r="AC324" t="str">
            <v>1405/06/17</v>
          </cell>
          <cell r="AF324">
            <v>2</v>
          </cell>
          <cell r="AH324">
            <v>0</v>
          </cell>
        </row>
        <row r="325">
          <cell r="D325" t="str">
            <v>صلواتی</v>
          </cell>
          <cell r="O325">
            <v>7601</v>
          </cell>
          <cell r="AC325" t="str">
            <v>1405/06/17</v>
          </cell>
          <cell r="AF325">
            <v>3</v>
          </cell>
          <cell r="AH325">
            <v>0</v>
          </cell>
        </row>
        <row r="326">
          <cell r="D326" t="str">
            <v>صلواتی</v>
          </cell>
          <cell r="O326">
            <v>7602</v>
          </cell>
          <cell r="AC326" t="str">
            <v>1405/06/17</v>
          </cell>
          <cell r="AF326">
            <v>3</v>
          </cell>
          <cell r="AH326">
            <v>0</v>
          </cell>
        </row>
        <row r="327">
          <cell r="D327" t="str">
            <v>صلواتی</v>
          </cell>
          <cell r="O327">
            <v>7605</v>
          </cell>
          <cell r="AC327" t="str">
            <v>1405/06/17</v>
          </cell>
          <cell r="AF327">
            <v>10</v>
          </cell>
          <cell r="AH327">
            <v>0</v>
          </cell>
        </row>
        <row r="328">
          <cell r="D328" t="str">
            <v>صلواتی</v>
          </cell>
          <cell r="O328">
            <v>7604</v>
          </cell>
          <cell r="AC328" t="str">
            <v>1405/06/17</v>
          </cell>
          <cell r="AF328">
            <v>1</v>
          </cell>
          <cell r="AH328">
            <v>0</v>
          </cell>
        </row>
        <row r="329">
          <cell r="D329" t="str">
            <v>صلواتی</v>
          </cell>
          <cell r="O329">
            <v>7604</v>
          </cell>
          <cell r="AC329" t="str">
            <v>1405/06/17</v>
          </cell>
          <cell r="AF329">
            <v>2</v>
          </cell>
          <cell r="AH329">
            <v>0</v>
          </cell>
        </row>
        <row r="330">
          <cell r="D330" t="str">
            <v>کریم پرست</v>
          </cell>
          <cell r="O330">
            <v>7301</v>
          </cell>
          <cell r="AC330" t="str">
            <v>1405/06/17</v>
          </cell>
          <cell r="AF330">
            <v>4</v>
          </cell>
          <cell r="AH330">
            <v>0</v>
          </cell>
        </row>
        <row r="331">
          <cell r="D331" t="str">
            <v>کریم پرست</v>
          </cell>
          <cell r="O331">
            <v>7301</v>
          </cell>
          <cell r="AC331" t="str">
            <v>1405/06/17</v>
          </cell>
          <cell r="AF331">
            <v>4</v>
          </cell>
          <cell r="AH331">
            <v>0</v>
          </cell>
        </row>
        <row r="332">
          <cell r="D332" t="str">
            <v>کریم پرست</v>
          </cell>
          <cell r="O332">
            <v>7301</v>
          </cell>
          <cell r="AC332" t="str">
            <v>1405/06/17</v>
          </cell>
          <cell r="AF332">
            <v>3</v>
          </cell>
          <cell r="AH332">
            <v>0</v>
          </cell>
        </row>
        <row r="333">
          <cell r="D333" t="str">
            <v>فراهی</v>
          </cell>
          <cell r="O333">
            <v>7103</v>
          </cell>
          <cell r="AC333" t="str">
            <v>1405/06/18</v>
          </cell>
          <cell r="AF333">
            <v>6.5</v>
          </cell>
          <cell r="AH333">
            <v>0</v>
          </cell>
        </row>
        <row r="334">
          <cell r="D334" t="str">
            <v>آذرمنش</v>
          </cell>
          <cell r="O334">
            <v>7203</v>
          </cell>
          <cell r="AC334" t="str">
            <v>1405/06/18</v>
          </cell>
          <cell r="AF334">
            <v>11</v>
          </cell>
          <cell r="AH334">
            <v>0</v>
          </cell>
        </row>
        <row r="335">
          <cell r="D335" t="str">
            <v>مسعودی</v>
          </cell>
          <cell r="O335">
            <v>7202</v>
          </cell>
          <cell r="AC335" t="str">
            <v>1405/06/18</v>
          </cell>
          <cell r="AF335">
            <v>11</v>
          </cell>
          <cell r="AH335">
            <v>0</v>
          </cell>
        </row>
        <row r="336">
          <cell r="D336" t="str">
            <v>موسوی</v>
          </cell>
          <cell r="O336">
            <v>7303</v>
          </cell>
          <cell r="AC336" t="str">
            <v>1405/06/18</v>
          </cell>
          <cell r="AF336">
            <v>11</v>
          </cell>
          <cell r="AH336">
            <v>0</v>
          </cell>
        </row>
        <row r="337">
          <cell r="D337" t="str">
            <v>قیطاسوند</v>
          </cell>
          <cell r="O337">
            <v>7102</v>
          </cell>
          <cell r="AC337" t="str">
            <v>1405/06/18</v>
          </cell>
          <cell r="AF337">
            <v>7.5</v>
          </cell>
          <cell r="AH337">
            <v>0</v>
          </cell>
        </row>
        <row r="338">
          <cell r="D338" t="str">
            <v>قیطاسوند</v>
          </cell>
          <cell r="O338">
            <v>7102</v>
          </cell>
          <cell r="AC338" t="str">
            <v>1405/06/18</v>
          </cell>
          <cell r="AF338">
            <v>3.5</v>
          </cell>
          <cell r="AH338">
            <v>0</v>
          </cell>
        </row>
        <row r="339">
          <cell r="D339" t="str">
            <v>باقری اصل</v>
          </cell>
          <cell r="O339">
            <v>7204</v>
          </cell>
          <cell r="AC339" t="str">
            <v>1405/06/18</v>
          </cell>
          <cell r="AF339">
            <v>2</v>
          </cell>
          <cell r="AH339">
            <v>0</v>
          </cell>
        </row>
        <row r="340">
          <cell r="D340" t="str">
            <v>باقری اصل</v>
          </cell>
          <cell r="O340">
            <v>7204</v>
          </cell>
          <cell r="AC340" t="str">
            <v>1405/06/18</v>
          </cell>
          <cell r="AF340">
            <v>3.5</v>
          </cell>
          <cell r="AH340">
            <v>0</v>
          </cell>
        </row>
        <row r="341">
          <cell r="D341" t="str">
            <v>باقری اصل</v>
          </cell>
          <cell r="O341">
            <v>7204</v>
          </cell>
          <cell r="AC341" t="str">
            <v>1405/06/18</v>
          </cell>
          <cell r="AF341">
            <v>5.5</v>
          </cell>
          <cell r="AH341">
            <v>0</v>
          </cell>
        </row>
        <row r="342">
          <cell r="D342" t="str">
            <v>صلواتی</v>
          </cell>
          <cell r="O342">
            <v>7601</v>
          </cell>
          <cell r="AC342" t="str">
            <v>1405/06/18</v>
          </cell>
          <cell r="AF342">
            <v>12</v>
          </cell>
          <cell r="AH342">
            <v>0</v>
          </cell>
        </row>
        <row r="343">
          <cell r="D343" t="str">
            <v>صلواتی</v>
          </cell>
          <cell r="O343">
            <v>7602</v>
          </cell>
          <cell r="AC343" t="str">
            <v>1405/06/18</v>
          </cell>
          <cell r="AF343">
            <v>9</v>
          </cell>
          <cell r="AH343">
            <v>0</v>
          </cell>
        </row>
        <row r="344">
          <cell r="D344" t="str">
            <v>صلواتی</v>
          </cell>
          <cell r="O344">
            <v>7604</v>
          </cell>
          <cell r="AC344" t="str">
            <v>1405/06/18</v>
          </cell>
          <cell r="AF344">
            <v>9</v>
          </cell>
          <cell r="AH344">
            <v>0</v>
          </cell>
        </row>
        <row r="345">
          <cell r="D345" t="str">
            <v>حیدری</v>
          </cell>
          <cell r="O345">
            <v>7101</v>
          </cell>
          <cell r="AC345" t="str">
            <v>1405/06/17</v>
          </cell>
          <cell r="AF345">
            <v>1</v>
          </cell>
          <cell r="AH345">
            <v>0</v>
          </cell>
        </row>
        <row r="346">
          <cell r="D346" t="str">
            <v>حیدری</v>
          </cell>
          <cell r="O346">
            <v>7101</v>
          </cell>
          <cell r="AC346" t="str">
            <v>1405/06/17</v>
          </cell>
          <cell r="AF346">
            <v>5</v>
          </cell>
          <cell r="AH346">
            <v>0</v>
          </cell>
        </row>
        <row r="347">
          <cell r="D347" t="str">
            <v>حیدری</v>
          </cell>
          <cell r="O347" t="str">
            <v>دمونتاژ</v>
          </cell>
          <cell r="AC347" t="str">
            <v>1405/06/17</v>
          </cell>
          <cell r="AF347">
            <v>1</v>
          </cell>
          <cell r="AH347">
            <v>0</v>
          </cell>
        </row>
        <row r="348">
          <cell r="D348" t="str">
            <v>حیدری</v>
          </cell>
          <cell r="O348">
            <v>7101</v>
          </cell>
          <cell r="AC348" t="str">
            <v>1405/06/18</v>
          </cell>
          <cell r="AF348">
            <v>2.5</v>
          </cell>
          <cell r="AH348">
            <v>0</v>
          </cell>
        </row>
        <row r="349">
          <cell r="D349" t="str">
            <v>حیدری</v>
          </cell>
          <cell r="O349">
            <v>7101</v>
          </cell>
          <cell r="AC349" t="str">
            <v>1405/06/18</v>
          </cell>
          <cell r="AF349">
            <v>5.5</v>
          </cell>
          <cell r="AH349">
            <v>0</v>
          </cell>
        </row>
        <row r="350">
          <cell r="D350" t="str">
            <v>یاراحمدی</v>
          </cell>
          <cell r="O350">
            <v>7501</v>
          </cell>
          <cell r="AC350" t="str">
            <v>1405/06/18</v>
          </cell>
          <cell r="AF350">
            <v>4</v>
          </cell>
          <cell r="AH350">
            <v>0</v>
          </cell>
        </row>
        <row r="351">
          <cell r="D351" t="str">
            <v>یاراحمدی</v>
          </cell>
          <cell r="O351">
            <v>7502</v>
          </cell>
          <cell r="AC351" t="str">
            <v>1405/06/18</v>
          </cell>
          <cell r="AF351">
            <v>6</v>
          </cell>
          <cell r="AH351">
            <v>0</v>
          </cell>
        </row>
        <row r="352">
          <cell r="D352" t="str">
            <v>یاراحمدی</v>
          </cell>
          <cell r="O352">
            <v>7502</v>
          </cell>
          <cell r="AC352" t="str">
            <v>1405/06/18</v>
          </cell>
          <cell r="AF352">
            <v>5</v>
          </cell>
          <cell r="AH352">
            <v>0</v>
          </cell>
        </row>
        <row r="353">
          <cell r="D353" t="str">
            <v>یاراحمدی</v>
          </cell>
          <cell r="O353">
            <v>7501</v>
          </cell>
          <cell r="AC353" t="str">
            <v>1405/06/18</v>
          </cell>
          <cell r="AF353">
            <v>7</v>
          </cell>
          <cell r="AH353">
            <v>0</v>
          </cell>
        </row>
        <row r="354">
          <cell r="D354" t="str">
            <v>کریم پرست</v>
          </cell>
          <cell r="O354">
            <v>7301</v>
          </cell>
          <cell r="AC354" t="str">
            <v>1405/06/18</v>
          </cell>
          <cell r="AF354">
            <v>4</v>
          </cell>
          <cell r="AH354">
            <v>0</v>
          </cell>
        </row>
        <row r="355">
          <cell r="D355" t="str">
            <v>کریم پرست</v>
          </cell>
          <cell r="O355">
            <v>7301</v>
          </cell>
          <cell r="AC355" t="str">
            <v>1405/06/18</v>
          </cell>
          <cell r="AF355">
            <v>3</v>
          </cell>
          <cell r="AH355">
            <v>0</v>
          </cell>
        </row>
        <row r="356">
          <cell r="D356" t="str">
            <v>کریم پرست</v>
          </cell>
          <cell r="O356">
            <v>7301</v>
          </cell>
          <cell r="AC356" t="str">
            <v>1405/06/18</v>
          </cell>
          <cell r="AF356">
            <v>2</v>
          </cell>
          <cell r="AH356">
            <v>0</v>
          </cell>
        </row>
        <row r="357">
          <cell r="D357" t="str">
            <v>کریم پرست</v>
          </cell>
          <cell r="O357">
            <v>7301</v>
          </cell>
          <cell r="AC357" t="str">
            <v>1405/06/18</v>
          </cell>
          <cell r="AF357">
            <v>2</v>
          </cell>
          <cell r="AH357">
            <v>0</v>
          </cell>
        </row>
        <row r="358">
          <cell r="D358" t="str">
            <v>خیرخواه</v>
          </cell>
          <cell r="O358" t="str">
            <v>دمونتاژ</v>
          </cell>
          <cell r="AC358" t="str">
            <v>1405/06/18</v>
          </cell>
          <cell r="AF358">
            <v>3</v>
          </cell>
          <cell r="AH358">
            <v>0</v>
          </cell>
        </row>
        <row r="359">
          <cell r="D359" t="str">
            <v>خیرخواه</v>
          </cell>
          <cell r="O359" t="str">
            <v>مونتاژ</v>
          </cell>
          <cell r="AC359" t="str">
            <v>1405/06/18</v>
          </cell>
          <cell r="AF359">
            <v>5</v>
          </cell>
          <cell r="AH359">
            <v>0</v>
          </cell>
        </row>
        <row r="360">
          <cell r="D360" t="str">
            <v>خیرخواه</v>
          </cell>
          <cell r="O360" t="str">
            <v>مونتاژ</v>
          </cell>
          <cell r="AC360" t="str">
            <v>1405/06/18</v>
          </cell>
          <cell r="AF360">
            <v>2</v>
          </cell>
          <cell r="AH360">
            <v>0</v>
          </cell>
        </row>
        <row r="361">
          <cell r="D361" t="str">
            <v>خیرخواه</v>
          </cell>
          <cell r="O361" t="str">
            <v>مونتاژ</v>
          </cell>
          <cell r="AC361" t="str">
            <v>1405/06/18</v>
          </cell>
          <cell r="AF361">
            <v>1</v>
          </cell>
          <cell r="AH361">
            <v>0</v>
          </cell>
        </row>
        <row r="362">
          <cell r="D362" t="str">
            <v>هاشم زاده</v>
          </cell>
          <cell r="O362" t="str">
            <v>دمونتاژ</v>
          </cell>
          <cell r="AC362" t="str">
            <v>1405/06/18</v>
          </cell>
          <cell r="AF362">
            <v>3</v>
          </cell>
          <cell r="AH362">
            <v>0</v>
          </cell>
        </row>
        <row r="363">
          <cell r="D363" t="str">
            <v>هاشم زاده</v>
          </cell>
          <cell r="O363" t="str">
            <v>مونتاژ</v>
          </cell>
          <cell r="AC363" t="str">
            <v>1405/06/18</v>
          </cell>
          <cell r="AF363">
            <v>2</v>
          </cell>
          <cell r="AH363">
            <v>0</v>
          </cell>
        </row>
        <row r="364">
          <cell r="D364" t="str">
            <v>هاشم زاده</v>
          </cell>
          <cell r="O364" t="str">
            <v>مونتاژ</v>
          </cell>
          <cell r="AC364" t="str">
            <v>1405/06/18</v>
          </cell>
          <cell r="AF364">
            <v>3</v>
          </cell>
          <cell r="AH364">
            <v>0</v>
          </cell>
        </row>
        <row r="365">
          <cell r="D365" t="str">
            <v>هاشم زاده</v>
          </cell>
          <cell r="O365" t="str">
            <v>مونتاژ</v>
          </cell>
          <cell r="AC365" t="str">
            <v>1405/06/18</v>
          </cell>
          <cell r="AF365">
            <v>3</v>
          </cell>
          <cell r="AH365">
            <v>0</v>
          </cell>
        </row>
        <row r="366">
          <cell r="AF366">
            <v>0</v>
          </cell>
          <cell r="AH366">
            <v>0</v>
          </cell>
        </row>
        <row r="367">
          <cell r="AF367">
            <v>0</v>
          </cell>
          <cell r="AH367">
            <v>0</v>
          </cell>
        </row>
        <row r="368">
          <cell r="AF368">
            <v>0</v>
          </cell>
          <cell r="AH368">
            <v>0</v>
          </cell>
        </row>
        <row r="369">
          <cell r="AF369">
            <v>0</v>
          </cell>
          <cell r="AH369">
            <v>0</v>
          </cell>
        </row>
        <row r="370">
          <cell r="AF370">
            <v>0</v>
          </cell>
          <cell r="AH370">
            <v>0</v>
          </cell>
        </row>
        <row r="371">
          <cell r="AF371">
            <v>0</v>
          </cell>
          <cell r="AH37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61B590-1BC4-41B0-AA13-B28A47AFE42B}">
  <we:reference id="wa200006230" version="1.0.0.0" store="en-US" storeType="OMEX"/>
  <we:alternateReferences>
    <we:reference id="WA200006230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0D4D-B983-4C98-8032-0BBEEEB33A16}">
  <sheetPr>
    <pageSetUpPr fitToPage="1"/>
  </sheetPr>
  <dimension ref="A1:U52"/>
  <sheetViews>
    <sheetView rightToLeft="1" view="pageLayout" topLeftCell="A49" zoomScaleNormal="100" workbookViewId="0">
      <selection sqref="A1:L2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18" width="6.42578125" style="52" hidden="1" customWidth="1"/>
    <col min="19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2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2</v>
      </c>
      <c r="O2" s="925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137" t="s">
        <v>0</v>
      </c>
      <c r="B3" s="138" t="s">
        <v>64</v>
      </c>
      <c r="C3" s="132" t="s">
        <v>1</v>
      </c>
      <c r="D3" s="132" t="s">
        <v>2</v>
      </c>
      <c r="E3" s="132" t="s">
        <v>3</v>
      </c>
      <c r="F3" s="133" t="s">
        <v>4</v>
      </c>
      <c r="G3" s="134" t="s">
        <v>5</v>
      </c>
      <c r="H3" s="135" t="s">
        <v>35</v>
      </c>
      <c r="I3" s="136" t="s">
        <v>6</v>
      </c>
      <c r="J3" s="134" t="s">
        <v>7</v>
      </c>
      <c r="K3" s="134" t="s">
        <v>8</v>
      </c>
      <c r="L3" s="134" t="s">
        <v>9</v>
      </c>
      <c r="M3" s="134" t="s">
        <v>10</v>
      </c>
      <c r="N3" s="311" t="s">
        <v>11</v>
      </c>
      <c r="O3" s="158" t="s">
        <v>56</v>
      </c>
      <c r="P3" s="158" t="s">
        <v>57</v>
      </c>
      <c r="Q3" s="158" t="s">
        <v>58</v>
      </c>
      <c r="R3" s="158" t="s">
        <v>59</v>
      </c>
      <c r="S3" s="119" t="s">
        <v>60</v>
      </c>
      <c r="T3" s="119" t="s">
        <v>61</v>
      </c>
      <c r="U3" s="119" t="s">
        <v>62</v>
      </c>
    </row>
    <row r="4" spans="1:21" ht="36" customHeight="1" x14ac:dyDescent="0.25">
      <c r="A4" s="68"/>
      <c r="B4" s="213"/>
      <c r="C4" s="224"/>
      <c r="D4" s="131"/>
      <c r="E4" s="253"/>
      <c r="F4" s="253" t="s">
        <v>55</v>
      </c>
      <c r="G4" s="1">
        <f>SUM(O4:T4)</f>
        <v>0</v>
      </c>
      <c r="H4" s="49">
        <f>U4</f>
        <v>0</v>
      </c>
      <c r="I4" s="1">
        <v>0</v>
      </c>
      <c r="J4" s="1">
        <v>0</v>
      </c>
      <c r="K4" s="1">
        <v>29.2</v>
      </c>
      <c r="L4" s="1">
        <v>0</v>
      </c>
      <c r="M4" s="65"/>
      <c r="N4" s="928" t="s">
        <v>43</v>
      </c>
      <c r="O4" s="165">
        <f>SUMIFS([1]فروردین!$AD$2:$AD$57,[1]فروردین!$N$2:$N$57,7101,[1]فروردین!$D$2:$D$57,$F$4,[1]فروردین!$AA$2:$AA$57,O3)</f>
        <v>0</v>
      </c>
      <c r="P4" s="169">
        <f>SUMIFS([1]فروردین!$AD$2:$AD$57,[1]فروردین!$N$2:$N$57,7101,[1]فروردین!$D$2:$D$57,$F$4,[1]فروردین!$AA$2:$AA$57,P3)</f>
        <v>0</v>
      </c>
      <c r="Q4" s="169">
        <f>SUMIFS([1]فروردین!$AD$2:$AD$57,[1]فروردین!$N$2:$N$57,7101,[1]فروردین!$D$2:$D$57,$F$4,[1]فروردین!$AA$2:$AA$57,Q3)</f>
        <v>0</v>
      </c>
      <c r="R4" s="169">
        <f>SUMIFS([1]فروردین!$AD$2:$AD$57,[1]فروردین!$N$2:$N$57,7101,[1]فروردین!$D$2:$D$57,$F$4,[1]فروردین!$AA$2:$AA$57,R3)</f>
        <v>0</v>
      </c>
      <c r="S4" s="98">
        <f>SUMIFS([1]فروردین!$AD$2:$AD$57,[1]فروردین!$N$2:$N$57,7101,[1]فروردین!$D$2:$D$57,$F$4,[1]فروردین!$AA$2:$AA$57,S3)</f>
        <v>0</v>
      </c>
      <c r="T4" s="98">
        <f>SUMIFS([1]فروردین!$AD$2:$AD$57,[1]فروردین!$N$2:$N$57,7101,[1]فروردین!$D$2:$D$57,$F$4,[1]فروردین!$AA$2:$AA$57,T3)</f>
        <v>0</v>
      </c>
      <c r="U4" s="107">
        <f>SUMIFS([1]فروردین!$AD$2:$AD$57,[1]فروردین!$N$2:$N$57,7101,[1]فروردین!$D$2:$D$57,$F$4,[1]فروردین!$AA$2:$AA$57,U3)</f>
        <v>0</v>
      </c>
    </row>
    <row r="5" spans="1:21" ht="36" customHeight="1" x14ac:dyDescent="0.25">
      <c r="A5" s="261">
        <v>1</v>
      </c>
      <c r="B5" s="213" t="s">
        <v>14</v>
      </c>
      <c r="C5" s="256">
        <v>7101</v>
      </c>
      <c r="D5" s="2">
        <v>62.5</v>
      </c>
      <c r="E5" s="259" t="s">
        <v>15</v>
      </c>
      <c r="F5" s="259"/>
      <c r="G5" s="3">
        <f t="shared" ref="G5:G51" si="0">SUM(O5:T5)</f>
        <v>0</v>
      </c>
      <c r="H5" s="47">
        <f t="shared" ref="H5:H51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-33.299999999999997</v>
      </c>
      <c r="N5" s="929"/>
      <c r="O5" s="166">
        <f>SUMIFS([1]فروردین!$AD$2:$AD$57,[1]فروردین!$N$2:$N$57,7101,[1]فروردین!$D$2:$D$57,$F$5,[1]فروردین!$AA$2:$AA$57,O3)</f>
        <v>0</v>
      </c>
      <c r="P5" s="168">
        <f>SUMIFS([1]فروردین!$AD$2:$AD$57,[1]فروردین!$N$2:$N$57,7101,[1]فروردین!$D$2:$D$57,$F$5,[1]فروردین!$AA$2:$AA$57,P3)</f>
        <v>0</v>
      </c>
      <c r="Q5" s="168">
        <f>SUMIFS([1]فروردین!$AD$2:$AD$57,[1]فروردین!$N$2:$N$57,7101,[1]فروردین!$D$2:$D$57,$F$5,[1]فروردین!$AA$2:$AA$57,Q3)</f>
        <v>0</v>
      </c>
      <c r="R5" s="168">
        <f>SUMIFS([1]فروردین!$AD$2:$AD$57,[1]فروردین!$N$2:$N$57,7101,[1]فروردین!$D$2:$D$57,$F$5,[1]فروردین!$AA$2:$AA$57,R3)</f>
        <v>0</v>
      </c>
      <c r="S5" s="96">
        <f>SUMIFS([1]فروردین!$AD$2:$AD$57,[1]فروردین!$N$2:$N$57,7101,[1]فروردین!$D$2:$D$57,$F$5,[1]فروردین!$AA$2:$AA$57,S3)</f>
        <v>0</v>
      </c>
      <c r="T5" s="96">
        <f>SUMIFS([1]فروردین!$AD$2:$AD$57,[1]فروردین!$N$2:$N$57,7101,[1]فروردین!$D$2:$D$57,$F$5,[1]فروردین!$AA$2:$AA$57,T3)</f>
        <v>0</v>
      </c>
      <c r="U5" s="108">
        <f>SUMIFS([1]فروردین!$AD$2:$AD$57,[1]فروردین!$N$2:$N$57,7101,[1]فروردین!$D$2:$D$57,$F$5,[1]فروردین!$AA$2:$AA$57,U3)</f>
        <v>0</v>
      </c>
    </row>
    <row r="6" spans="1:21" ht="36" customHeight="1" thickBot="1" x14ac:dyDescent="0.3">
      <c r="A6" s="268"/>
      <c r="B6" s="88"/>
      <c r="C6" s="249"/>
      <c r="D6" s="247"/>
      <c r="E6" s="247"/>
      <c r="F6" s="5"/>
      <c r="G6" s="1">
        <f t="shared" si="0"/>
        <v>0</v>
      </c>
      <c r="H6" s="49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167">
        <f>SUMIFS([1]فروردین!$AD$2:$AD$57,[1]فروردین!$N$2:$N$57,7101,[1]فروردین!$D$2:$D$57,$F$6,[1]فروردین!$AA$2:$AA$57,O3)</f>
        <v>0</v>
      </c>
      <c r="P6" s="175">
        <f>SUMIFS([1]فروردین!$AD$2:$AD$57,[1]فروردین!$N$2:$N$57,7101,[1]فروردین!$D$2:$D$57,$F$6,[1]فروردین!$AA$2:$AA$57,P3)</f>
        <v>0</v>
      </c>
      <c r="Q6" s="175">
        <f>SUMIFS([1]فروردین!$AD$2:$AD$57,[1]فروردین!$N$2:$N$57,7101,[1]فروردین!$D$2:$D$57,$F$6,[1]فروردین!$AA$2:$AA$57,Q3)</f>
        <v>0</v>
      </c>
      <c r="R6" s="175">
        <f>SUMIFS([1]فروردین!$AD$2:$AD$57,[1]فروردین!$N$2:$N$57,7101,[1]فروردین!$D$2:$D$57,$F$6,[1]فروردین!$AA$2:$AA$57,R3)</f>
        <v>0</v>
      </c>
      <c r="S6" s="97">
        <f>SUMIFS([1]فروردین!$AD$2:$AD$57,[1]فروردین!$N$2:$N$57,7101,[1]فروردین!$D$2:$D$57,$F$6,[1]فروردین!$AA$2:$AA$57,S3)</f>
        <v>0</v>
      </c>
      <c r="T6" s="97">
        <f>SUMIFS([1]فروردین!$AD$2:$AD$57,[1]فروردین!$N$2:$N$57,7101,[1]فروردین!$D$2:$D$57,$F$6,[1]فروردین!$AA$2:$AA$57,T3)</f>
        <v>0</v>
      </c>
      <c r="U6" s="114">
        <f>SUMIFS([1]فروردین!$AD$2:$AD$57,[1]فروردین!$N$2:$N$57,7101,[1]فروردین!$D$2:$D$57,$F$6,[1]فروردین!$AA$2:$AA$57,U3)</f>
        <v>0</v>
      </c>
    </row>
    <row r="7" spans="1:21" ht="36" customHeight="1" x14ac:dyDescent="0.25">
      <c r="A7" s="229"/>
      <c r="B7" s="42"/>
      <c r="C7" s="248"/>
      <c r="D7" s="244"/>
      <c r="E7" s="244"/>
      <c r="F7" s="244"/>
      <c r="G7" s="9">
        <f t="shared" si="0"/>
        <v>0</v>
      </c>
      <c r="H7" s="46">
        <f t="shared" si="1"/>
        <v>0</v>
      </c>
      <c r="I7" s="9">
        <v>0</v>
      </c>
      <c r="J7" s="9">
        <v>0</v>
      </c>
      <c r="K7" s="9">
        <v>0</v>
      </c>
      <c r="L7" s="9">
        <v>0</v>
      </c>
      <c r="M7" s="10"/>
      <c r="N7" s="250"/>
      <c r="O7" s="165">
        <f>SUMIFS([1]فروردین!$AD$2:$AD$57,[1]فروردین!$N$2:$N$57,7102,[1]فروردین!$D$2:$D$57,$F$7,[1]فروردین!$AA$2:$AA$57,O3)</f>
        <v>0</v>
      </c>
      <c r="P7" s="169">
        <f>SUMIFS([1]فروردین!$AD$2:$AD$57,[1]فروردین!$N$2:$N$57,7102,[1]فروردین!$D$2:$D$57,$F$7,[1]فروردین!$AA$2:$AA$57,P3)</f>
        <v>0</v>
      </c>
      <c r="Q7" s="169">
        <f>SUMIFS([1]فروردین!$AD$2:$AD$57,[1]فروردین!$N$2:$N$57,7102,[1]فروردین!$D$2:$D$57,$F$7,[1]فروردین!$AA$2:$AA$57,Q3)</f>
        <v>0</v>
      </c>
      <c r="R7" s="169">
        <f>SUMIFS([1]فروردین!$AD$2:$AD$57,[1]فروردین!$N$2:$N$57,7102,[1]فروردین!$D$2:$D$57,$F$7,[1]فروردین!$AA$2:$AA$57,R3)</f>
        <v>0</v>
      </c>
      <c r="S7" s="98">
        <f>SUMIFS([1]فروردین!$AD$2:$AD$57,[1]فروردین!$N$2:$N$57,7102,[1]فروردین!$D$2:$D$57,$F$7,[1]فروردین!$AA$2:$AA$57,S3)</f>
        <v>0</v>
      </c>
      <c r="T7" s="98">
        <f>SUMIFS([1]فروردین!$AD$2:$AD$57,[1]فروردین!$N$2:$N$57,7102,[1]فروردین!$D$2:$D$57,$F$7,[1]فروردین!$AA$2:$AA$57,T3)</f>
        <v>0</v>
      </c>
      <c r="U7" s="107">
        <f>SUMIFS([1]فروردین!$AD$2:$AD$57,[1]فروردین!$N$2:$N$57,7102,[1]فروردین!$D$2:$D$57,$F$7,[1]فروردین!$AA$2:$AA$57,U3)</f>
        <v>0</v>
      </c>
    </row>
    <row r="8" spans="1:21" ht="36" customHeight="1" x14ac:dyDescent="0.25">
      <c r="A8" s="214">
        <v>2</v>
      </c>
      <c r="B8" s="216" t="s">
        <v>14</v>
      </c>
      <c r="C8" s="256">
        <v>7102</v>
      </c>
      <c r="D8" s="2">
        <v>62.5</v>
      </c>
      <c r="E8" s="259" t="s">
        <v>15</v>
      </c>
      <c r="F8" s="259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-62.5</v>
      </c>
      <c r="N8" s="251" t="s">
        <v>13</v>
      </c>
      <c r="O8" s="166">
        <f>SUMIFS([1]فروردین!$AD$2:$AD$57,[1]فروردین!$N$2:$N$57,7102,[1]فروردین!$D$2:$D$57,$F$8,[1]فروردین!$AA$2:$AA$57,O3)</f>
        <v>0</v>
      </c>
      <c r="P8" s="168">
        <f>SUMIFS([1]فروردین!$AD$2:$AD$57,[1]فروردین!$N$2:$N$57,7102,[1]فروردین!$D$2:$D$57,$F$8,[1]فروردین!$AA$2:$AA$57,P3)</f>
        <v>0</v>
      </c>
      <c r="Q8" s="168">
        <f>SUMIFS([1]فروردین!$AD$2:$AD$57,[1]فروردین!$N$2:$N$57,7102,[1]فروردین!$D$2:$D$57,$F$8,[1]فروردین!$AA$2:$AA$57,Q3)</f>
        <v>0</v>
      </c>
      <c r="R8" s="168">
        <f>SUMIFS([1]فروردین!$AD$2:$AD$57,[1]فروردین!$N$2:$N$57,7102,[1]فروردین!$D$2:$D$57,$F$8,[1]فروردین!$AA$2:$AA$57,R3)</f>
        <v>0</v>
      </c>
      <c r="S8" s="96">
        <f>SUMIFS([1]فروردین!$AD$2:$AD$57,[1]فروردین!$N$2:$N$57,7102,[1]فروردین!$D$2:$D$57,$F$8,[1]فروردین!$AA$2:$AA$57,S3)</f>
        <v>0</v>
      </c>
      <c r="T8" s="96">
        <f>SUMIFS([1]فروردین!$AD$2:$AD$57,[1]فروردین!$N$2:$N$57,7102,[1]فروردین!$D$2:$D$57,$F$8,[1]فروردین!$AA$2:$AA$57,T3)</f>
        <v>0</v>
      </c>
      <c r="U8" s="108">
        <f>SUMIFS([1]فروردین!$AD$2:$AD$57,[1]فروردین!$N$2:$N$57,7102,[1]فروردین!$D$2:$D$57,$F$8,[1]فروردین!$AA$2:$AA$57,U3)</f>
        <v>0</v>
      </c>
    </row>
    <row r="9" spans="1:21" ht="36" customHeight="1" thickBot="1" x14ac:dyDescent="0.3">
      <c r="A9" s="230"/>
      <c r="B9" s="43"/>
      <c r="C9" s="249"/>
      <c r="D9" s="247"/>
      <c r="E9" s="247"/>
      <c r="F9" s="5"/>
      <c r="G9" s="1">
        <f t="shared" si="0"/>
        <v>0</v>
      </c>
      <c r="H9" s="49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252"/>
      <c r="O9" s="167">
        <f>SUMIFS([1]فروردین!$AD$2:$AD$57,[1]فروردین!$N$2:$N$57,7102,[1]فروردین!$D$2:$D$57,$F$9,[1]فروردین!$AA$2:$AA$57,O3)</f>
        <v>0</v>
      </c>
      <c r="P9" s="175">
        <f>SUMIFS([1]فروردین!$AD$2:$AD$57,[1]فروردین!$N$2:$N$57,7102,[1]فروردین!$D$2:$D$57,$F$9,[1]فروردین!$AA$2:$AA$57,P3)</f>
        <v>0</v>
      </c>
      <c r="Q9" s="175">
        <f>SUMIFS([1]فروردین!$AD$2:$AD$57,[1]فروردین!$N$2:$N$57,7102,[1]فروردین!$D$2:$D$57,$F$9,[1]فروردین!$AA$2:$AA$57,Q3)</f>
        <v>0</v>
      </c>
      <c r="R9" s="175">
        <f>SUMIFS([1]فروردین!$AD$2:$AD$57,[1]فروردین!$N$2:$N$57,7102,[1]فروردین!$D$2:$D$57,$F$9,[1]فروردین!$AA$2:$AA$57,R3)</f>
        <v>0</v>
      </c>
      <c r="S9" s="97">
        <f>SUMIFS([1]فروردین!$AD$2:$AD$57,[1]فروردین!$N$2:$N$57,7102,[1]فروردین!$D$2:$D$57,$F$9,[1]فروردین!$AA$2:$AA$57,S3)</f>
        <v>0</v>
      </c>
      <c r="T9" s="97">
        <f>SUMIFS([1]فروردین!$AD$2:$AD$57,[1]فروردین!$N$2:$N$57,7102,[1]فروردین!$D$2:$D$57,$F$9,[1]فروردین!$AA$2:$AA$57,T3)</f>
        <v>0</v>
      </c>
      <c r="U9" s="114">
        <f>SUMIFS([1]فروردین!$AD$2:$AD$57,[1]فروردین!$N$2:$N$57,7102,[1]فروردین!$D$2:$D$57,$F$9,[1]فروردین!$AA$2:$AA$57,U3)</f>
        <v>0</v>
      </c>
    </row>
    <row r="10" spans="1:21" ht="36" customHeight="1" thickBot="1" x14ac:dyDescent="0.3">
      <c r="A10" s="230">
        <v>3</v>
      </c>
      <c r="B10" s="216" t="s">
        <v>14</v>
      </c>
      <c r="C10" s="246">
        <v>7103</v>
      </c>
      <c r="D10" s="2">
        <v>62.5</v>
      </c>
      <c r="E10" s="246" t="s">
        <v>15</v>
      </c>
      <c r="F10" s="246"/>
      <c r="G10" s="9">
        <f t="shared" si="0"/>
        <v>0</v>
      </c>
      <c r="H10" s="46">
        <f t="shared" si="1"/>
        <v>0</v>
      </c>
      <c r="I10" s="4">
        <v>0</v>
      </c>
      <c r="J10" s="4">
        <v>0</v>
      </c>
      <c r="K10" s="4">
        <v>0</v>
      </c>
      <c r="L10" s="4">
        <v>0</v>
      </c>
      <c r="M10" s="4">
        <f>SUM(G10:L10)-64</f>
        <v>-64</v>
      </c>
      <c r="N10" s="251" t="s">
        <v>40</v>
      </c>
      <c r="O10" s="176">
        <f>SUMIFS([1]فروردین!$AD$2:$AD$57,[1]فروردین!$N$2:$N$57,7103,[1]فروردین!$D$2:$D$57,$F$10,[1]فروردین!$AA$2:$AA$57,O3)</f>
        <v>0</v>
      </c>
      <c r="P10" s="177">
        <f>SUMIFS([1]فروردین!$AD$2:$AD$57,[1]فروردین!$N$2:$N$57,7103,[1]فروردین!$D$2:$D$57,$F$10,[1]فروردین!$AA$2:$AA$57,P3)</f>
        <v>0</v>
      </c>
      <c r="Q10" s="177">
        <f>SUMIFS([1]فروردین!$AD$2:$AD$57,[1]فروردین!$N$2:$N$57,7103,[1]فروردین!$D$2:$D$57,$F$10,[1]فروردین!$AA$2:$AA$57,Q3)</f>
        <v>0</v>
      </c>
      <c r="R10" s="177">
        <f>SUMIFS([1]فروردین!$AD$2:$AD$57,[1]فروردین!$N$2:$N$57,7103,[1]فروردین!$D$2:$D$57,$F$10,[1]فروردین!$AA$2:$AA$57,R3)</f>
        <v>0</v>
      </c>
      <c r="S10" s="99">
        <f>SUMIFS([1]فروردین!$AD$2:$AD$57,[1]فروردین!$N$2:$N$57,7103,[1]فروردین!$D$2:$D$57,$F$10,[1]فروردین!$AA$2:$AA$57,S3)</f>
        <v>0</v>
      </c>
      <c r="T10" s="99">
        <f>SUMIFS([1]فروردین!$AD$2:$AD$57,[1]فروردین!$N$2:$N$57,7103,[1]فروردین!$D$2:$D$57,$F$10,[1]فروردین!$AA$2:$AA$57,T3)</f>
        <v>0</v>
      </c>
      <c r="U10" s="113">
        <f>SUMIFS([1]فروردین!$AD$2:$AD$57,[1]فروردین!$N$2:$N$57,7103,[1]فروردین!$D$2:$D$57,$F$10,[1]فروردین!$AA$2:$AA$57,U3)</f>
        <v>0</v>
      </c>
    </row>
    <row r="11" spans="1:21" ht="36" customHeight="1" thickBot="1" x14ac:dyDescent="0.3">
      <c r="A11" s="214">
        <v>4</v>
      </c>
      <c r="B11" s="78" t="s">
        <v>18</v>
      </c>
      <c r="C11" s="265">
        <v>7201</v>
      </c>
      <c r="D11" s="265">
        <v>62.5</v>
      </c>
      <c r="E11" s="265" t="s">
        <v>19</v>
      </c>
      <c r="F11" s="140"/>
      <c r="G11" s="21">
        <f t="shared" si="0"/>
        <v>0</v>
      </c>
      <c r="H11" s="63">
        <f t="shared" si="1"/>
        <v>0</v>
      </c>
      <c r="I11" s="141">
        <v>0</v>
      </c>
      <c r="J11" s="141">
        <v>62</v>
      </c>
      <c r="K11" s="141">
        <v>0</v>
      </c>
      <c r="L11" s="141">
        <v>0</v>
      </c>
      <c r="M11" s="141">
        <f>SUM(G11:J11)-62</f>
        <v>0</v>
      </c>
      <c r="N11" s="142" t="s">
        <v>41</v>
      </c>
      <c r="O11" s="200"/>
      <c r="P11" s="201"/>
      <c r="Q11" s="201"/>
      <c r="R11" s="201"/>
      <c r="S11" s="100"/>
      <c r="T11" s="100"/>
      <c r="U11" s="111"/>
    </row>
    <row r="12" spans="1:21" ht="36" customHeight="1" thickBot="1" x14ac:dyDescent="0.3">
      <c r="A12" s="45">
        <v>5</v>
      </c>
      <c r="B12" s="12" t="s">
        <v>18</v>
      </c>
      <c r="C12" s="13">
        <v>7202</v>
      </c>
      <c r="D12" s="13">
        <v>62.5</v>
      </c>
      <c r="E12" s="13" t="s">
        <v>15</v>
      </c>
      <c r="F12" s="16"/>
      <c r="G12" s="14">
        <f t="shared" si="0"/>
        <v>0</v>
      </c>
      <c r="H12" s="48">
        <f t="shared" si="1"/>
        <v>0</v>
      </c>
      <c r="I12" s="14">
        <v>0</v>
      </c>
      <c r="J12" s="14">
        <v>0</v>
      </c>
      <c r="K12" s="14">
        <v>0</v>
      </c>
      <c r="L12" s="14">
        <v>0</v>
      </c>
      <c r="M12" s="14">
        <f>SUM(G12:L12)-62</f>
        <v>-62</v>
      </c>
      <c r="N12" s="271" t="s">
        <v>52</v>
      </c>
      <c r="O12" s="179">
        <f>SUMIFS([1]فروردین!$AD$2:$AD$57,[1]فروردین!$N$2:$N$57,7202,[1]فروردین!$D$2:$D$57,$F$12,[1]فروردین!$AA$2:$AA$57,O3)</f>
        <v>0</v>
      </c>
      <c r="P12" s="186">
        <f>SUMIFS([1]فروردین!$AD$2:$AD$57,[1]فروردین!$N$2:$N$57,7202,[1]فروردین!$D$2:$D$57,$F$12,[1]فروردین!$AA$2:$AA$57,P3)</f>
        <v>0</v>
      </c>
      <c r="Q12" s="186">
        <f>SUMIFS([1]فروردین!$AD$2:$AD$57,[1]فروردین!$N$2:$N$57,7202,[1]فروردین!$D$2:$D$57,$F$12,[1]فروردین!$AA$2:$AA$57,Q3)</f>
        <v>0</v>
      </c>
      <c r="R12" s="186">
        <f>SUMIFS([1]فروردین!$AD$2:$AD$57,[1]فروردین!$N$2:$N$57,7202,[1]فروردین!$D$2:$D$57,$F$12,[1]فروردین!$AA$2:$AA$57,R3)</f>
        <v>0</v>
      </c>
      <c r="S12" s="106">
        <f>SUMIFS([1]فروردین!$AD$2:$AD$57,[1]فروردین!$N$2:$N$57,7202,[1]فروردین!$D$2:$D$57,$F$12,[1]فروردین!$AA$2:$AA$57,S3)</f>
        <v>0</v>
      </c>
      <c r="T12" s="106">
        <f>SUMIFS([1]فروردین!$AD$2:$AD$57,[1]فروردین!$N$2:$N$57,7202,[1]فروردین!$D$2:$D$57,$F$12,[1]فروردین!$AA$2:$AA$57,T3)</f>
        <v>0</v>
      </c>
      <c r="U12" s="118">
        <f>SUMIFS([1]فروردین!$AD$2:$AD$57,[1]فروردین!$N$2:$N$57,7202,[1]فروردین!$D$2:$D$57,$F$12,[1]فروردین!$AA$2:$AA$57,U3)</f>
        <v>0</v>
      </c>
    </row>
    <row r="13" spans="1:21" ht="36" customHeight="1" thickBot="1" x14ac:dyDescent="0.3">
      <c r="A13" s="229">
        <v>6</v>
      </c>
      <c r="B13" s="213" t="s">
        <v>18</v>
      </c>
      <c r="C13" s="246">
        <v>7203</v>
      </c>
      <c r="D13" s="246">
        <v>62.5</v>
      </c>
      <c r="E13" s="246" t="s">
        <v>15</v>
      </c>
      <c r="F13" s="16"/>
      <c r="G13" s="4">
        <f t="shared" si="0"/>
        <v>0</v>
      </c>
      <c r="H13" s="67">
        <f t="shared" si="1"/>
        <v>0</v>
      </c>
      <c r="I13" s="4">
        <v>0</v>
      </c>
      <c r="J13" s="4">
        <v>0</v>
      </c>
      <c r="K13" s="4">
        <v>0</v>
      </c>
      <c r="L13" s="4">
        <v>0</v>
      </c>
      <c r="M13" s="4">
        <f>(G13+H13+I13+J13+K13)-D13</f>
        <v>-62.5</v>
      </c>
      <c r="N13" s="251"/>
      <c r="O13" s="180">
        <f>SUMIFS([1]فروردین!$AD$2:$AD$57,[1]فروردین!$N$2:$N$57,7203,[1]فروردین!$D$2:$D$57,$F$13,[1]فروردین!$AA$2:$AA$57,O3)</f>
        <v>0</v>
      </c>
      <c r="P13" s="185">
        <f>SUMIFS([1]فروردین!$AD$2:$AD$57,[1]فروردین!$N$2:$N$57,7203,[1]فروردین!$D$2:$D$57,$F$13,[1]فروردین!$AA$2:$AA$57,P3)</f>
        <v>0</v>
      </c>
      <c r="Q13" s="185">
        <f>SUMIFS([1]فروردین!$AD$2:$AD$57,[1]فروردین!$N$2:$N$57,7203,[1]فروردین!$D$2:$D$57,$F$13,[1]فروردین!$AA$2:$AA$57,Q3)</f>
        <v>0</v>
      </c>
      <c r="R13" s="185">
        <f>SUMIFS([1]فروردین!$AD$2:$AD$57,[1]فروردین!$N$2:$N$57,7203,[1]فروردین!$D$2:$D$57,$F$13,[1]فروردین!$AA$2:$AA$57,R3)</f>
        <v>0</v>
      </c>
      <c r="S13" s="101">
        <f>SUMIFS([1]فروردین!$AD$2:$AD$57,[1]فروردین!$N$2:$N$57,7203,[1]فروردین!$D$2:$D$57,$F$13,[1]فروردین!$AA$2:$AA$57,S3)</f>
        <v>0</v>
      </c>
      <c r="T13" s="101">
        <f>SUMIFS([1]فروردین!$AD$2:$AD$57,[1]فروردین!$N$2:$N$57,7203,[1]فروردین!$D$2:$D$57,$F$13,[1]فروردین!$AA$2:$AA$57,T3)</f>
        <v>0</v>
      </c>
      <c r="U13" s="112">
        <f>SUMIFS([1]فروردین!$AD$2:$AD$57,[1]فروردین!$N$2:$N$57,7203,[1]فروردین!$D$2:$D$57,$F$13,[1]فروردین!$AA$2:$AA$57,U3)</f>
        <v>0</v>
      </c>
    </row>
    <row r="14" spans="1:21" ht="36" customHeight="1" thickBot="1" x14ac:dyDescent="0.3">
      <c r="A14" s="45">
        <v>7</v>
      </c>
      <c r="B14" s="12" t="s">
        <v>18</v>
      </c>
      <c r="C14" s="13">
        <v>7204</v>
      </c>
      <c r="D14" s="13">
        <v>62.5</v>
      </c>
      <c r="E14" s="13" t="s">
        <v>15</v>
      </c>
      <c r="F14" s="16"/>
      <c r="G14" s="14">
        <f t="shared" si="0"/>
        <v>0</v>
      </c>
      <c r="H14" s="48">
        <f t="shared" si="1"/>
        <v>0</v>
      </c>
      <c r="I14" s="14">
        <v>0</v>
      </c>
      <c r="J14" s="14">
        <v>0</v>
      </c>
      <c r="K14" s="14">
        <v>0</v>
      </c>
      <c r="L14" s="14">
        <v>0</v>
      </c>
      <c r="M14" s="14">
        <f>SUM(G14:J14)-62</f>
        <v>-62</v>
      </c>
      <c r="N14" s="61"/>
      <c r="O14" s="180">
        <f>SUMIFS([1]فروردین!$AD$2:$AD$57,[1]فروردین!$N$2:$N$57,7204,[1]فروردین!$D$2:$D$57,$F$14,[1]فروردین!$AA$2:$AA$57,O3)</f>
        <v>0</v>
      </c>
      <c r="P14" s="185">
        <f>SUMIFS([1]فروردین!$AD$2:$AD$57,[1]فروردین!$N$2:$N$57,7204,[1]فروردین!$D$2:$D$57,$F$14,[1]فروردین!$AA$2:$AA$57,P3)</f>
        <v>0</v>
      </c>
      <c r="Q14" s="185">
        <f>SUMIFS([1]فروردین!$AD$2:$AD$57,[1]فروردین!$N$2:$N$57,7204,[1]فروردین!$D$2:$D$57,$F$14,[1]فروردین!$AA$2:$AA$57,Q3)</f>
        <v>0</v>
      </c>
      <c r="R14" s="185">
        <f>SUMIFS([1]فروردین!$AD$2:$AD$57,[1]فروردین!$N$2:$N$57,7204,[1]فروردین!$D$2:$D$57,$F$14,[1]فروردین!$AA$2:$AA$57,R3)</f>
        <v>0</v>
      </c>
      <c r="S14" s="101">
        <f>SUMIFS([1]فروردین!$AD$2:$AD$57,[1]فروردین!$N$2:$N$57,7204,[1]فروردین!$D$2:$D$57,$F$14,[1]فروردین!$AA$2:$AA$57,S3)</f>
        <v>0</v>
      </c>
      <c r="T14" s="101">
        <f>SUMIFS([1]فروردین!$AD$2:$AD$57,[1]فروردین!$N$2:$N$57,7204,[1]فروردین!$D$2:$D$57,$F$14,[1]فروردین!$AA$2:$AA$57,T3)</f>
        <v>0</v>
      </c>
      <c r="U14" s="112">
        <f>SUMIFS([1]فروردین!$AD$2:$AD$57,[1]فروردین!$N$2:$N$57,7204,[1]فروردین!$D$2:$D$57,$F$14,[1]فروردین!$AA$2:$AA$57,U3)</f>
        <v>0</v>
      </c>
    </row>
    <row r="15" spans="1:21" ht="36" customHeight="1" thickBot="1" x14ac:dyDescent="0.3">
      <c r="A15" s="45">
        <v>8</v>
      </c>
      <c r="B15" s="12" t="s">
        <v>21</v>
      </c>
      <c r="C15" s="13">
        <v>7301</v>
      </c>
      <c r="D15" s="13">
        <v>62.5</v>
      </c>
      <c r="E15" s="13" t="s">
        <v>15</v>
      </c>
      <c r="F15" s="19"/>
      <c r="G15" s="14">
        <f t="shared" si="0"/>
        <v>0</v>
      </c>
      <c r="H15" s="48">
        <f t="shared" si="1"/>
        <v>0</v>
      </c>
      <c r="I15" s="14">
        <v>0</v>
      </c>
      <c r="J15" s="14">
        <v>0</v>
      </c>
      <c r="K15" s="14">
        <v>0</v>
      </c>
      <c r="L15" s="14">
        <v>0</v>
      </c>
      <c r="M15" s="14">
        <f>SUM(G15:L15)-D15</f>
        <v>-62.5</v>
      </c>
      <c r="N15" s="15" t="s">
        <v>29</v>
      </c>
      <c r="O15" s="180">
        <f>SUMIFS([1]فروردین!$AD$2:$AD$57,[1]فروردین!$N$2:$N$57,7301,[1]فروردین!$D$2:$D$57,$F$15,[1]فروردین!$AA$2:$AA$57,O3)</f>
        <v>0</v>
      </c>
      <c r="P15" s="185">
        <f>SUMIFS([1]فروردین!$AD$2:$AD$57,[1]فروردین!$N$2:$N$57,7301,[1]فروردین!$D$2:$D$57,$F$15,[1]فروردین!$AA$2:$AA$57,P3)</f>
        <v>0</v>
      </c>
      <c r="Q15" s="185">
        <f>SUMIFS([1]فروردین!$AD$2:$AD$57,[1]فروردین!$N$2:$N$57,7301,[1]فروردین!$D$2:$D$57,$F$15,[1]فروردین!$AA$2:$AA$57,Q3)</f>
        <v>0</v>
      </c>
      <c r="R15" s="185">
        <f>SUMIFS([1]فروردین!$AD$2:$AD$57,[1]فروردین!$N$2:$N$57,7301,[1]فروردین!$D$2:$D$57,$F$15,[1]فروردین!$AA$2:$AA$57,R3)</f>
        <v>0</v>
      </c>
      <c r="S15" s="101">
        <f>SUMIFS([1]فروردین!$AD$2:$AD$57,[1]فروردین!$N$2:$N$57,7301,[1]فروردین!$D$2:$D$57,$F$15,[1]فروردین!$AA$2:$AA$57,S3)</f>
        <v>0</v>
      </c>
      <c r="T15" s="101">
        <f>SUMIFS([1]فروردین!$AD$2:$AD$57,[1]فروردین!$N$2:$N$57,7301,[1]فروردین!$D$2:$D$57,$F$15,[1]فروردین!$AA$2:$AA$57,T3)</f>
        <v>0</v>
      </c>
      <c r="U15" s="112">
        <f>SUMIFS([1]فروردین!$AD$2:$AD$57,[1]فروردین!$N$2:$N$57,7301,[1]فروردین!$D$2:$D$57,$F$15,[1]فروردین!$AA$2:$AA$57,U3)</f>
        <v>0</v>
      </c>
    </row>
    <row r="16" spans="1:21" ht="36" customHeight="1" x14ac:dyDescent="0.25">
      <c r="A16" s="214"/>
      <c r="B16" s="216"/>
      <c r="C16" s="224"/>
      <c r="D16" s="253"/>
      <c r="E16" s="253"/>
      <c r="F16" s="27"/>
      <c r="G16" s="1">
        <f t="shared" si="0"/>
        <v>0</v>
      </c>
      <c r="H16" s="49">
        <f t="shared" si="1"/>
        <v>0</v>
      </c>
      <c r="I16" s="1">
        <v>0</v>
      </c>
      <c r="J16" s="1">
        <v>0</v>
      </c>
      <c r="K16" s="1">
        <v>0</v>
      </c>
      <c r="L16" s="1">
        <v>0</v>
      </c>
      <c r="M16" s="4"/>
      <c r="N16" s="928" t="s">
        <v>37</v>
      </c>
      <c r="O16" s="165">
        <f>SUMIFS([1]فروردین!$AD$2:$AD$57,[1]فروردین!$N$2:$N$57,7302,[1]فروردین!$D$2:$D$57,$F$16,[1]فروردین!$AA$2:$AA$57,O3)</f>
        <v>0</v>
      </c>
      <c r="P16" s="169">
        <f>SUMIFS([1]فروردین!$AD$2:$AD$57,[1]فروردین!$N$2:$N$57,7302,[1]فروردین!$D$2:$D$57,$F$16,[1]فروردین!$AA$2:$AA$57,P3)</f>
        <v>0</v>
      </c>
      <c r="Q16" s="169">
        <f>SUMIFS([1]فروردین!$AD$2:$AD$57,[1]فروردین!$N$2:$N$57,7302,[1]فروردین!$D$2:$D$57,$F$16,[1]فروردین!$AA$2:$AA$57,Q3)</f>
        <v>0</v>
      </c>
      <c r="R16" s="169">
        <f>SUMIFS([1]فروردین!$AD$2:$AD$57,[1]فروردین!$N$2:$N$57,7302,[1]فروردین!$D$2:$D$57,$F$16,[1]فروردین!$AA$2:$AA$57,R3)</f>
        <v>0</v>
      </c>
      <c r="S16" s="98">
        <f>SUMIFS([1]فروردین!$AD$2:$AD$57,[1]فروردین!$N$2:$N$57,7302,[1]فروردین!$D$2:$D$57,$F$16,[1]فروردین!$AA$2:$AA$57,S3)</f>
        <v>0</v>
      </c>
      <c r="T16" s="98">
        <f>SUMIFS([1]فروردین!$AD$2:$AD$57,[1]فروردین!$N$2:$N$57,7302,[1]فروردین!$D$2:$D$57,$F$16,[1]فروردین!$AA$2:$AA$57,T3)</f>
        <v>0</v>
      </c>
      <c r="U16" s="107">
        <f>SUMIFS([1]فروردین!$AD$2:$AD$57,[1]فروردین!$N$2:$N$57,7302,[1]فروردین!$D$2:$D$57,$F$16,[1]فروردین!$AA$2:$AA$57,U3)</f>
        <v>0</v>
      </c>
    </row>
    <row r="17" spans="1:21" ht="36" customHeight="1" x14ac:dyDescent="0.25">
      <c r="A17" s="214">
        <v>9</v>
      </c>
      <c r="B17" s="216" t="s">
        <v>21</v>
      </c>
      <c r="C17" s="256">
        <v>7302</v>
      </c>
      <c r="D17" s="246">
        <v>62.5</v>
      </c>
      <c r="E17" s="259" t="s">
        <v>15</v>
      </c>
      <c r="F17" s="22"/>
      <c r="G17" s="3">
        <f t="shared" si="0"/>
        <v>0</v>
      </c>
      <c r="H17" s="47">
        <f t="shared" si="1"/>
        <v>0</v>
      </c>
      <c r="I17" s="3">
        <v>6</v>
      </c>
      <c r="J17" s="3">
        <v>0</v>
      </c>
      <c r="K17" s="3">
        <v>0</v>
      </c>
      <c r="L17" s="3">
        <v>0</v>
      </c>
      <c r="M17" s="4">
        <f>SUM(G16:L18)-D17</f>
        <v>-56.5</v>
      </c>
      <c r="N17" s="929"/>
      <c r="O17" s="166">
        <f>SUMIFS([1]فروردین!$AD$2:$AD$57,[1]فروردین!$N$2:$N$57,7302,[1]فروردین!$D$2:$D$57,$F$17,[1]فروردین!$AA$2:$AA$57,O3)</f>
        <v>0</v>
      </c>
      <c r="P17" s="168">
        <f>SUMIFS([1]فروردین!$AD$2:$AD$57,[1]فروردین!$N$2:$N$57,7302,[1]فروردین!$D$2:$D$57,$F$17,[1]فروردین!$AA$2:$AA$57,P3)</f>
        <v>0</v>
      </c>
      <c r="Q17" s="168">
        <f>SUMIFS([1]فروردین!$AD$2:$AD$57,[1]فروردین!$N$2:$N$57,7302,[1]فروردین!$D$2:$D$57,$F$17,[1]فروردین!$AA$2:$AA$57,Q3)</f>
        <v>0</v>
      </c>
      <c r="R17" s="168">
        <f>SUMIFS([1]فروردین!$AD$2:$AD$57,[1]فروردین!$N$2:$N$57,7302,[1]فروردین!$D$2:$D$57,$F$17,[1]فروردین!$AA$2:$AA$57,R3)</f>
        <v>0</v>
      </c>
      <c r="S17" s="96">
        <f>SUMIFS([1]فروردین!$AD$2:$AD$57,[1]فروردین!$N$2:$N$57,7302,[1]فروردین!$D$2:$D$57,$F$17,[1]فروردین!$AA$2:$AA$57,S3)</f>
        <v>0</v>
      </c>
      <c r="T17" s="96">
        <f>SUMIFS([1]فروردین!$AD$2:$AD$57,[1]فروردین!$N$2:$N$57,7302,[1]فروردین!$D$2:$D$57,$F$17,[1]فروردین!$AA$2:$AA$57,T3)</f>
        <v>0</v>
      </c>
      <c r="U17" s="108">
        <f>SUMIFS([1]فروردین!$AD$2:$AD$57,[1]فروردین!$N$2:$N$57,7302,[1]فروردین!$D$2:$D$57,$F$17,[1]فروردین!$AA$2:$AA$57,U3)</f>
        <v>0</v>
      </c>
    </row>
    <row r="18" spans="1:21" ht="36" customHeight="1" thickBot="1" x14ac:dyDescent="0.3">
      <c r="A18" s="230"/>
      <c r="B18" s="43"/>
      <c r="C18" s="249"/>
      <c r="D18" s="247"/>
      <c r="E18" s="247"/>
      <c r="F18" s="5"/>
      <c r="G18" s="1">
        <f t="shared" si="0"/>
        <v>0</v>
      </c>
      <c r="H18" s="49">
        <f t="shared" si="1"/>
        <v>0</v>
      </c>
      <c r="I18" s="7">
        <v>0</v>
      </c>
      <c r="J18" s="7">
        <v>0</v>
      </c>
      <c r="K18" s="6">
        <v>0</v>
      </c>
      <c r="L18" s="6">
        <v>0</v>
      </c>
      <c r="M18" s="6"/>
      <c r="N18" s="930"/>
      <c r="O18" s="167">
        <f>SUMIFS([1]فروردین!$AD$2:$AD$57,[1]فروردین!$N$2:$N$57,7302,[1]فروردین!$D$2:$D$57,$F$18,[1]فروردین!$AA$2:$AA$57,O3)</f>
        <v>0</v>
      </c>
      <c r="P18" s="175">
        <f>SUMIFS([1]فروردین!$AD$2:$AD$57,[1]فروردین!$N$2:$N$57,7302,[1]فروردین!$D$2:$D$57,$F$18,[1]فروردین!$AA$2:$AA$57,P3)</f>
        <v>0</v>
      </c>
      <c r="Q18" s="175">
        <f>SUMIFS([1]فروردین!$AD$2:$AD$57,[1]فروردین!$N$2:$N$57,7302,[1]فروردین!$D$2:$D$57,$F$18,[1]فروردین!$AA$2:$AA$57,Q3)</f>
        <v>0</v>
      </c>
      <c r="R18" s="175">
        <f>SUMIFS([1]فروردین!$AD$2:$AD$57,[1]فروردین!$N$2:$N$57,7302,[1]فروردین!$D$2:$D$57,$F$18,[1]فروردین!$AA$2:$AA$57,R3)</f>
        <v>0</v>
      </c>
      <c r="S18" s="97">
        <f>SUMIFS([1]فروردین!$AD$2:$AD$57,[1]فروردین!$N$2:$N$57,7302,[1]فروردین!$D$2:$D$57,$F$18,[1]فروردین!$AA$2:$AA$57,S3)</f>
        <v>0</v>
      </c>
      <c r="T18" s="97">
        <f>SUMIFS([1]فروردین!$AD$2:$AD$57,[1]فروردین!$N$2:$N$57,7302,[1]فروردین!$D$2:$D$57,$F$18,[1]فروردین!$AA$2:$AA$57,T3)</f>
        <v>0</v>
      </c>
      <c r="U18" s="114">
        <f>SUMIFS([1]فروردین!$AD$2:$AD$57,[1]فروردین!$N$2:$N$57,7302,[1]فروردین!$D$2:$D$57,$F$18,[1]فروردین!$AA$2:$AA$57,U3)</f>
        <v>0</v>
      </c>
    </row>
    <row r="19" spans="1:21" ht="36" customHeight="1" thickBot="1" x14ac:dyDescent="0.3">
      <c r="A19" s="147">
        <v>10</v>
      </c>
      <c r="B19" s="143" t="s">
        <v>21</v>
      </c>
      <c r="C19" s="269">
        <v>7303</v>
      </c>
      <c r="D19" s="269">
        <v>44</v>
      </c>
      <c r="E19" s="269" t="s">
        <v>19</v>
      </c>
      <c r="F19" s="144"/>
      <c r="G19" s="85">
        <f t="shared" si="0"/>
        <v>0</v>
      </c>
      <c r="H19" s="86">
        <f t="shared" si="1"/>
        <v>0</v>
      </c>
      <c r="I19" s="89">
        <v>0</v>
      </c>
      <c r="J19" s="89">
        <v>0</v>
      </c>
      <c r="K19" s="89">
        <v>0</v>
      </c>
      <c r="L19" s="89">
        <v>0</v>
      </c>
      <c r="M19" s="89">
        <f>SUM(G19:L19)-44</f>
        <v>-44</v>
      </c>
      <c r="N19" s="305"/>
      <c r="O19" s="179">
        <f>SUMIFS([1]فروردین!$AD$2:$AD$57,[1]فروردین!$N$2:$N$57,7303,[1]فروردین!$D$2:$D$57,$F$19,[1]فروردین!$AA$2:$AA$57,O3)</f>
        <v>0</v>
      </c>
      <c r="P19" s="186">
        <f>SUMIFS([1]فروردین!$AD$2:$AD$57,[1]فروردین!$N$2:$N$57,7303,[1]فروردین!$D$2:$D$57,$F$19,[1]فروردین!$AA$2:$AA$57,P3)</f>
        <v>0</v>
      </c>
      <c r="Q19" s="186">
        <f>SUMIFS([1]فروردین!$AD$2:$AD$57,[1]فروردین!$N$2:$N$57,7303,[1]فروردین!$D$2:$D$57,$F$19,[1]فروردین!$AA$2:$AA$57,Q3)</f>
        <v>0</v>
      </c>
      <c r="R19" s="186">
        <f>SUMIFS([1]فروردین!$AD$2:$AD$57,[1]فروردین!$N$2:$N$57,7303,[1]فروردین!$D$2:$D$57,$F$19,[1]فروردین!$AA$2:$AA$57,R3)</f>
        <v>0</v>
      </c>
      <c r="S19" s="106">
        <f>SUMIFS([1]فروردین!$AD$2:$AD$57,[1]فروردین!$N$2:$N$57,7303,[1]فروردین!$D$2:$D$57,$F$19,[1]فروردین!$AA$2:$AA$57,S3)</f>
        <v>0</v>
      </c>
      <c r="T19" s="106">
        <f>SUMIFS([1]فروردین!$AD$2:$AD$57,[1]فروردین!$N$2:$N$57,7303,[1]فروردین!$D$2:$D$57,$F$19,[1]فروردین!$AA$2:$AA$57,T3)</f>
        <v>0</v>
      </c>
      <c r="U19" s="118">
        <f>SUMIFS([1]فروردین!$AD$2:$AD$57,[1]فروردین!$N$2:$N$57,7303,[1]فروردین!$D$2:$D$57,$F$19,[1]فروردین!$AA$2:$AA$57,U3)</f>
        <v>0</v>
      </c>
    </row>
    <row r="20" spans="1:21" ht="36" customHeight="1" x14ac:dyDescent="0.25">
      <c r="A20" s="229"/>
      <c r="B20" s="42"/>
      <c r="C20" s="248"/>
      <c r="D20" s="244"/>
      <c r="E20" s="244"/>
      <c r="F20" s="20"/>
      <c r="G20" s="9">
        <f t="shared" si="0"/>
        <v>0</v>
      </c>
      <c r="H20" s="46">
        <f t="shared" si="1"/>
        <v>0</v>
      </c>
      <c r="I20" s="9">
        <v>0</v>
      </c>
      <c r="J20" s="9">
        <v>0</v>
      </c>
      <c r="K20" s="9">
        <v>0</v>
      </c>
      <c r="L20" s="9">
        <v>0</v>
      </c>
      <c r="M20" s="21"/>
      <c r="N20" s="931" t="s">
        <v>53</v>
      </c>
      <c r="O20" s="165">
        <f>SUMIFS([1]فروردین!$AD$2:$AD$57,[1]فروردین!$N$2:$N$57,7401,[1]فروردین!$D$2:$D$57,$F$20,[1]فروردین!$AA$2:$AA$57,O3)</f>
        <v>0</v>
      </c>
      <c r="P20" s="169">
        <f>SUMIFS([1]فروردین!$AD$2:$AD$57,[1]فروردین!$N$2:$N$57,7401,[1]فروردین!$D$2:$D$57,$F$20,[1]فروردین!$AA$2:$AA$57,P3)</f>
        <v>0</v>
      </c>
      <c r="Q20" s="169">
        <f>SUMIFS([1]فروردین!$AD$2:$AD$57,[1]فروردین!$N$2:$N$57,7401,[1]فروردین!$D$2:$D$57,$F$20,[1]فروردین!$AA$2:$AA$57,Q3)</f>
        <v>0</v>
      </c>
      <c r="R20" s="169">
        <f>SUMIFS([1]فروردین!$AD$2:$AD$57,[1]فروردین!$N$2:$N$57,7401,[1]فروردین!$D$2:$D$57,$F$20,[1]فروردین!$AA$2:$AA$57,R3)</f>
        <v>0</v>
      </c>
      <c r="S20" s="98">
        <f>SUMIFS([1]فروردین!$AD$2:$AD$57,[1]فروردین!$N$2:$N$57,7401,[1]فروردین!$D$2:$D$57,$F$20,[1]فروردین!$AA$2:$AA$57,S3)</f>
        <v>0</v>
      </c>
      <c r="T20" s="98">
        <f>SUMIFS([1]فروردین!$AD$2:$AD$57,[1]فروردین!$N$2:$N$57,7401,[1]فروردین!$D$2:$D$57,$F$20,[1]فروردین!$AA$2:$AA$57,T3)</f>
        <v>0</v>
      </c>
      <c r="U20" s="107">
        <f>SUMIFS([1]فروردین!$AD$2:$AD$57,[1]فروردین!$N$2:$N$57,7401,[1]فروردین!$D$2:$D$57,$F$20,[1]فروردین!$AA$2:$AA$57,U3)</f>
        <v>0</v>
      </c>
    </row>
    <row r="21" spans="1:21" ht="36" customHeight="1" x14ac:dyDescent="0.25">
      <c r="A21" s="214">
        <v>11</v>
      </c>
      <c r="B21" s="216" t="s">
        <v>24</v>
      </c>
      <c r="C21" s="256">
        <v>7401</v>
      </c>
      <c r="D21" s="246">
        <v>62.5</v>
      </c>
      <c r="E21" s="259" t="s">
        <v>15</v>
      </c>
      <c r="F21" s="22"/>
      <c r="G21" s="3">
        <f t="shared" si="0"/>
        <v>0</v>
      </c>
      <c r="H21" s="47">
        <f t="shared" si="1"/>
        <v>0</v>
      </c>
      <c r="I21" s="3">
        <v>0</v>
      </c>
      <c r="J21" s="3">
        <v>0</v>
      </c>
      <c r="K21" s="3">
        <v>0</v>
      </c>
      <c r="L21" s="3">
        <v>0</v>
      </c>
      <c r="M21" s="1">
        <f>SUM(G20:L22)-D21</f>
        <v>-62.5</v>
      </c>
      <c r="N21" s="929"/>
      <c r="O21" s="166">
        <f>SUMIFS([1]فروردین!$AD$2:$AD$57,[1]فروردین!$N$2:$N$57,7401,[1]فروردین!$D$2:$D$57,$F$21,[1]فروردین!$AA$2:$AA$57,O3)</f>
        <v>0</v>
      </c>
      <c r="P21" s="168">
        <f>SUMIFS([1]فروردین!$AD$2:$AD$57,[1]فروردین!$N$2:$N$57,7401,[1]فروردین!$D$2:$D$57,$F$21,[1]فروردین!$AA$2:$AA$57,P3)</f>
        <v>0</v>
      </c>
      <c r="Q21" s="168">
        <f>SUMIFS([1]فروردین!$AD$2:$AD$57,[1]فروردین!$N$2:$N$57,7401,[1]فروردین!$D$2:$D$57,$F$21,[1]فروردین!$AA$2:$AA$57,Q3)</f>
        <v>0</v>
      </c>
      <c r="R21" s="168">
        <f>SUMIFS([1]فروردین!$AD$2:$AD$57,[1]فروردین!$N$2:$N$57,7401,[1]فروردین!$D$2:$D$57,$F$21,[1]فروردین!$AA$2:$AA$57,R3)</f>
        <v>0</v>
      </c>
      <c r="S21" s="96">
        <f>SUMIFS([1]فروردین!$AD$2:$AD$57,[1]فروردین!$N$2:$N$57,7401,[1]فروردین!$D$2:$D$57,$F$21,[1]فروردین!$AA$2:$AA$57,S3)</f>
        <v>0</v>
      </c>
      <c r="T21" s="96">
        <f>SUMIFS([1]فروردین!$AD$2:$AD$57,[1]فروردین!$N$2:$N$57,7401,[1]فروردین!$D$2:$D$57,$F$21,[1]فروردین!$AA$2:$AA$57,T3)</f>
        <v>0</v>
      </c>
      <c r="U21" s="108">
        <f>SUMIFS([1]فروردین!$AD$2:$AD$57,[1]فروردین!$N$2:$N$57,7401,[1]فروردین!$D$2:$D$57,$F$21,[1]فروردین!$AA$2:$AA$57,U3)</f>
        <v>0</v>
      </c>
    </row>
    <row r="22" spans="1:21" ht="36" customHeight="1" thickBot="1" x14ac:dyDescent="0.3">
      <c r="A22" s="230"/>
      <c r="B22" s="43" t="s">
        <v>24</v>
      </c>
      <c r="C22" s="249">
        <v>7401</v>
      </c>
      <c r="D22" s="246"/>
      <c r="E22" s="247" t="s">
        <v>48</v>
      </c>
      <c r="F22" s="5"/>
      <c r="G22" s="1">
        <f t="shared" si="0"/>
        <v>0</v>
      </c>
      <c r="H22" s="49">
        <f t="shared" si="1"/>
        <v>0</v>
      </c>
      <c r="I22" s="7">
        <v>0</v>
      </c>
      <c r="J22" s="7">
        <v>0</v>
      </c>
      <c r="K22" s="6">
        <v>0</v>
      </c>
      <c r="L22" s="6">
        <v>0</v>
      </c>
      <c r="M22" s="6"/>
      <c r="N22" s="930"/>
      <c r="O22" s="167">
        <f>SUMIFS([1]فروردین!$AD$2:$AD$57,[1]فروردین!$N$2:$N$57,7401,[1]فروردین!$D$2:$D$57,$F$22,[1]فروردین!$AA$2:$AA$57,O3)</f>
        <v>0</v>
      </c>
      <c r="P22" s="175">
        <f>SUMIFS([1]فروردین!$AD$2:$AD$57,[1]فروردین!$N$2:$N$57,7401,[1]فروردین!$D$2:$D$57,$F$22,[1]فروردین!$AA$2:$AA$57,P3)</f>
        <v>0</v>
      </c>
      <c r="Q22" s="175">
        <f>SUMIFS([1]فروردین!$AD$2:$AD$57,[1]فروردین!$N$2:$N$57,7401,[1]فروردین!$D$2:$D$57,$F$22,[1]فروردین!$AA$2:$AA$57,Q3)</f>
        <v>0</v>
      </c>
      <c r="R22" s="175">
        <f>SUMIFS([1]فروردین!$AD$2:$AD$57,[1]فروردین!$N$2:$N$57,7401,[1]فروردین!$D$2:$D$57,$F$22,[1]فروردین!$AA$2:$AA$57,R3)</f>
        <v>0</v>
      </c>
      <c r="S22" s="97">
        <f>SUMIFS([1]فروردین!$AD$2:$AD$57,[1]فروردین!$N$2:$N$57,7401,[1]فروردین!$D$2:$D$57,$F$22,[1]فروردین!$AA$2:$AA$57,S3)</f>
        <v>0</v>
      </c>
      <c r="T22" s="97">
        <f>SUMIFS([1]فروردین!$AD$2:$AD$57,[1]فروردین!$N$2:$N$57,7401,[1]فروردین!$D$2:$D$57,$F$22,[1]فروردین!$AA$2:$AA$57,T3)</f>
        <v>0</v>
      </c>
      <c r="U22" s="114">
        <f>SUMIFS([1]فروردین!$AD$2:$AD$57,[1]فروردین!$N$2:$N$57,7401,[1]فروردین!$D$2:$D$57,$F$22,[1]فروردین!$AA$2:$AA$57,U3)</f>
        <v>0</v>
      </c>
    </row>
    <row r="23" spans="1:21" ht="36" customHeight="1" x14ac:dyDescent="0.25">
      <c r="A23" s="214"/>
      <c r="B23" s="248"/>
      <c r="C23" s="244"/>
      <c r="D23" s="244"/>
      <c r="E23" s="932" t="s">
        <v>19</v>
      </c>
      <c r="F23" s="20"/>
      <c r="G23" s="9">
        <f t="shared" si="0"/>
        <v>0</v>
      </c>
      <c r="H23" s="46">
        <f t="shared" si="1"/>
        <v>0</v>
      </c>
      <c r="I23" s="9">
        <v>0</v>
      </c>
      <c r="J23" s="9">
        <v>0</v>
      </c>
      <c r="K23" s="9">
        <v>0</v>
      </c>
      <c r="L23" s="9">
        <v>0</v>
      </c>
      <c r="M23" s="21"/>
      <c r="N23" s="931" t="s">
        <v>28</v>
      </c>
      <c r="O23" s="165">
        <f>SUMIFS([1]فروردین!$AD$2:$AD$57,[1]فروردین!$N$2:$N$57,7501,[1]فروردین!$D$2:$D$57,$F$23,[1]فروردین!$AA$2:$AA$57,O3)</f>
        <v>0</v>
      </c>
      <c r="P23" s="169">
        <f>SUMIFS([1]فروردین!$AD$2:$AD$57,[1]فروردین!$N$2:$N$57,7501,[1]فروردین!$D$2:$D$57,$F$23,[1]فروردین!$AA$2:$AA$57,P3)</f>
        <v>0</v>
      </c>
      <c r="Q23" s="169">
        <f>SUMIFS([1]فروردین!$AD$2:$AD$57,[1]فروردین!$N$2:$N$57,7501,[1]فروردین!$D$2:$D$57,$F$23,[1]فروردین!$AA$2:$AA$57,Q3)</f>
        <v>0</v>
      </c>
      <c r="R23" s="169">
        <f>SUMIFS([1]فروردین!$AD$2:$AD$57,[1]فروردین!$N$2:$N$57,7501,[1]فروردین!$D$2:$D$57,$F$23,[1]فروردین!$AA$2:$AA$57,R3)</f>
        <v>0</v>
      </c>
      <c r="S23" s="98">
        <f>SUMIFS([1]فروردین!$AD$2:$AD$57,[1]فروردین!$N$2:$N$57,7501,[1]فروردین!$D$2:$D$57,$F$23,[1]فروردین!$AA$2:$AA$57,S3)</f>
        <v>0</v>
      </c>
      <c r="T23" s="98">
        <f>SUMIFS([1]فروردین!$AD$2:$AD$57,[1]فروردین!$N$2:$N$57,7501,[1]فروردین!$D$2:$D$57,$F$23,[1]فروردین!$AA$2:$AA$57,T3)</f>
        <v>0</v>
      </c>
      <c r="U23" s="107">
        <f>SUMIFS([1]فروردین!$AD$2:$AD$57,[1]فروردین!$N$2:$N$57,7501,[1]فروردین!$D$2:$D$57,$F$23,[1]فروردین!$AA$2:$AA$57,U3)</f>
        <v>0</v>
      </c>
    </row>
    <row r="24" spans="1:21" ht="36" customHeight="1" x14ac:dyDescent="0.25">
      <c r="A24" s="214">
        <v>12</v>
      </c>
      <c r="B24" s="256" t="s">
        <v>25</v>
      </c>
      <c r="C24" s="259">
        <v>7501</v>
      </c>
      <c r="D24" s="246">
        <v>62.5</v>
      </c>
      <c r="E24" s="933"/>
      <c r="F24" s="22"/>
      <c r="G24" s="3">
        <f t="shared" si="0"/>
        <v>0</v>
      </c>
      <c r="H24" s="47">
        <f t="shared" si="1"/>
        <v>0</v>
      </c>
      <c r="I24" s="3">
        <v>0</v>
      </c>
      <c r="J24" s="3">
        <v>0</v>
      </c>
      <c r="K24" s="3">
        <v>0</v>
      </c>
      <c r="L24" s="3">
        <v>0</v>
      </c>
      <c r="M24" s="4">
        <f>SUM(G23:L25)-D24</f>
        <v>-62.5</v>
      </c>
      <c r="N24" s="929"/>
      <c r="O24" s="166">
        <f>SUMIFS([1]فروردین!$AD$2:$AD$57,[1]فروردین!$N$2:$N$57,7501,[1]فروردین!$D$2:$D$57,$F$24,[1]فروردین!$AA$2:$AA$57,O3)</f>
        <v>0</v>
      </c>
      <c r="P24" s="168">
        <f>SUMIFS([1]فروردین!$AD$2:$AD$57,[1]فروردین!$N$2:$N$57,7501,[1]فروردین!$D$2:$D$57,$F$24,[1]فروردین!$AA$2:$AA$57,P3)</f>
        <v>0</v>
      </c>
      <c r="Q24" s="168">
        <f>SUMIFS([1]فروردین!$AD$2:$AD$57,[1]فروردین!$N$2:$N$57,7501,[1]فروردین!$D$2:$D$57,$F$24,[1]فروردین!$AA$2:$AA$57,Q3)</f>
        <v>0</v>
      </c>
      <c r="R24" s="168">
        <f>SUMIFS([1]فروردین!$AD$2:$AD$57,[1]فروردین!$N$2:$N$57,7501,[1]فروردین!$D$2:$D$57,$F$24,[1]فروردین!$AA$2:$AA$57,R3)</f>
        <v>0</v>
      </c>
      <c r="S24" s="96">
        <f>SUMIFS([1]فروردین!$AD$2:$AD$57,[1]فروردین!$N$2:$N$57,7501,[1]فروردین!$D$2:$D$57,$F$24,[1]فروردین!$AA$2:$AA$57,S3)</f>
        <v>0</v>
      </c>
      <c r="T24" s="96">
        <f>SUMIFS([1]فروردین!$AD$2:$AD$57,[1]فروردین!$N$2:$N$57,7501,[1]فروردین!$D$2:$D$57,$F$24,[1]فروردین!$AA$2:$AA$57,T3)</f>
        <v>0</v>
      </c>
      <c r="U24" s="108">
        <f>SUMIFS([1]فروردین!$AD$2:$AD$57,[1]فروردین!$N$2:$N$57,7501,[1]فروردین!$D$2:$D$57,$F$24,[1]فروردین!$AA$2:$AA$57,U3)</f>
        <v>0</v>
      </c>
    </row>
    <row r="25" spans="1:21" ht="36" customHeight="1" thickBot="1" x14ac:dyDescent="0.3">
      <c r="A25" s="230"/>
      <c r="B25" s="249"/>
      <c r="C25" s="247"/>
      <c r="D25" s="247"/>
      <c r="E25" s="934"/>
      <c r="F25" s="5"/>
      <c r="G25" s="1">
        <f t="shared" si="0"/>
        <v>0</v>
      </c>
      <c r="H25" s="49">
        <f t="shared" si="1"/>
        <v>0</v>
      </c>
      <c r="I25" s="7">
        <v>0</v>
      </c>
      <c r="J25" s="7">
        <v>0</v>
      </c>
      <c r="K25" s="6">
        <v>0</v>
      </c>
      <c r="L25" s="6">
        <v>0</v>
      </c>
      <c r="M25" s="6"/>
      <c r="N25" s="930"/>
      <c r="O25" s="167">
        <f>SUMIFS([1]فروردین!$AD$2:$AD$57,[1]فروردین!$N$2:$N$57,7501,[1]فروردین!$D$2:$D$57,$F$25,[1]فروردین!$AA$2:$AA$57,O3)</f>
        <v>0</v>
      </c>
      <c r="P25" s="175">
        <f>SUMIFS([1]فروردین!$AD$2:$AD$57,[1]فروردین!$N$2:$N$57,7501,[1]فروردین!$D$2:$D$57,$F$25,[1]فروردین!$AA$2:$AA$57,P3)</f>
        <v>0</v>
      </c>
      <c r="Q25" s="175">
        <f>SUMIFS([1]فروردین!$AD$2:$AD$57,[1]فروردین!$N$2:$N$57,7501,[1]فروردین!$D$2:$D$57,$F$25,[1]فروردین!$AA$2:$AA$57,Q3)</f>
        <v>0</v>
      </c>
      <c r="R25" s="175">
        <f>SUMIFS([1]فروردین!$AD$2:$AD$57,[1]فروردین!$N$2:$N$57,7501,[1]فروردین!$D$2:$D$57,$F$25,[1]فروردین!$AA$2:$AA$57,R3)</f>
        <v>0</v>
      </c>
      <c r="S25" s="97">
        <f>SUMIFS([1]فروردین!$AD$2:$AD$57,[1]فروردین!$N$2:$N$57,7501,[1]فروردین!$D$2:$D$57,$F$25,[1]فروردین!$AA$2:$AA$57,S3)</f>
        <v>0</v>
      </c>
      <c r="T25" s="97">
        <f>SUMIFS([1]فروردین!$AD$2:$AD$57,[1]فروردین!$N$2:$N$57,7501,[1]فروردین!$D$2:$D$57,$F$25,[1]فروردین!$AA$2:$AA$57,T3)</f>
        <v>0</v>
      </c>
      <c r="U25" s="114">
        <f>SUMIFS([1]فروردین!$AD$2:$AD$57,[1]فروردین!$N$2:$N$57,7501,[1]فروردین!$D$2:$D$57,$F$25,[1]فروردین!$AA$2:$AA$57,U3)</f>
        <v>0</v>
      </c>
    </row>
    <row r="26" spans="1:21" ht="36" customHeight="1" x14ac:dyDescent="0.25">
      <c r="A26" s="214"/>
      <c r="B26" s="248"/>
      <c r="C26" s="244"/>
      <c r="D26" s="244"/>
      <c r="E26" s="935" t="s">
        <v>50</v>
      </c>
      <c r="F26" s="20"/>
      <c r="G26" s="9">
        <f t="shared" si="0"/>
        <v>0</v>
      </c>
      <c r="H26" s="46">
        <f t="shared" si="1"/>
        <v>0</v>
      </c>
      <c r="I26" s="85">
        <v>0</v>
      </c>
      <c r="J26" s="85">
        <v>0</v>
      </c>
      <c r="K26" s="85">
        <v>0</v>
      </c>
      <c r="L26" s="85">
        <v>0</v>
      </c>
      <c r="M26" s="21"/>
      <c r="N26" s="938" t="s">
        <v>42</v>
      </c>
      <c r="O26" s="165">
        <f>SUMIFS([1]فروردین!$AD$2:$AD$57,[1]فروردین!$N$2:$N$57,7502,[1]فروردین!$D$2:$D$57,$F$26,[1]فروردین!$AA$2:$AA$57,O3)</f>
        <v>0</v>
      </c>
      <c r="P26" s="169">
        <f>SUMIFS([1]فروردین!$AD$2:$AD$57,[1]فروردین!$N$2:$N$57,7502,[1]فروردین!$D$2:$D$57,$F$26,[1]فروردین!$AA$2:$AA$57,P3)</f>
        <v>0</v>
      </c>
      <c r="Q26" s="169">
        <f>SUMIFS([1]فروردین!$AD$2:$AD$57,[1]فروردین!$N$2:$N$57,7502,[1]فروردین!$D$2:$D$57,$F$26,[1]فروردین!$AA$2:$AA$57,Q3)</f>
        <v>0</v>
      </c>
      <c r="R26" s="169">
        <f>SUMIFS([1]فروردین!$AD$2:$AD$57,[1]فروردین!$N$2:$N$57,7502,[1]فروردین!$D$2:$D$57,$F$26,[1]فروردین!$AA$2:$AA$57,R3)</f>
        <v>0</v>
      </c>
      <c r="S26" s="98">
        <f>SUMIFS([1]فروردین!$AD$2:$AD$57,[1]فروردین!$N$2:$N$57,7502,[1]فروردین!$D$2:$D$57,$F$26,[1]فروردین!$AA$2:$AA$57,S3)</f>
        <v>0</v>
      </c>
      <c r="T26" s="98">
        <f>SUMIFS([1]فروردین!$AD$2:$AD$57,[1]فروردین!$N$2:$N$57,7502,[1]فروردین!$D$2:$D$57,$F$26,[1]فروردین!$AA$2:$AA$57,T3)</f>
        <v>0</v>
      </c>
      <c r="U26" s="107">
        <f>SUMIFS([1]فروردین!$AD$2:$AD$57,[1]فروردین!$N$2:$N$57,7502,[1]فروردین!$D$2:$D$57,$F$26,[1]فروردین!$AA$2:$AA$57,U3)</f>
        <v>0</v>
      </c>
    </row>
    <row r="27" spans="1:21" ht="36" customHeight="1" x14ac:dyDescent="0.25">
      <c r="A27" s="214">
        <v>13</v>
      </c>
      <c r="B27" s="146" t="s">
        <v>25</v>
      </c>
      <c r="C27" s="95">
        <v>7502</v>
      </c>
      <c r="D27" s="246">
        <v>62.5</v>
      </c>
      <c r="E27" s="936"/>
      <c r="F27" s="22" t="s">
        <v>36</v>
      </c>
      <c r="G27" s="3">
        <f t="shared" si="0"/>
        <v>0</v>
      </c>
      <c r="H27" s="47">
        <f t="shared" si="1"/>
        <v>0</v>
      </c>
      <c r="I27" s="3">
        <v>0</v>
      </c>
      <c r="J27" s="3">
        <v>29.5</v>
      </c>
      <c r="K27" s="3">
        <v>0</v>
      </c>
      <c r="L27" s="3">
        <v>0</v>
      </c>
      <c r="M27" s="4">
        <f>SUM(G26:L28)-D27</f>
        <v>-33</v>
      </c>
      <c r="N27" s="929"/>
      <c r="O27" s="166">
        <f>SUMIFS([1]فروردین!$AD$2:$AD$57,[1]فروردین!$N$2:$N$57,7502,[1]فروردین!$D$2:$D$57,$F$27,[1]فروردین!$AA$2:$AA$57,O3)</f>
        <v>0</v>
      </c>
      <c r="P27" s="168">
        <f>SUMIFS([1]فروردین!$AD$2:$AD$57,[1]فروردین!$N$2:$N$57,7502,[1]فروردین!$D$2:$D$57,$F$27,[1]فروردین!$AA$2:$AA$57,P3)</f>
        <v>0</v>
      </c>
      <c r="Q27" s="168">
        <f>SUMIFS([1]فروردین!$AD$2:$AD$57,[1]فروردین!$N$2:$N$57,7502,[1]فروردین!$D$2:$D$57,$F$27,[1]فروردین!$AA$2:$AA$57,Q3)</f>
        <v>0</v>
      </c>
      <c r="R27" s="168">
        <f>SUMIFS([1]فروردین!$AD$2:$AD$57,[1]فروردین!$N$2:$N$57,7502,[1]فروردین!$D$2:$D$57,$F$27,[1]فروردین!$AA$2:$AA$57,R3)</f>
        <v>0</v>
      </c>
      <c r="S27" s="96">
        <f>SUMIFS([1]فروردین!$AD$2:$AD$57,[1]فروردین!$N$2:$N$57,7502,[1]فروردین!$D$2:$D$57,$F$27,[1]فروردین!$AA$2:$AA$57,S3)</f>
        <v>0</v>
      </c>
      <c r="T27" s="96">
        <f>SUMIFS([1]فروردین!$AD$2:$AD$57,[1]فروردین!$N$2:$N$57,7502,[1]فروردین!$D$2:$D$57,$F$27,[1]فروردین!$AA$2:$AA$57,T3)</f>
        <v>0</v>
      </c>
      <c r="U27" s="108">
        <f>SUMIFS([1]فروردین!$AD$2:$AD$57,[1]فروردین!$N$2:$N$57,7502,[1]فروردین!$D$2:$D$57,$F$27,[1]فروردین!$AA$2:$AA$57,U3)</f>
        <v>0</v>
      </c>
    </row>
    <row r="28" spans="1:21" ht="36" customHeight="1" thickBot="1" x14ac:dyDescent="0.3">
      <c r="A28" s="230"/>
      <c r="B28" s="249"/>
      <c r="C28" s="247"/>
      <c r="D28" s="247"/>
      <c r="E28" s="937"/>
      <c r="F28" s="5"/>
      <c r="G28" s="6">
        <f t="shared" si="0"/>
        <v>0</v>
      </c>
      <c r="H28" s="64">
        <f t="shared" si="1"/>
        <v>0</v>
      </c>
      <c r="I28" s="7">
        <v>0</v>
      </c>
      <c r="J28" s="7">
        <v>0</v>
      </c>
      <c r="K28" s="6">
        <v>0</v>
      </c>
      <c r="L28" s="6">
        <v>0</v>
      </c>
      <c r="M28" s="6"/>
      <c r="N28" s="930"/>
      <c r="O28" s="167">
        <f>SUMIFS([1]فروردین!$AD$2:$AD$57,[1]فروردین!$N$2:$N$57,7502,[1]فروردین!$D$2:$D$57,$F$28,[1]فروردین!$AA$2:$AA$57,O3)</f>
        <v>0</v>
      </c>
      <c r="P28" s="175">
        <f>SUMIFS([1]فروردین!$AD$2:$AD$57,[1]فروردین!$N$2:$N$57,7502,[1]فروردین!$D$2:$D$57,$F$28,[1]فروردین!$AA$2:$AA$57,P3)</f>
        <v>0</v>
      </c>
      <c r="Q28" s="175">
        <f>SUMIFS([1]فروردین!$AD$2:$AD$57,[1]فروردین!$N$2:$N$57,7502,[1]فروردین!$D$2:$D$57,$F$28,[1]فروردین!$AA$2:$AA$57,Q3)</f>
        <v>0</v>
      </c>
      <c r="R28" s="175">
        <f>SUMIFS([1]فروردین!$AD$2:$AD$57,[1]فروردین!$N$2:$N$57,7502,[1]فروردین!$D$2:$D$57,$F$28,[1]فروردین!$AA$2:$AA$57,R3)</f>
        <v>0</v>
      </c>
      <c r="S28" s="97">
        <f>SUMIFS([1]فروردین!$AD$2:$AD$57,[1]فروردین!$N$2:$N$57,7502,[1]فروردین!$D$2:$D$57,$F$28,[1]فروردین!$AA$2:$AA$57,S3)</f>
        <v>0</v>
      </c>
      <c r="T28" s="97">
        <f>SUMIFS([1]فروردین!$AD$2:$AD$57,[1]فروردین!$N$2:$N$57,7502,[1]فروردین!$D$2:$D$57,$F$28,[1]فروردین!$AA$2:$AA$57,T3)</f>
        <v>0</v>
      </c>
      <c r="U28" s="114">
        <f>SUMIFS([1]فروردین!$AD$2:$AD$57,[1]فروردین!$N$2:$N$57,7502,[1]فروردین!$D$2:$D$57,$F$28,[1]فروردین!$AA$2:$AA$57,U3)</f>
        <v>0</v>
      </c>
    </row>
    <row r="29" spans="1:21" ht="42" customHeight="1" x14ac:dyDescent="0.25">
      <c r="A29" s="939">
        <v>14</v>
      </c>
      <c r="B29" s="83" t="s">
        <v>26</v>
      </c>
      <c r="C29" s="266">
        <v>7601</v>
      </c>
      <c r="D29" s="266">
        <v>68</v>
      </c>
      <c r="E29" s="914" t="s">
        <v>15</v>
      </c>
      <c r="F29" s="84" t="s">
        <v>27</v>
      </c>
      <c r="G29" s="85">
        <f t="shared" si="0"/>
        <v>0</v>
      </c>
      <c r="H29" s="86">
        <f t="shared" si="1"/>
        <v>0</v>
      </c>
      <c r="I29" s="85">
        <v>16</v>
      </c>
      <c r="J29" s="85">
        <v>0</v>
      </c>
      <c r="K29" s="85">
        <v>29.5</v>
      </c>
      <c r="L29" s="85">
        <v>0</v>
      </c>
      <c r="M29" s="87">
        <f>(J29+J30+I30+I29+H29+H30+G30+G29+L29+K29)-D29</f>
        <v>-22.5</v>
      </c>
      <c r="N29" s="941" t="s">
        <v>29</v>
      </c>
      <c r="O29" s="187">
        <f>SUMIFS([1]فروردین!$AD$2:$AD$57,[1]فروردین!$N$2:$N$57,7601,[1]فروردین!$D$2:$D$57,$F$29,[1]فروردین!$AA$2:$AA$57,O3)</f>
        <v>0</v>
      </c>
      <c r="P29" s="188">
        <f>SUMIFS([1]فروردین!$AD$2:$AD$57,[1]فروردین!$N$2:$N$57,7601,[1]فروردین!$D$2:$D$57,$F$29,[1]فروردین!$AA$2:$AA$57,P3)</f>
        <v>0</v>
      </c>
      <c r="Q29" s="188">
        <f>SUMIFS([1]فروردین!$AD$2:$AD$57,[1]فروردین!$N$2:$N$57,7601,[1]فروردین!$D$2:$D$57,$F$29,[1]فروردین!$AA$2:$AA$57,Q3)</f>
        <v>0</v>
      </c>
      <c r="R29" s="188">
        <f>SUMIFS([1]فروردین!$AD$2:$AD$57,[1]فروردین!$N$2:$N$57,7601,[1]فروردین!$D$2:$D$57,$F$29,[1]فروردین!$AA$2:$AA$57,R3)</f>
        <v>0</v>
      </c>
      <c r="S29" s="145">
        <f>SUMIFS([1]فروردین!$AD$2:$AD$57,[1]فروردین!$N$2:$N$57,7601,[1]فروردین!$D$2:$D$57,$F$29,[1]فروردین!$AA$2:$AA$57,S3)</f>
        <v>0</v>
      </c>
      <c r="T29" s="145">
        <f>SUMIFS([1]فروردین!$AD$2:$AD$57,[1]فروردین!$N$2:$N$57,7601,[1]فروردین!$D$2:$D$57,$F$29,[1]فروردین!$AA$2:$AA$57,T3)</f>
        <v>0</v>
      </c>
      <c r="U29" s="128">
        <f>SUMIFS([1]فروردین!$AD$2:$AD$57,[1]فروردین!$N$2:$N$57,7601,[1]فروردین!$D$2:$D$57,$F$29,[1]فروردین!$AA$2:$AA$57,U3)</f>
        <v>0</v>
      </c>
    </row>
    <row r="30" spans="1:21" ht="42" customHeight="1" thickBot="1" x14ac:dyDescent="0.3">
      <c r="A30" s="940"/>
      <c r="B30" s="123"/>
      <c r="C30" s="270"/>
      <c r="D30" s="270"/>
      <c r="E30" s="915"/>
      <c r="F30" s="124"/>
      <c r="G30" s="93">
        <f t="shared" si="0"/>
        <v>0</v>
      </c>
      <c r="H30" s="92">
        <f t="shared" si="1"/>
        <v>0</v>
      </c>
      <c r="I30" s="125">
        <v>0</v>
      </c>
      <c r="J30" s="125">
        <v>0</v>
      </c>
      <c r="K30" s="126">
        <v>0</v>
      </c>
      <c r="L30" s="126">
        <v>0</v>
      </c>
      <c r="M30" s="127"/>
      <c r="N30" s="917"/>
      <c r="O30" s="190">
        <f>SUMIFS([1]فروردین!$AD$2:$AD$57,[1]فروردین!$N$2:$N$57,7601,[1]فروردین!$D$2:$D$57,$F$30,[1]فروردین!$AA$2:$AA$57,O3)</f>
        <v>0</v>
      </c>
      <c r="P30" s="191">
        <f>SUMIFS([1]فروردین!$AD$2:$AD$57,[1]فروردین!$N$2:$N$57,7601,[1]فروردین!$D$2:$D$57,$F$30,[1]فروردین!$AA$2:$AA$57,P3)</f>
        <v>0</v>
      </c>
      <c r="Q30" s="191">
        <f>SUMIFS([1]فروردین!$AD$2:$AD$57,[1]فروردین!$N$2:$N$57,7601,[1]فروردین!$D$2:$D$57,$F$30,[1]فروردین!$AA$2:$AA$57,Q3)</f>
        <v>0</v>
      </c>
      <c r="R30" s="191">
        <f>SUMIFS([1]فروردین!$AD$2:$AD$57,[1]فروردین!$N$2:$N$57,7601,[1]فروردین!$D$2:$D$57,$F$30,[1]فروردین!$AA$2:$AA$57,R3)</f>
        <v>0</v>
      </c>
      <c r="S30" s="102">
        <f>SUMIFS([1]فروردین!$AD$2:$AD$57,[1]فروردین!$N$2:$N$57,7601,[1]فروردین!$D$2:$D$57,$F$30,[1]فروردین!$AA$2:$AA$57,S3)</f>
        <v>0</v>
      </c>
      <c r="T30" s="102">
        <f>SUMIFS([1]فروردین!$AD$2:$AD$57,[1]فروردین!$N$2:$N$57,7601,[1]فروردین!$D$2:$D$57,$F$30,[1]فروردین!$AA$2:$AA$57,T3)</f>
        <v>0</v>
      </c>
      <c r="U30" s="115">
        <f>SUMIFS([1]فروردین!$AD$2:$AD$57,[1]فروردین!$N$2:$N$57,7601,[1]فروردین!$D$2:$D$57,$F$30,[1]فروردین!$AA$2:$AA$57,U3)</f>
        <v>0</v>
      </c>
    </row>
    <row r="31" spans="1:21" ht="42" customHeight="1" x14ac:dyDescent="0.25">
      <c r="A31" s="912">
        <v>15</v>
      </c>
      <c r="B31" s="83" t="s">
        <v>26</v>
      </c>
      <c r="C31" s="266">
        <v>7602</v>
      </c>
      <c r="D31" s="266">
        <v>68</v>
      </c>
      <c r="E31" s="914" t="s">
        <v>15</v>
      </c>
      <c r="F31" s="84" t="s">
        <v>27</v>
      </c>
      <c r="G31" s="9">
        <f t="shared" si="0"/>
        <v>0</v>
      </c>
      <c r="H31" s="46">
        <f t="shared" si="1"/>
        <v>0</v>
      </c>
      <c r="I31" s="85">
        <v>16</v>
      </c>
      <c r="J31" s="85">
        <v>0</v>
      </c>
      <c r="K31" s="85">
        <v>29.5</v>
      </c>
      <c r="L31" s="85">
        <v>0</v>
      </c>
      <c r="M31" s="87">
        <f>(J31+J32+I32+I31+H31+H32+G32+G31)-D31</f>
        <v>-52</v>
      </c>
      <c r="N31" s="916" t="s">
        <v>29</v>
      </c>
      <c r="O31" s="165">
        <f>SUMIFS([1]فروردین!$AD$2:$AD$57,[1]فروردین!$N$2:$N$57,7602,[1]فروردین!$D$2:$D$57,$F$31,[1]فروردین!$AA$2:$AA$57,O3)</f>
        <v>0</v>
      </c>
      <c r="P31" s="169">
        <f>SUMIFS([1]فروردین!$AD$2:$AD$57,[1]فروردین!$N$2:$N$57,7602,[1]فروردین!$D$2:$D$57,$F$31,[1]فروردین!$AA$2:$AA$57,P3)</f>
        <v>0</v>
      </c>
      <c r="Q31" s="169">
        <f>SUMIFS([1]فروردین!$AD$2:$AD$57,[1]فروردین!$N$2:$N$57,7602,[1]فروردین!$D$2:$D$57,$F$31,[1]فروردین!$AA$2:$AA$57,Q3)</f>
        <v>0</v>
      </c>
      <c r="R31" s="169">
        <f>SUMIFS([1]فروردین!$AD$2:$AD$57,[1]فروردین!$N$2:$N$57,7602,[1]فروردین!$D$2:$D$57,$F$31,[1]فروردین!$AA$2:$AA$57,R3)</f>
        <v>0</v>
      </c>
      <c r="S31" s="98">
        <f>SUMIFS([1]فروردین!$AD$2:$AD$57,[1]فروردین!$N$2:$N$57,7602,[1]فروردین!$D$2:$D$57,$F$31,[1]فروردین!$AA$2:$AA$57,S3)</f>
        <v>0</v>
      </c>
      <c r="T31" s="98">
        <f>SUMIFS([1]فروردین!$AD$2:$AD$57,[1]فروردین!$N$2:$N$57,7602,[1]فروردین!$D$2:$D$57,$F$31,[1]فروردین!$AA$2:$AA$57,T3)</f>
        <v>0</v>
      </c>
      <c r="U31" s="107">
        <f>SUMIFS([1]فروردین!$AD$2:$AD$57,[1]فروردین!$N$2:$N$57,7602,[1]فروردین!$D$2:$D$57,$F$31,[1]فروردین!$AA$2:$AA$57,U3)</f>
        <v>0</v>
      </c>
    </row>
    <row r="32" spans="1:21" ht="42" customHeight="1" thickBot="1" x14ac:dyDescent="0.3">
      <c r="A32" s="913"/>
      <c r="B32" s="123"/>
      <c r="C32" s="270"/>
      <c r="D32" s="270"/>
      <c r="E32" s="915"/>
      <c r="F32" s="124"/>
      <c r="G32" s="6">
        <f t="shared" si="0"/>
        <v>0</v>
      </c>
      <c r="H32" s="64">
        <f t="shared" si="1"/>
        <v>0</v>
      </c>
      <c r="I32" s="125">
        <v>0</v>
      </c>
      <c r="J32" s="125">
        <v>0</v>
      </c>
      <c r="K32" s="126">
        <v>0</v>
      </c>
      <c r="L32" s="126">
        <v>0</v>
      </c>
      <c r="M32" s="127"/>
      <c r="N32" s="917"/>
      <c r="O32" s="167">
        <f>SUMIFS([1]فروردین!$AD$2:$AD$57,[1]فروردین!$N$2:$N$57,7602,[1]فروردین!$D$2:$D$57,$F$32,[1]فروردین!$AA$2:$AA$57,O3)</f>
        <v>0</v>
      </c>
      <c r="P32" s="175">
        <f>SUMIFS([1]فروردین!$AD$2:$AD$57,[1]فروردین!$N$2:$N$57,7602,[1]فروردین!$D$2:$D$57,$F$32,[1]فروردین!$AA$2:$AA$57,P3)</f>
        <v>0</v>
      </c>
      <c r="Q32" s="175">
        <f>SUMIFS([1]فروردین!$AD$2:$AD$57,[1]فروردین!$N$2:$N$57,7602,[1]فروردین!$D$2:$D$57,$F$32,[1]فروردین!$AA$2:$AA$57,Q3)</f>
        <v>0</v>
      </c>
      <c r="R32" s="175">
        <f>SUMIFS([1]فروردین!$AD$2:$AD$57,[1]فروردین!$N$2:$N$57,7602,[1]فروردین!$D$2:$D$57,$F$32,[1]فروردین!$AA$2:$AA$57,R3)</f>
        <v>0</v>
      </c>
      <c r="S32" s="97">
        <f>SUMIFS([1]فروردین!$AD$2:$AD$57,[1]فروردین!$N$2:$N$57,7602,[1]فروردین!$D$2:$D$57,$F$32,[1]فروردین!$AA$2:$AA$57,S3)</f>
        <v>0</v>
      </c>
      <c r="T32" s="97">
        <f>SUMIFS([1]فروردین!$AD$2:$AD$57,[1]فروردین!$N$2:$N$57,7602,[1]فروردین!$D$2:$D$57,$F$32,[1]فروردین!$AA$2:$AA$57,T3)</f>
        <v>0</v>
      </c>
      <c r="U32" s="114">
        <f>SUMIFS([1]فروردین!$AD$2:$AD$57,[1]فروردین!$N$2:$N$57,7602,[1]فروردین!$D$2:$D$57,$F$32,[1]فروردین!$AA$2:$AA$57,U3)</f>
        <v>0</v>
      </c>
    </row>
    <row r="33" spans="1:21" ht="36" customHeight="1" x14ac:dyDescent="0.25">
      <c r="A33" s="912">
        <v>16</v>
      </c>
      <c r="B33" s="257" t="s">
        <v>26</v>
      </c>
      <c r="C33" s="244">
        <v>7603</v>
      </c>
      <c r="D33" s="244">
        <v>68</v>
      </c>
      <c r="E33" s="943" t="s">
        <v>15</v>
      </c>
      <c r="F33" s="84" t="s">
        <v>27</v>
      </c>
      <c r="G33" s="9">
        <f t="shared" si="0"/>
        <v>0</v>
      </c>
      <c r="H33" s="46">
        <f t="shared" si="1"/>
        <v>0</v>
      </c>
      <c r="I33" s="9">
        <v>0</v>
      </c>
      <c r="J33" s="9">
        <v>0</v>
      </c>
      <c r="K33" s="9">
        <v>29.5</v>
      </c>
      <c r="L33" s="9">
        <v>0</v>
      </c>
      <c r="M33" s="23">
        <f>(J33+J34+I34+I33+H33+H34+G34+G33+L33+L34)-D33</f>
        <v>-68</v>
      </c>
      <c r="N33" s="945" t="s">
        <v>13</v>
      </c>
      <c r="O33" s="165">
        <f>SUMIFS([1]فروردین!$AD$2:$AD$57,[1]فروردین!$N$2:$N$57,7603,[1]فروردین!$D$2:$D$57,$F$33,[1]فروردین!$AA$2:$AA$57,O3)</f>
        <v>0</v>
      </c>
      <c r="P33" s="169">
        <f>SUMIFS([1]فروردین!$AD$2:$AD$57,[1]فروردین!$N$2:$N$57,7603,[1]فروردین!$D$2:$D$57,$F$33,[1]فروردین!$AA$2:$AA$57,P3)</f>
        <v>0</v>
      </c>
      <c r="Q33" s="169">
        <f>SUMIFS([1]فروردین!$AD$2:$AD$57,[1]فروردین!$N$2:$N$57,7603,[1]فروردین!$D$2:$D$57,$F$33,[1]فروردین!$AA$2:$AA$57,Q3)</f>
        <v>0</v>
      </c>
      <c r="R33" s="169">
        <f>SUMIFS([1]فروردین!$AD$2:$AD$57,[1]فروردین!$N$2:$N$57,7603,[1]فروردین!$D$2:$D$57,$F$33,[1]فروردین!$AA$2:$AA$57,R3)</f>
        <v>0</v>
      </c>
      <c r="S33" s="98">
        <f>SUMIFS([1]فروردین!$AD$2:$AD$57,[1]فروردین!$N$2:$N$57,7603,[1]فروردین!$D$2:$D$57,$F$33,[1]فروردین!$AA$2:$AA$57,S3)</f>
        <v>0</v>
      </c>
      <c r="T33" s="98">
        <f>SUMIFS([1]فروردین!$AD$2:$AD$57,[1]فروردین!$N$2:$N$57,7603,[1]فروردین!$D$2:$D$57,$F$33,[1]فروردین!$AA$2:$AA$57,T3)</f>
        <v>0</v>
      </c>
      <c r="U33" s="107">
        <f>SUMIFS([1]فروردین!$AD$2:$AD$57,[1]فروردین!$N$2:$N$57,7603,[1]فروردین!$D$2:$D$57,$F$33,[1]فروردین!$AA$2:$AA$57,U3)</f>
        <v>0</v>
      </c>
    </row>
    <row r="34" spans="1:21" ht="36" customHeight="1" thickBot="1" x14ac:dyDescent="0.3">
      <c r="A34" s="942"/>
      <c r="B34" s="258"/>
      <c r="C34" s="247"/>
      <c r="D34" s="247"/>
      <c r="E34" s="944"/>
      <c r="F34" s="5"/>
      <c r="G34" s="1">
        <f t="shared" si="0"/>
        <v>0</v>
      </c>
      <c r="H34" s="49">
        <f t="shared" si="1"/>
        <v>0</v>
      </c>
      <c r="I34" s="7">
        <v>0</v>
      </c>
      <c r="J34" s="7">
        <v>0</v>
      </c>
      <c r="K34" s="6">
        <v>0</v>
      </c>
      <c r="L34" s="6">
        <v>0</v>
      </c>
      <c r="M34" s="8"/>
      <c r="N34" s="946"/>
      <c r="O34" s="171">
        <f>SUMIFS([1]فروردین!$AD$2:$AD$57,[1]فروردین!$N$2:$N$57,7603,[1]فروردین!$D$2:$D$57,$F$34,[1]فروردین!$AA$2:$AA$57,O3)</f>
        <v>0</v>
      </c>
      <c r="P34" s="172">
        <f>SUMIFS([1]فروردین!$AD$2:$AD$57,[1]فروردین!$N$2:$N$57,7603,[1]فروردین!$D$2:$D$57,$F$34,[1]فروردین!$AA$2:$AA$57,P3)</f>
        <v>0</v>
      </c>
      <c r="Q34" s="172">
        <f>SUMIFS([1]فروردین!$AD$2:$AD$57,[1]فروردین!$N$2:$N$57,7603,[1]فروردین!$D$2:$D$57,$F$34,[1]فروردین!$AA$2:$AA$57,Q3)</f>
        <v>0</v>
      </c>
      <c r="R34" s="172">
        <f>SUMIFS([1]فروردین!$AD$2:$AD$57,[1]فروردین!$N$2:$N$57,7603,[1]فروردین!$D$2:$D$57,$F$34,[1]فروردین!$AA$2:$AA$57,R3)</f>
        <v>0</v>
      </c>
      <c r="S34" s="103">
        <f>SUMIFS([1]فروردین!$AD$2:$AD$57,[1]فروردین!$N$2:$N$57,7603,[1]فروردین!$D$2:$D$57,$F$34,[1]فروردین!$AA$2:$AA$57,S3)</f>
        <v>0</v>
      </c>
      <c r="T34" s="103">
        <f>SUMIFS([1]فروردین!$AD$2:$AD$57,[1]فروردین!$N$2:$N$57,7603,[1]فروردین!$D$2:$D$57,$F$34,[1]فروردین!$AA$2:$AA$57,T3)</f>
        <v>0</v>
      </c>
      <c r="U34" s="109">
        <f>SUMIFS([1]فروردین!$AD$2:$AD$57,[1]فروردین!$N$2:$N$57,7603,[1]فروردین!$D$2:$D$57,$F$34,[1]فروردین!$AA$2:$AA$57,U3)</f>
        <v>0</v>
      </c>
    </row>
    <row r="35" spans="1:21" ht="36" customHeight="1" x14ac:dyDescent="0.25">
      <c r="A35" s="912">
        <v>17</v>
      </c>
      <c r="B35" s="81" t="s">
        <v>26</v>
      </c>
      <c r="C35" s="90">
        <v>7604</v>
      </c>
      <c r="D35" s="267">
        <v>68</v>
      </c>
      <c r="E35" s="947" t="s">
        <v>19</v>
      </c>
      <c r="F35" s="79"/>
      <c r="G35" s="9">
        <f t="shared" si="0"/>
        <v>0</v>
      </c>
      <c r="H35" s="46">
        <f t="shared" si="1"/>
        <v>0</v>
      </c>
      <c r="I35" s="80">
        <v>0</v>
      </c>
      <c r="J35" s="80">
        <v>68</v>
      </c>
      <c r="K35" s="80">
        <v>0</v>
      </c>
      <c r="L35" s="80">
        <v>0</v>
      </c>
      <c r="M35" s="60">
        <f>(J35+J36+I35+I36+H36+H35+G35+G36)-D35</f>
        <v>0</v>
      </c>
      <c r="N35" s="949" t="s">
        <v>28</v>
      </c>
      <c r="O35" s="203"/>
      <c r="P35" s="204"/>
      <c r="Q35" s="204"/>
      <c r="R35" s="204"/>
      <c r="S35" s="104"/>
      <c r="T35" s="104"/>
      <c r="U35" s="116"/>
    </row>
    <row r="36" spans="1:21" ht="36" customHeight="1" thickBot="1" x14ac:dyDescent="0.3">
      <c r="A36" s="913"/>
      <c r="B36" s="213"/>
      <c r="C36" s="254"/>
      <c r="D36" s="245"/>
      <c r="E36" s="948"/>
      <c r="F36" s="24"/>
      <c r="G36" s="1">
        <f t="shared" si="0"/>
        <v>0</v>
      </c>
      <c r="H36" s="49">
        <f t="shared" si="1"/>
        <v>0</v>
      </c>
      <c r="I36" s="25">
        <v>0</v>
      </c>
      <c r="J36" s="25">
        <v>0</v>
      </c>
      <c r="K36" s="4">
        <v>0</v>
      </c>
      <c r="L36" s="4">
        <v>0</v>
      </c>
      <c r="M36" s="60"/>
      <c r="N36" s="950"/>
      <c r="O36" s="200"/>
      <c r="P36" s="194"/>
      <c r="Q36" s="194"/>
      <c r="R36" s="194"/>
      <c r="S36" s="105"/>
      <c r="T36" s="105"/>
      <c r="U36" s="117"/>
    </row>
    <row r="37" spans="1:21" ht="36" customHeight="1" x14ac:dyDescent="0.25">
      <c r="A37" s="954">
        <v>18</v>
      </c>
      <c r="B37" s="83" t="s">
        <v>26</v>
      </c>
      <c r="C37" s="266">
        <v>7605</v>
      </c>
      <c r="D37" s="266">
        <v>68</v>
      </c>
      <c r="E37" s="914" t="s">
        <v>15</v>
      </c>
      <c r="F37" s="84" t="s">
        <v>27</v>
      </c>
      <c r="G37" s="85">
        <f t="shared" si="0"/>
        <v>0</v>
      </c>
      <c r="H37" s="86">
        <f t="shared" si="1"/>
        <v>0</v>
      </c>
      <c r="I37" s="85">
        <v>8</v>
      </c>
      <c r="J37" s="85">
        <v>0</v>
      </c>
      <c r="K37" s="85">
        <v>29.5</v>
      </c>
      <c r="L37" s="153">
        <v>0</v>
      </c>
      <c r="M37" s="87">
        <f>(G37+H37+I37+J37+K37+L37)-D37</f>
        <v>-30.5</v>
      </c>
      <c r="N37" s="955"/>
      <c r="O37" s="187">
        <f>SUMIFS([1]فروردین!$AD$2:$AD$57,[1]فروردین!$N$2:$N$57,7605,[1]فروردین!$D$2:$D$57,$F$37,[1]فروردین!$AA$2:$AA$57,O3)</f>
        <v>0</v>
      </c>
      <c r="P37" s="188">
        <f>SUMIFS([1]فروردین!$AD$2:$AD$57,[1]فروردین!$N$2:$N$57,7605,[1]فروردین!$D$2:$D$57,$F$37,[1]فروردین!$AA$2:$AA$57,P3)</f>
        <v>0</v>
      </c>
      <c r="Q37" s="188">
        <f>SUMIFS([1]فروردین!$AD$2:$AD$57,[1]فروردین!$N$2:$N$57,7605,[1]فروردین!$D$2:$D$57,$F$37,[1]فروردین!$AA$2:$AA$57,Q3)</f>
        <v>0</v>
      </c>
      <c r="R37" s="188">
        <f>SUMIFS([1]فروردین!$AD$2:$AD$57,[1]فروردین!$N$2:$N$57,7605,[1]فروردین!$D$2:$D$57,$F$37,[1]فروردین!$AA$2:$AA$57,R3)</f>
        <v>0</v>
      </c>
      <c r="S37" s="145">
        <f>SUMIFS([1]فروردین!$AD$2:$AD$57,[1]فروردین!$N$2:$N$57,7605,[1]فروردین!$D$2:$D$57,$F$37,[1]فروردین!$AA$2:$AA$57,S3)</f>
        <v>0</v>
      </c>
      <c r="T37" s="145">
        <f>SUMIFS([1]فروردین!$AD$2:$AD$57,[1]فروردین!$N$2:$N$57,7605,[1]فروردین!$D$2:$D$57,$F$37,[1]فروردین!$AA$2:$AA$57,T3)</f>
        <v>0</v>
      </c>
      <c r="U37" s="128">
        <f>SUMIFS([1]فروردین!$AD$2:$AD$57,[1]فروردین!$N$2:$N$57,7605,[1]فروردین!$D$2:$D$57,$F$37,[1]فروردین!$AA$2:$AA$57,U3)</f>
        <v>0</v>
      </c>
    </row>
    <row r="38" spans="1:21" ht="36" customHeight="1" thickBot="1" x14ac:dyDescent="0.3">
      <c r="A38" s="942"/>
      <c r="B38" s="123"/>
      <c r="C38" s="270"/>
      <c r="D38" s="270"/>
      <c r="E38" s="915"/>
      <c r="F38" s="124"/>
      <c r="G38" s="93">
        <f t="shared" si="0"/>
        <v>0</v>
      </c>
      <c r="H38" s="92">
        <f t="shared" si="1"/>
        <v>0</v>
      </c>
      <c r="I38" s="125">
        <v>0</v>
      </c>
      <c r="J38" s="125">
        <v>0</v>
      </c>
      <c r="K38" s="126">
        <v>0</v>
      </c>
      <c r="L38" s="126">
        <v>0</v>
      </c>
      <c r="M38" s="154"/>
      <c r="N38" s="917"/>
      <c r="O38" s="190">
        <f>SUMIFS([1]فروردین!$AD$2:$AD$57,[1]فروردین!$N$2:$N$57,7605,[1]فروردین!$D$2:$D$57,$F$38,[1]فروردین!$AA$2:$AA$57,O3)</f>
        <v>0</v>
      </c>
      <c r="P38" s="191">
        <f>SUMIFS([1]فروردین!$AD$2:$AD$57,[1]فروردین!$N$2:$N$57,7605,[1]فروردین!$D$2:$D$57,$F$38,[1]فروردین!$AA$2:$AA$57,P3)</f>
        <v>0</v>
      </c>
      <c r="Q38" s="191">
        <f>SUMIFS([1]فروردین!$AD$2:$AD$57,[1]فروردین!$N$2:$N$57,7605,[1]فروردین!$D$2:$D$57,$F$38,[1]فروردین!$AA$2:$AA$57,Q3)</f>
        <v>0</v>
      </c>
      <c r="R38" s="191">
        <f>SUMIFS([1]فروردین!$AD$2:$AD$57,[1]فروردین!$N$2:$N$57,7605,[1]فروردین!$D$2:$D$57,$F$38,[1]فروردین!$AA$2:$AA$57,R3)</f>
        <v>0</v>
      </c>
      <c r="S38" s="102">
        <f>SUMIFS([1]فروردین!$AD$2:$AD$57,[1]فروردین!$N$2:$N$57,7605,[1]فروردین!$D$2:$D$57,$F$38,[1]فروردین!$AA$2:$AA$57,S3)</f>
        <v>0</v>
      </c>
      <c r="T38" s="102">
        <f>SUMIFS([1]فروردین!$AD$2:$AD$57,[1]فروردین!$N$2:$N$57,7605,[1]فروردین!$D$2:$D$57,$F$38,[1]فروردین!$AA$2:$AA$57,T3)</f>
        <v>0</v>
      </c>
      <c r="U38" s="115">
        <f>SUMIFS([1]فروردین!$AD$2:$AD$57,[1]فروردین!$N$2:$N$57,7605,[1]فروردین!$D$2:$D$57,$F$38,[1]فروردین!$AA$2:$AA$57,U3)</f>
        <v>0</v>
      </c>
    </row>
    <row r="39" spans="1:21" ht="36" customHeight="1" x14ac:dyDescent="0.25">
      <c r="A39" s="229"/>
      <c r="B39" s="248"/>
      <c r="C39" s="244"/>
      <c r="D39" s="244"/>
      <c r="E39" s="244"/>
      <c r="F39" s="20"/>
      <c r="G39" s="9">
        <f t="shared" si="0"/>
        <v>0</v>
      </c>
      <c r="H39" s="46">
        <f t="shared" si="1"/>
        <v>0</v>
      </c>
      <c r="I39" s="9">
        <v>0</v>
      </c>
      <c r="J39" s="9">
        <v>0</v>
      </c>
      <c r="K39" s="9">
        <v>0</v>
      </c>
      <c r="L39" s="9">
        <v>0</v>
      </c>
      <c r="M39" s="28"/>
      <c r="N39" s="945" t="s">
        <v>13</v>
      </c>
      <c r="O39" s="165">
        <f>SUMIFS([1]فروردین!$AD$2:$AD$57,[1]فروردین!$N$2:$N$57,7701,[1]فروردین!$D$2:$D$57,$F$39,[1]فروردین!$AA$2:$AA$57,O3)</f>
        <v>0</v>
      </c>
      <c r="P39" s="169">
        <f>SUMIFS([1]فروردین!$AD$2:$AD$57,[1]فروردین!$N$2:$N$57,7701,[1]فروردین!$D$2:$D$57,$F$39,[1]فروردین!$AA$2:$AA$57,P3)</f>
        <v>0</v>
      </c>
      <c r="Q39" s="169">
        <f>SUMIFS([1]فروردین!$AD$2:$AD$57,[1]فروردین!$N$2:$N$57,7701,[1]فروردین!$D$2:$D$57,$F$39,[1]فروردین!$AA$2:$AA$57,Q3)</f>
        <v>0</v>
      </c>
      <c r="R39" s="169">
        <f>SUMIFS([1]فروردین!$AD$2:$AD$57,[1]فروردین!$N$2:$N$57,7701,[1]فروردین!$D$2:$D$57,$F$39,[1]فروردین!$AA$2:$AA$57,R3)</f>
        <v>0</v>
      </c>
      <c r="S39" s="98">
        <f>SUMIFS([1]فروردین!$AD$2:$AD$57,[1]فروردین!$N$2:$N$57,7701,[1]فروردین!$D$2:$D$57,$F$39,[1]فروردین!$AA$2:$AA$57,S3)</f>
        <v>0</v>
      </c>
      <c r="T39" s="98">
        <f>SUMIFS([1]فروردین!$AD$2:$AD$57,[1]فروردین!$N$2:$N$57,7701,[1]فروردین!$D$2:$D$57,$F$39,[1]فروردین!$AA$2:$AA$57,T3)</f>
        <v>0</v>
      </c>
      <c r="U39" s="107">
        <f>SUMIFS([1]فروردین!$AD$2:$AD$57,[1]فروردین!$N$2:$N$57,7701,[1]فروردین!$D$2:$D$57,$F$39,[1]فروردین!$AA$2:$AA$57,U3)</f>
        <v>0</v>
      </c>
    </row>
    <row r="40" spans="1:21" ht="36" customHeight="1" x14ac:dyDescent="0.25">
      <c r="A40" s="214">
        <v>19</v>
      </c>
      <c r="B40" s="256" t="s">
        <v>30</v>
      </c>
      <c r="C40" s="259">
        <v>7701</v>
      </c>
      <c r="D40" s="259">
        <v>62.5</v>
      </c>
      <c r="E40" s="259" t="s">
        <v>15</v>
      </c>
      <c r="F40" s="29"/>
      <c r="G40" s="3">
        <f t="shared" si="0"/>
        <v>0</v>
      </c>
      <c r="H40" s="47">
        <f t="shared" si="1"/>
        <v>0</v>
      </c>
      <c r="I40" s="3">
        <v>0</v>
      </c>
      <c r="J40" s="25">
        <v>0</v>
      </c>
      <c r="K40" s="25">
        <v>0</v>
      </c>
      <c r="L40" s="70">
        <v>0</v>
      </c>
      <c r="M40" s="4">
        <f>(J39+J40+J41+I41+I40+I39+H39+H40+H41+G41+G40+G39)-D40</f>
        <v>-62.5</v>
      </c>
      <c r="N40" s="956"/>
      <c r="O40" s="166">
        <f>SUMIFS([1]فروردین!$AD$2:$AD$57,[1]فروردین!$N$2:$N$57,7701,[1]فروردین!$D$2:$D$57,$F$40,[1]فروردین!$AA$2:$AA$57,O3)</f>
        <v>0</v>
      </c>
      <c r="P40" s="168">
        <f>SUMIFS([1]فروردین!$AD$2:$AD$57,[1]فروردین!$N$2:$N$57,7701,[1]فروردین!$D$2:$D$57,$F$40,[1]فروردین!$AA$2:$AA$57,P3)</f>
        <v>0</v>
      </c>
      <c r="Q40" s="168">
        <f>SUMIFS([1]فروردین!$AD$2:$AD$57,[1]فروردین!$N$2:$N$57,7701,[1]فروردین!$D$2:$D$57,$F$40,[1]فروردین!$AA$2:$AA$57,Q3)</f>
        <v>0</v>
      </c>
      <c r="R40" s="168">
        <f>SUMIFS([1]فروردین!$AD$2:$AD$57,[1]فروردین!$N$2:$N$57,7701,[1]فروردین!$D$2:$D$57,$F$40,[1]فروردین!$AA$2:$AA$57,R3)</f>
        <v>0</v>
      </c>
      <c r="S40" s="96">
        <f>SUMIFS([1]فروردین!$AD$2:$AD$57,[1]فروردین!$N$2:$N$57,7701,[1]فروردین!$D$2:$D$57,$F$40,[1]فروردین!$AA$2:$AA$57,S3)</f>
        <v>0</v>
      </c>
      <c r="T40" s="96">
        <f>SUMIFS([1]فروردین!$AD$2:$AD$57,[1]فروردین!$N$2:$N$57,7701,[1]فروردین!$D$2:$D$57,$F$40,[1]فروردین!$AA$2:$AA$57,T3)</f>
        <v>0</v>
      </c>
      <c r="U40" s="108">
        <f>SUMIFS([1]فروردین!$AD$2:$AD$57,[1]فروردین!$N$2:$N$57,7701,[1]فروردین!$D$2:$D$57,$F$40,[1]فروردین!$AA$2:$AA$57,U3)</f>
        <v>0</v>
      </c>
    </row>
    <row r="41" spans="1:21" ht="36" customHeight="1" thickBot="1" x14ac:dyDescent="0.3">
      <c r="A41" s="230"/>
      <c r="B41" s="249"/>
      <c r="C41" s="247"/>
      <c r="D41" s="247"/>
      <c r="E41" s="247"/>
      <c r="F41" s="30"/>
      <c r="G41" s="1">
        <f t="shared" si="0"/>
        <v>0</v>
      </c>
      <c r="H41" s="49">
        <f t="shared" si="1"/>
        <v>0</v>
      </c>
      <c r="I41" s="7">
        <v>0</v>
      </c>
      <c r="J41" s="7">
        <v>0</v>
      </c>
      <c r="K41" s="7">
        <v>0</v>
      </c>
      <c r="L41" s="7">
        <v>0</v>
      </c>
      <c r="M41" s="8"/>
      <c r="N41" s="946"/>
      <c r="O41" s="167">
        <f>SUMIFS([1]فروردین!$AD$2:$AD$57,[1]فروردین!$N$2:$N$57,7701,[1]فروردین!$D$2:$D$57,$F$41,[1]فروردین!$AA$2:$AA$57,O3)</f>
        <v>0</v>
      </c>
      <c r="P41" s="175">
        <f>SUMIFS([1]فروردین!$AD$2:$AD$57,[1]فروردین!$N$2:$N$57,7701,[1]فروردین!$D$2:$D$57,$F$41,[1]فروردین!$AA$2:$AA$57,P3)</f>
        <v>0</v>
      </c>
      <c r="Q41" s="175">
        <f>SUMIFS([1]فروردین!$AD$2:$AD$57,[1]فروردین!$N$2:$N$57,7701,[1]فروردین!$D$2:$D$57,$F$41,[1]فروردین!$AA$2:$AA$57,Q3)</f>
        <v>0</v>
      </c>
      <c r="R41" s="175">
        <f>SUMIFS([1]فروردین!$AD$2:$AD$57,[1]فروردین!$N$2:$N$57,7701,[1]فروردین!$D$2:$D$57,$F$41,[1]فروردین!$AA$2:$AA$57,R3)</f>
        <v>0</v>
      </c>
      <c r="S41" s="97">
        <f>SUMIFS([1]فروردین!$AD$2:$AD$57,[1]فروردین!$N$2:$N$57,7701,[1]فروردین!$D$2:$D$57,$F$41,[1]فروردین!$AA$2:$AA$57,S3)</f>
        <v>0</v>
      </c>
      <c r="T41" s="97">
        <f>SUMIFS([1]فروردین!$AD$2:$AD$57,[1]فروردین!$N$2:$N$57,7701,[1]فروردین!$D$2:$D$57,$F$41,[1]فروردین!$AA$2:$AA$57,T3)</f>
        <v>0</v>
      </c>
      <c r="U41" s="114">
        <f>SUMIFS([1]فروردین!$AD$2:$AD$57,[1]فروردین!$N$2:$N$57,7701,[1]فروردین!$D$2:$D$57,$F$41,[1]فروردین!$AA$2:$AA$57,U3)</f>
        <v>0</v>
      </c>
    </row>
    <row r="42" spans="1:21" ht="36" customHeight="1" thickBot="1" x14ac:dyDescent="0.3">
      <c r="A42" s="230">
        <v>20</v>
      </c>
      <c r="B42" s="216" t="s">
        <v>63</v>
      </c>
      <c r="C42" s="246">
        <v>8009</v>
      </c>
      <c r="D42" s="246">
        <v>62.5</v>
      </c>
      <c r="E42" s="246" t="s">
        <v>15</v>
      </c>
      <c r="F42" s="54"/>
      <c r="G42" s="9">
        <f t="shared" si="0"/>
        <v>0</v>
      </c>
      <c r="H42" s="46">
        <f t="shared" si="1"/>
        <v>0</v>
      </c>
      <c r="I42" s="4">
        <v>0</v>
      </c>
      <c r="J42" s="4">
        <v>0</v>
      </c>
      <c r="K42" s="4">
        <v>0</v>
      </c>
      <c r="L42" s="4">
        <v>0</v>
      </c>
      <c r="M42" s="4">
        <f>SUM(G42:J42)-62</f>
        <v>-62</v>
      </c>
      <c r="N42" s="264" t="s">
        <v>31</v>
      </c>
      <c r="O42" s="181">
        <f>SUMIFS([1]فروردین!$AD$2:$AD$57,[1]فروردین!$N$2:$N$57,8009,[1]فروردین!$D$2:$D$57,$F$42,[1]فروردین!$AA$2:$AA$57,O3)</f>
        <v>0</v>
      </c>
      <c r="P42" s="182">
        <f>SUMIFS([1]فروردین!$AD$2:$AD$57,[1]فروردین!$N$2:$N$57,8009,[1]فروردین!$D$2:$D$57,$F$42,[1]فروردین!$AA$2:$AA$57,P3)</f>
        <v>0</v>
      </c>
      <c r="Q42" s="182">
        <f>SUMIFS([1]فروردین!$AD$2:$AD$57,[1]فروردین!$N$2:$N$57,8009,[1]فروردین!$D$2:$D$57,$F$42,[1]فروردین!$AA$2:$AA$57,Q3)</f>
        <v>0</v>
      </c>
      <c r="R42" s="182">
        <f>SUMIFS([1]فروردین!$AD$2:$AD$57,[1]فروردین!$N$2:$N$57,8009,[1]فروردین!$D$2:$D$57,$F$42,[1]فروردین!$AA$2:$AA$57,R3)</f>
        <v>0</v>
      </c>
      <c r="S42" s="211">
        <f>SUMIFS([1]فروردین!$AD$2:$AD$57,[1]فروردین!$N$2:$N$57,8009,[1]فروردین!$D$2:$D$57,$F$42,[1]فروردین!$AA$2:$AA$57,S3)</f>
        <v>0</v>
      </c>
      <c r="T42" s="211">
        <f>SUMIFS([1]فروردین!$AD$2:$AD$57,[1]فروردین!$N$2:$N$57,8009,[1]فروردین!$D$2:$D$57,$F$42,[1]فروردین!$AA$2:$AA$57,T3)</f>
        <v>0</v>
      </c>
      <c r="U42" s="156">
        <f>SUMIFS([1]فروردین!$AD$2:$AD$57,[1]فروردین!$N$2:$N$57,8009,[1]فروردین!$D$2:$D$57,$F$42,[1]فروردین!$AA$2:$AA$57,U3)</f>
        <v>0</v>
      </c>
    </row>
    <row r="43" spans="1:21" ht="36" customHeight="1" thickBot="1" x14ac:dyDescent="0.3">
      <c r="A43" s="229">
        <v>21</v>
      </c>
      <c r="B43" s="12" t="s">
        <v>32</v>
      </c>
      <c r="C43" s="13">
        <v>8002</v>
      </c>
      <c r="D43" s="13">
        <v>44</v>
      </c>
      <c r="E43" s="13" t="s">
        <v>15</v>
      </c>
      <c r="F43" s="31" t="s">
        <v>23</v>
      </c>
      <c r="G43" s="9">
        <f t="shared" si="0"/>
        <v>0</v>
      </c>
      <c r="H43" s="46">
        <f t="shared" si="1"/>
        <v>0</v>
      </c>
      <c r="I43" s="14">
        <v>44</v>
      </c>
      <c r="J43" s="14">
        <v>0</v>
      </c>
      <c r="K43" s="14">
        <v>0</v>
      </c>
      <c r="L43" s="14">
        <v>0</v>
      </c>
      <c r="M43" s="14">
        <f>SUM(G43:L43)-(D43)</f>
        <v>0</v>
      </c>
      <c r="N43" s="250" t="s">
        <v>29</v>
      </c>
      <c r="O43" s="278">
        <f>SUMIFS([1]فروردین!$AD$2:$AD$57,[1]فروردین!$N$2:$N$57,8002,[1]فروردین!$D$2:$D$57,$F$43,[1]فروردین!$AA$2:$AA$57,O3)</f>
        <v>0</v>
      </c>
      <c r="P43" s="279">
        <f>SUMIFS([1]فروردین!$AD$2:$AD$57,[1]فروردین!$N$2:$N$57,8002,[1]فروردین!$D$2:$D$57,$F$43,[1]فروردین!$AA$2:$AA$57,P3)</f>
        <v>0</v>
      </c>
      <c r="Q43" s="279">
        <f>SUMIFS([1]فروردین!$AD$2:$AD$57,[1]فروردین!$N$2:$N$57,8002,[1]فروردین!$D$2:$D$57,$F$43,[1]فروردین!$AA$2:$AA$57,Q3)</f>
        <v>0</v>
      </c>
      <c r="R43" s="279">
        <f>SUMIFS([1]فروردین!$AD$2:$AD$57,[1]فروردین!$N$2:$N$57,8002,[1]فروردین!$D$2:$D$57,$F$43,[1]فروردین!$AA$2:$AA$57,R3)</f>
        <v>0</v>
      </c>
      <c r="S43" s="280">
        <f>SUMIFS([1]فروردین!$AD$2:$AD$57,[1]فروردین!$N$2:$N$57,8002,[1]فروردین!$D$2:$D$57,$F$43,[1]فروردین!$AA$2:$AA$57,S3)</f>
        <v>0</v>
      </c>
      <c r="T43" s="280">
        <f>SUMIFS([1]فروردین!$AD$2:$AD$57,[1]فروردین!$N$2:$N$57,8002,[1]فروردین!$D$2:$D$57,$F$43,[1]فروردین!$AA$2:$AA$57,T3)</f>
        <v>0</v>
      </c>
      <c r="U43" s="281">
        <f>SUMIFS([1]فروردین!$AD$2:$AD$57,[1]فروردین!$N$2:$N$57,8002,[1]فروردین!$D$2:$D$57,$F$43,[1]فروردین!$AA$2:$AA$57,U3)</f>
        <v>0</v>
      </c>
    </row>
    <row r="44" spans="1:21" ht="36" customHeight="1" x14ac:dyDescent="0.25">
      <c r="A44" s="957">
        <v>22</v>
      </c>
      <c r="B44" s="961" t="s">
        <v>33</v>
      </c>
      <c r="C44" s="943" t="s">
        <v>33</v>
      </c>
      <c r="D44" s="932">
        <v>62.5</v>
      </c>
      <c r="E44" s="943"/>
      <c r="F44" s="32" t="s">
        <v>16</v>
      </c>
      <c r="G44" s="9">
        <f t="shared" si="0"/>
        <v>0</v>
      </c>
      <c r="H44" s="46">
        <f t="shared" si="1"/>
        <v>0</v>
      </c>
      <c r="I44" s="9">
        <v>0</v>
      </c>
      <c r="J44" s="9">
        <v>0</v>
      </c>
      <c r="K44" s="9">
        <v>30</v>
      </c>
      <c r="L44" s="9">
        <v>0</v>
      </c>
      <c r="M44" s="9">
        <f>(SUM(G44:L44))-D44</f>
        <v>-32.5</v>
      </c>
      <c r="N44" s="33" t="s">
        <v>29</v>
      </c>
      <c r="O44" s="165">
        <f>SUMIFS([1]فروردین!$AD$2:$AD$57,[1]فروردین!$N$2:$N$57,"مونتاژ",[1]فروردین!$D$2:$D$57,$F$44,[1]فروردین!$AA$2:$AA$57,O3)</f>
        <v>0</v>
      </c>
      <c r="P44" s="169">
        <f>SUMIFS([1]فروردین!$AD$2:$AD$57,[1]فروردین!$N$2:$N$57,"مونتاژ",[1]فروردین!$D$2:$D$57,$F$44,[1]فروردین!$AA$2:$AA$57,P3)</f>
        <v>0</v>
      </c>
      <c r="Q44" s="169">
        <f>SUMIFS([1]فروردین!$AD$2:$AD$57,[1]فروردین!$N$2:$N$57,"مونتاژ",[1]فروردین!$D$2:$D$57,$F$44,[1]فروردین!$AA$2:$AA$57,Q3)</f>
        <v>0</v>
      </c>
      <c r="R44" s="169">
        <f>SUMIFS([1]فروردین!$AD$2:$AD$57,[1]فروردین!$N$2:$N$57,"مونتاژ",[1]فروردین!$D$2:$D$57,$F$44,[1]فروردین!$AA$2:$AA$57,R3)</f>
        <v>0</v>
      </c>
      <c r="S44" s="98">
        <f>SUMIFS([1]فروردین!$AD$2:$AD$57,[1]فروردین!$N$2:$N$57,"مونتاژ",[1]فروردین!$D$2:$D$57,$F$44,[1]فروردین!$AA$2:$AA$57,S3)</f>
        <v>0</v>
      </c>
      <c r="T44" s="98">
        <f>SUMIFS([1]فروردین!$AD$2:$AD$57,[1]فروردین!$N$2:$N$57,"مونتاژ",[1]فروردین!$D$2:$D$57,$F$44,[1]فروردین!$AA$2:$AA$57,T3)</f>
        <v>0</v>
      </c>
      <c r="U44" s="107">
        <f>SUMIFS([1]فروردین!$AD$2:$AD$57,[1]فروردین!$N$2:$N$57,"مونتاژ",[1]فروردین!$D$2:$D$57,$F$44,[1]فروردین!$AA$2:$AA$57,U3)</f>
        <v>0</v>
      </c>
    </row>
    <row r="45" spans="1:21" ht="36" customHeight="1" x14ac:dyDescent="0.25">
      <c r="A45" s="958"/>
      <c r="B45" s="962"/>
      <c r="C45" s="965"/>
      <c r="D45" s="933"/>
      <c r="E45" s="965"/>
      <c r="F45" s="29"/>
      <c r="G45" s="3">
        <f t="shared" si="0"/>
        <v>0</v>
      </c>
      <c r="H45" s="47">
        <f t="shared" si="1"/>
        <v>0</v>
      </c>
      <c r="I45" s="3">
        <v>0</v>
      </c>
      <c r="J45" s="3">
        <v>0</v>
      </c>
      <c r="K45" s="3">
        <v>0</v>
      </c>
      <c r="L45" s="3">
        <v>0</v>
      </c>
      <c r="M45" s="3">
        <f>(SUM(G45:L45))-D44</f>
        <v>-62.5</v>
      </c>
      <c r="N45" s="62"/>
      <c r="O45" s="166">
        <f>SUMIFS([1]فروردین!$AD$2:$AD$57,[1]فروردین!$N$2:$N$57,"مونتاژ",[1]فروردین!$D$2:$D$57,$F$45,[1]فروردین!$AA$2:$AA$57,O3)</f>
        <v>0</v>
      </c>
      <c r="P45" s="168">
        <f>SUMIFS([1]فروردین!$AD$2:$AD$57,[1]فروردین!$N$2:$N$57,"مونتاژ",[1]فروردین!$D$2:$D$57,$F$45,[1]فروردین!$AA$2:$AA$57,P3)</f>
        <v>0</v>
      </c>
      <c r="Q45" s="168">
        <f>SUMIFS([1]فروردین!$AD$2:$AD$57,[1]فروردین!$N$2:$N$57,"مونتاژ",[1]فروردین!$D$2:$D$57,$F$45,[1]فروردین!$AA$2:$AA$57,Q3)</f>
        <v>0</v>
      </c>
      <c r="R45" s="168">
        <f>SUMIFS([1]فروردین!$AD$2:$AD$57,[1]فروردین!$N$2:$N$57,"مونتاژ",[1]فروردین!$D$2:$D$57,$F$45,[1]فروردین!$AA$2:$AA$57,R3)</f>
        <v>0</v>
      </c>
      <c r="S45" s="96">
        <f>SUMIFS([1]فروردین!$AD$2:$AD$57,[1]فروردین!$N$2:$N$57,"مونتاژ",[1]فروردین!$D$2:$D$57,$F$45,[1]فروردین!$AA$2:$AA$57,S3)</f>
        <v>0</v>
      </c>
      <c r="T45" s="96">
        <f>SUMIFS([1]فروردین!$AD$2:$AD$57,[1]فروردین!$N$2:$N$57,"مونتاژ",[1]فروردین!$D$2:$D$57,$F$45,[1]فروردین!$AA$2:$AA$57,T3)</f>
        <v>0</v>
      </c>
      <c r="U45" s="108">
        <f>SUMIFS([1]فروردین!$AD$2:$AD$57,[1]فروردین!$N$2:$N$57,"مونتاژ",[1]فروردین!$D$2:$D$57,$F$45,[1]فروردین!$AA$2:$AA$57,U3)</f>
        <v>0</v>
      </c>
    </row>
    <row r="46" spans="1:21" ht="36" customHeight="1" x14ac:dyDescent="0.25">
      <c r="A46" s="959"/>
      <c r="B46" s="963"/>
      <c r="C46" s="966"/>
      <c r="D46" s="933"/>
      <c r="E46" s="966"/>
      <c r="F46" s="29" t="s">
        <v>54</v>
      </c>
      <c r="G46" s="3">
        <f t="shared" si="0"/>
        <v>0</v>
      </c>
      <c r="H46" s="47">
        <f t="shared" si="1"/>
        <v>0</v>
      </c>
      <c r="I46" s="3">
        <v>0</v>
      </c>
      <c r="J46" s="3">
        <v>0</v>
      </c>
      <c r="K46" s="3">
        <v>30</v>
      </c>
      <c r="L46" s="3">
        <v>0</v>
      </c>
      <c r="M46" s="3">
        <f>(SUM(G46:L46))-62</f>
        <v>-32</v>
      </c>
      <c r="N46" s="58"/>
      <c r="O46" s="166">
        <f>SUMIFS([1]فروردین!$AD$2:$AD$57,[1]فروردین!$N$2:$N$57,"مونتاژ",[1]فروردین!$D$2:$D$57,$F$46,[1]فروردین!$AA$2:$AA$57,O3)</f>
        <v>0</v>
      </c>
      <c r="P46" s="168">
        <f>SUMIFS([1]فروردین!$AD$2:$AD$57,[1]فروردین!$N$2:$N$57,"مونتاژ",[1]فروردین!$D$2:$D$57,$F$46,[1]فروردین!$AA$2:$AA$57,P3)</f>
        <v>0</v>
      </c>
      <c r="Q46" s="168">
        <f>SUMIFS([1]فروردین!$AD$2:$AD$57,[1]فروردین!$N$2:$N$57,"مونتاژ",[1]فروردین!$D$2:$D$57,$F$46,[1]فروردین!$AA$2:$AA$57,Q3)</f>
        <v>0</v>
      </c>
      <c r="R46" s="168">
        <f>SUMIFS([1]فروردین!$AD$2:$AD$57,[1]فروردین!$N$2:$N$57,"مونتاژ",[1]فروردین!$D$2:$D$57,$F$46,[1]فروردین!$AA$2:$AA$57,R3)</f>
        <v>0</v>
      </c>
      <c r="S46" s="96">
        <f>SUMIFS([1]فروردین!$AD$2:$AD$57,[1]فروردین!$N$2:$N$57,"مونتاژ",[1]فروردین!$D$2:$D$57,$F$46,[1]فروردین!$AA$2:$AA$57,S3)</f>
        <v>0</v>
      </c>
      <c r="T46" s="96">
        <f>SUMIFS([1]فروردین!$AD$2:$AD$57,[1]فروردین!$N$2:$N$57,"مونتاژ",[1]فروردین!$D$2:$D$57,$F$46,[1]فروردین!$AA$2:$AA$57,T3)</f>
        <v>0</v>
      </c>
      <c r="U46" s="108">
        <f>SUMIFS([1]فروردین!$AD$2:$AD$57,[1]فروردین!$N$2:$N$57,"مونتاژ",[1]فروردین!$D$2:$D$57,$F$46,[1]فروردین!$AA$2:$AA$57,U3)</f>
        <v>0</v>
      </c>
    </row>
    <row r="47" spans="1:21" ht="36" customHeight="1" thickBot="1" x14ac:dyDescent="0.3">
      <c r="A47" s="960"/>
      <c r="B47" s="964"/>
      <c r="C47" s="944"/>
      <c r="D47" s="934"/>
      <c r="E47" s="944"/>
      <c r="F47" s="30"/>
      <c r="G47" s="6">
        <f t="shared" si="0"/>
        <v>0</v>
      </c>
      <c r="H47" s="64">
        <f t="shared" si="1"/>
        <v>0</v>
      </c>
      <c r="I47" s="7">
        <v>0</v>
      </c>
      <c r="J47" s="7">
        <v>0</v>
      </c>
      <c r="K47" s="7">
        <v>0</v>
      </c>
      <c r="L47" s="7">
        <v>0</v>
      </c>
      <c r="M47" s="7">
        <f>SUM(G47:J47)-62</f>
        <v>-62</v>
      </c>
      <c r="N47" s="34"/>
      <c r="O47" s="167">
        <f>SUMIFS([1]فروردین!$AD$2:$AD$57,[1]فروردین!$N$2:$N$57,"مونتاژ",[1]فروردین!$D$2:$D$57,$F$47,[1]فروردین!$AA$2:$AA$57,O3)</f>
        <v>0</v>
      </c>
      <c r="P47" s="175">
        <f>SUMIFS([1]فروردین!$AD$2:$AD$57,[1]فروردین!$N$2:$N$57,"مونتاژ",[1]فروردین!$D$2:$D$57,$F$47,[1]فروردین!$AA$2:$AA$57,P3)</f>
        <v>0</v>
      </c>
      <c r="Q47" s="175">
        <f>SUMIFS([1]فروردین!$AD$2:$AD$57,[1]فروردین!$N$2:$N$57,"مونتاژ",[1]فروردین!$D$2:$D$57,$F$47,[1]فروردین!$AA$2:$AA$57,Q3)</f>
        <v>0</v>
      </c>
      <c r="R47" s="175">
        <f>SUMIFS([1]فروردین!$AD$2:$AD$57,[1]فروردین!$N$2:$N$57,"مونتاژ",[1]فروردین!$D$2:$D$57,$F$47,[1]فروردین!$AA$2:$AA$57,R3)</f>
        <v>0</v>
      </c>
      <c r="S47" s="97">
        <f>SUMIFS([1]فروردین!$AD$2:$AD$57,[1]فروردین!$N$2:$N$57,"مونتاژ",[1]فروردین!$D$2:$D$57,$F$47,[1]فروردین!$AA$2:$AA$57,S3)</f>
        <v>0</v>
      </c>
      <c r="T47" s="97">
        <f>SUMIFS([1]فروردین!$AD$2:$AD$57,[1]فروردین!$N$2:$N$57,"مونتاژ",[1]فروردین!$D$2:$D$57,$F$47,[1]فروردین!$AA$2:$AA$57,T3)</f>
        <v>0</v>
      </c>
      <c r="U47" s="114">
        <f>SUMIFS([1]فروردین!$AD$2:$AD$57,[1]فروردین!$N$2:$N$57,"مونتاژ",[1]فروردین!$D$2:$D$57,$F$47,[1]فروردین!$AA$2:$AA$57,U3)</f>
        <v>0</v>
      </c>
    </row>
    <row r="48" spans="1:21" ht="36" customHeight="1" x14ac:dyDescent="0.25">
      <c r="A48" s="967">
        <v>23</v>
      </c>
      <c r="B48" s="961" t="s">
        <v>33</v>
      </c>
      <c r="C48" s="943" t="s">
        <v>34</v>
      </c>
      <c r="D48" s="932">
        <v>62.5</v>
      </c>
      <c r="E48" s="943"/>
      <c r="F48" s="32" t="s">
        <v>16</v>
      </c>
      <c r="G48" s="9">
        <f t="shared" si="0"/>
        <v>0</v>
      </c>
      <c r="H48" s="46">
        <f t="shared" si="1"/>
        <v>0</v>
      </c>
      <c r="I48" s="9">
        <v>0</v>
      </c>
      <c r="J48" s="9">
        <v>0</v>
      </c>
      <c r="K48" s="9">
        <v>30</v>
      </c>
      <c r="L48" s="9">
        <v>0</v>
      </c>
      <c r="M48" s="9">
        <f>SUM(G48:L48)-62</f>
        <v>-32</v>
      </c>
      <c r="N48" s="56"/>
      <c r="O48" s="165">
        <f>SUMIFS([1]فروردین!$AD$2:$AD$57,[1]فروردین!$N$2:$N$57,"دمونتاژ",[1]فروردین!$D$2:$D$57,$F$48,[1]فروردین!$AA$2:$AA$57,O3)</f>
        <v>0</v>
      </c>
      <c r="P48" s="169">
        <f>SUMIFS([1]فروردین!$AD$2:$AD$57,[1]فروردین!$N$2:$N$57,"دمونتاژ",[1]فروردین!$D$2:$D$57,$F$48,[1]فروردین!$AA$2:$AA$57,P3)</f>
        <v>0</v>
      </c>
      <c r="Q48" s="169">
        <f>SUMIFS([1]فروردین!$AD$2:$AD$57,[1]فروردین!$N$2:$N$57,"دمونتاژ",[1]فروردین!$D$2:$D$57,$F$48,[1]فروردین!$AA$2:$AA$57,Q3)</f>
        <v>0</v>
      </c>
      <c r="R48" s="169">
        <f>SUMIFS([1]فروردین!$AD$2:$AD$57,[1]فروردین!$N$2:$N$57,"دمونتاژ",[1]فروردین!$D$2:$D$57,$F$48,[1]فروردین!$AA$2:$AA$57,R3)</f>
        <v>0</v>
      </c>
      <c r="S48" s="98">
        <f>SUMIFS([1]فروردین!$AD$2:$AD$57,[1]فروردین!$N$2:$N$57,"دمونتاژ",[1]فروردین!$D$2:$D$57,$F$48,[1]فروردین!$AA$2:$AA$57,S3)</f>
        <v>0</v>
      </c>
      <c r="T48" s="98">
        <f>SUMIFS([1]فروردین!$AD$2:$AD$57,[1]فروردین!$N$2:$N$57,"دمونتاژ",[1]فروردین!$D$2:$D$57,$F$48,[1]فروردین!$AA$2:$AA$57,T3)</f>
        <v>0</v>
      </c>
      <c r="U48" s="107">
        <f>SUMIFS([1]فروردین!$AD$2:$AD$57,[1]فروردین!$N$2:$N$57,"دمونتاژ",[1]فروردین!$D$2:$D$57,$F$48,[1]فروردین!$AA$2:$AA$57,U3)</f>
        <v>0</v>
      </c>
    </row>
    <row r="49" spans="1:21" ht="36" customHeight="1" x14ac:dyDescent="0.25">
      <c r="A49" s="967"/>
      <c r="B49" s="962"/>
      <c r="C49" s="965"/>
      <c r="D49" s="933"/>
      <c r="E49" s="965"/>
      <c r="F49" s="29"/>
      <c r="G49" s="3">
        <f t="shared" si="0"/>
        <v>0</v>
      </c>
      <c r="H49" s="47">
        <f t="shared" si="1"/>
        <v>0</v>
      </c>
      <c r="I49" s="3">
        <v>0</v>
      </c>
      <c r="J49" s="3">
        <v>0</v>
      </c>
      <c r="K49" s="3">
        <v>0</v>
      </c>
      <c r="L49" s="3">
        <v>0</v>
      </c>
      <c r="M49" s="3">
        <f>SUM(G49:L49)-62</f>
        <v>-62</v>
      </c>
      <c r="N49" s="62"/>
      <c r="O49" s="166">
        <f>SUMIFS([1]فروردین!$AD$2:$AD$57,[1]فروردین!$N$2:$N$57,"دمونتاژ",[1]فروردین!$D$2:$D$57,$F$49,[1]فروردین!$AA$2:$AA$57,O3)</f>
        <v>0</v>
      </c>
      <c r="P49" s="168">
        <f>SUMIFS([1]فروردین!$AD$2:$AD$57,[1]فروردین!$N$2:$N$57,"دمونتاژ",[1]فروردین!$D$2:$D$57,$F$49,[1]فروردین!$AA$2:$AA$57,P3)</f>
        <v>0</v>
      </c>
      <c r="Q49" s="168">
        <f>SUMIFS([1]فروردین!$AD$2:$AD$57,[1]فروردین!$N$2:$N$57,"دمونتاژ",[1]فروردین!$D$2:$D$57,$F$49,[1]فروردین!$AA$2:$AA$57,Q3)</f>
        <v>0</v>
      </c>
      <c r="R49" s="168">
        <f>SUMIFS([1]فروردین!$AD$2:$AD$57,[1]فروردین!$N$2:$N$57,"دمونتاژ",[1]فروردین!$D$2:$D$57,$F$49,[1]فروردین!$AA$2:$AA$57,R3)</f>
        <v>0</v>
      </c>
      <c r="S49" s="96">
        <f>SUMIFS([1]فروردین!$AD$2:$AD$57,[1]فروردین!$N$2:$N$57,"دمونتاژ",[1]فروردین!$D$2:$D$57,$F$49,[1]فروردین!$AA$2:$AA$57,S3)</f>
        <v>0</v>
      </c>
      <c r="T49" s="96">
        <f>SUMIFS([1]فروردین!$AD$2:$AD$57,[1]فروردین!$N$2:$N$57,"دمونتاژ",[1]فروردین!$D$2:$D$57,$F$49,[1]فروردین!$AA$2:$AA$57,T3)</f>
        <v>0</v>
      </c>
      <c r="U49" s="108">
        <f>SUMIFS([1]فروردین!$AD$2:$AD$57,[1]فروردین!$N$2:$N$57,"دمونتاژ",[1]فروردین!$D$2:$D$57,$F$49,[1]فروردین!$AA$2:$AA$57,U3)</f>
        <v>0</v>
      </c>
    </row>
    <row r="50" spans="1:21" ht="36" customHeight="1" x14ac:dyDescent="0.25">
      <c r="A50" s="967"/>
      <c r="B50" s="962"/>
      <c r="C50" s="965"/>
      <c r="D50" s="933"/>
      <c r="E50" s="965"/>
      <c r="F50" s="29" t="s">
        <v>54</v>
      </c>
      <c r="G50" s="3">
        <f t="shared" si="0"/>
        <v>0</v>
      </c>
      <c r="H50" s="47">
        <f t="shared" si="1"/>
        <v>0</v>
      </c>
      <c r="I50" s="3">
        <v>0</v>
      </c>
      <c r="J50" s="3">
        <v>0</v>
      </c>
      <c r="K50" s="3">
        <v>30</v>
      </c>
      <c r="L50" s="3">
        <v>0</v>
      </c>
      <c r="M50" s="3">
        <f>SUM(G50:L50)-62</f>
        <v>-32</v>
      </c>
      <c r="N50" s="62"/>
      <c r="O50" s="166">
        <f>SUMIFS([1]فروردین!$AD$2:$AD$57,[1]فروردین!$N$2:$N$57,"دمونتاژ",[1]فروردین!$D$2:$D$57,$F$50,[1]فروردین!$AA$2:$AA$57,O3)</f>
        <v>0</v>
      </c>
      <c r="P50" s="168">
        <f>SUMIFS([1]فروردین!$AD$2:$AD$57,[1]فروردین!$N$2:$N$57,"دمونتاژ",[1]فروردین!$D$2:$D$57,$F$50,[1]فروردین!$AA$2:$AA$57,P3)</f>
        <v>0</v>
      </c>
      <c r="Q50" s="168">
        <f>SUMIFS([1]فروردین!$AD$2:$AD$57,[1]فروردین!$N$2:$N$57,"دمونتاژ",[1]فروردین!$D$2:$D$57,$F$50,[1]فروردین!$AA$2:$AA$57,Q3)</f>
        <v>0</v>
      </c>
      <c r="R50" s="168">
        <f>SUMIFS([1]فروردین!$AD$2:$AD$57,[1]فروردین!$N$2:$N$57,"دمونتاژ",[1]فروردین!$D$2:$D$57,$F$50,[1]فروردین!$AA$2:$AA$57,R3)</f>
        <v>0</v>
      </c>
      <c r="S50" s="96">
        <f>SUMIFS([1]فروردین!$AD$2:$AD$57,[1]فروردین!$N$2:$N$57,"دمونتاژ",[1]فروردین!$D$2:$D$57,$F$50,[1]فروردین!$AA$2:$AA$57,S3)</f>
        <v>0</v>
      </c>
      <c r="T50" s="96">
        <f>SUMIFS([1]فروردین!$AD$2:$AD$57,[1]فروردین!$N$2:$N$57,"دمونتاژ",[1]فروردین!$D$2:$D$57,$F$50,[1]فروردین!$AA$2:$AA$57,T3)</f>
        <v>0</v>
      </c>
      <c r="U50" s="108">
        <f>SUMIFS([1]فروردین!$AD$2:$AD$57,[1]فروردین!$N$2:$N$57,"دمونتاژ",[1]فروردین!$D$2:$D$57,$F$50,[1]فروردین!$AA$2:$AA$57,U3)</f>
        <v>0</v>
      </c>
    </row>
    <row r="51" spans="1:21" ht="36" customHeight="1" thickBot="1" x14ac:dyDescent="0.3">
      <c r="A51" s="967"/>
      <c r="B51" s="963"/>
      <c r="C51" s="966"/>
      <c r="D51" s="934"/>
      <c r="E51" s="245"/>
      <c r="F51" s="245"/>
      <c r="G51" s="4">
        <f t="shared" si="0"/>
        <v>0</v>
      </c>
      <c r="H51" s="49">
        <f t="shared" si="1"/>
        <v>0</v>
      </c>
      <c r="I51" s="25">
        <v>0</v>
      </c>
      <c r="J51" s="25">
        <v>0</v>
      </c>
      <c r="K51" s="25">
        <v>0</v>
      </c>
      <c r="L51" s="25">
        <v>0</v>
      </c>
      <c r="M51" s="25">
        <f>SUM(G51:L51)-62</f>
        <v>-62</v>
      </c>
      <c r="N51" s="58"/>
      <c r="O51" s="171">
        <f>SUMIFS([1]فروردین!$AD$2:$AD$57,[1]فروردین!$N$2:$N$57,"دمونتاژ",[1]فروردین!$D$2:$D$57,$F$51,[1]فروردین!$AA$2:$AA$57,O3)</f>
        <v>0</v>
      </c>
      <c r="P51" s="172">
        <f>SUMIFS([1]فروردین!$AD$2:$AD$57,[1]فروردین!$N$2:$N$57,"دمونتاژ",[1]فروردین!$D$2:$D$57,$F$51,[1]فروردین!$AA$2:$AA$57,P3)</f>
        <v>0</v>
      </c>
      <c r="Q51" s="172">
        <f>SUMIFS([1]فروردین!$AD$2:$AD$57,[1]فروردین!$N$2:$N$57,"دمونتاژ",[1]فروردین!$D$2:$D$57,$F$51,[1]فروردین!$AA$2:$AA$57,Q3)</f>
        <v>0</v>
      </c>
      <c r="R51" s="172">
        <f>SUMIFS([1]فروردین!$AD$2:$AD$57,[1]فروردین!$N$2:$N$57,"دمونتاژ",[1]فروردین!$D$2:$D$57,$F$51,[1]فروردین!$AA$2:$AA$57,R3)</f>
        <v>0</v>
      </c>
      <c r="S51" s="103">
        <f>SUMIFS([1]فروردین!$AD$2:$AD$57,[1]فروردین!$N$2:$N$57,"دمونتاژ",[1]فروردین!$D$2:$D$57,$F$51,[1]فروردین!$AA$2:$AA$57,S3)</f>
        <v>0</v>
      </c>
      <c r="T51" s="103">
        <f>SUMIFS([1]فروردین!$AD$2:$AD$57,[1]فروردین!$N$2:$N$57,"دمونتاژ",[1]فروردین!$D$2:$D$57,$F$51,[1]فروردین!$AA$2:$AA$57,T3)</f>
        <v>0</v>
      </c>
      <c r="U51" s="109">
        <f>SUMIFS([1]فروردین!$AD$2:$AD$57,[1]فروردین!$N$2:$N$57,"دمونتاژ",[1]فروردین!$D$2:$D$57,$F$51,[1]فروردین!$AA$2:$AA$57,U3)</f>
        <v>0</v>
      </c>
    </row>
    <row r="52" spans="1:21" ht="42.75" customHeight="1" thickBot="1" x14ac:dyDescent="0.3">
      <c r="A52" s="951" t="s">
        <v>49</v>
      </c>
      <c r="B52" s="952"/>
      <c r="C52" s="952"/>
      <c r="D52" s="952"/>
      <c r="E52" s="952"/>
      <c r="F52" s="953"/>
      <c r="G52" s="148">
        <f>SUM(G4:G50)-G43</f>
        <v>0</v>
      </c>
      <c r="H52" s="148">
        <f>SUM(H4:H51)</f>
        <v>0</v>
      </c>
      <c r="I52" s="148">
        <f>SUM(I4:I51)</f>
        <v>90</v>
      </c>
      <c r="J52" s="148">
        <f>SUM(J4:J51)</f>
        <v>159.5</v>
      </c>
      <c r="K52" s="148">
        <f t="shared" ref="K52:L52" si="2">SUM(K4:K51)</f>
        <v>267.2</v>
      </c>
      <c r="L52" s="148">
        <f t="shared" si="2"/>
        <v>0</v>
      </c>
      <c r="M52" s="149">
        <f>SUMIFS(M4:M51,F4:F51,"*")</f>
        <v>-334.5</v>
      </c>
      <c r="N52" s="306"/>
      <c r="O52" s="197">
        <f>SUM(O4:O51)</f>
        <v>0</v>
      </c>
      <c r="P52" s="198">
        <f t="shared" ref="P52:U52" si="3">SUM(P4:P51)</f>
        <v>0</v>
      </c>
      <c r="Q52" s="198">
        <f t="shared" si="3"/>
        <v>0</v>
      </c>
      <c r="R52" s="198">
        <f t="shared" si="3"/>
        <v>0</v>
      </c>
      <c r="S52" s="199">
        <f t="shared" si="3"/>
        <v>0</v>
      </c>
      <c r="T52" s="199">
        <f t="shared" si="3"/>
        <v>0</v>
      </c>
      <c r="U52" s="150">
        <f t="shared" si="3"/>
        <v>0</v>
      </c>
    </row>
  </sheetData>
  <mergeCells count="36">
    <mergeCell ref="A52:F52"/>
    <mergeCell ref="A37:A38"/>
    <mergeCell ref="E37:E38"/>
    <mergeCell ref="N37:N38"/>
    <mergeCell ref="N39:N41"/>
    <mergeCell ref="A44:A47"/>
    <mergeCell ref="B44:B47"/>
    <mergeCell ref="C44:C47"/>
    <mergeCell ref="D44:D47"/>
    <mergeCell ref="E44:E47"/>
    <mergeCell ref="A48:A51"/>
    <mergeCell ref="B48:B51"/>
    <mergeCell ref="C48:C51"/>
    <mergeCell ref="D48:D51"/>
    <mergeCell ref="E48:E50"/>
    <mergeCell ref="A33:A34"/>
    <mergeCell ref="E33:E34"/>
    <mergeCell ref="N33:N34"/>
    <mergeCell ref="A35:A36"/>
    <mergeCell ref="E35:E36"/>
    <mergeCell ref="N35:N36"/>
    <mergeCell ref="A31:A32"/>
    <mergeCell ref="E31:E32"/>
    <mergeCell ref="N31:N32"/>
    <mergeCell ref="A1:L2"/>
    <mergeCell ref="O1:U2"/>
    <mergeCell ref="N4:N6"/>
    <mergeCell ref="N16:N18"/>
    <mergeCell ref="N20:N22"/>
    <mergeCell ref="E23:E25"/>
    <mergeCell ref="N23:N25"/>
    <mergeCell ref="E26:E28"/>
    <mergeCell ref="N26:N28"/>
    <mergeCell ref="A29:A30"/>
    <mergeCell ref="E29:E30"/>
    <mergeCell ref="N29:N30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8 M5" formulaRange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1E36-15F2-4D41-BE2D-12038A70554E}">
  <sheetPr>
    <pageSetUpPr fitToPage="1"/>
  </sheetPr>
  <dimension ref="A1:U52"/>
  <sheetViews>
    <sheetView rightToLeft="1" view="pageLayout" zoomScaleNormal="100" workbookViewId="0">
      <selection activeCell="M5" sqref="M5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5703125" customWidth="1"/>
    <col min="15" max="20" width="6.42578125" style="52" hidden="1" customWidth="1"/>
    <col min="21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2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3</v>
      </c>
      <c r="O2" s="925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137" t="s">
        <v>0</v>
      </c>
      <c r="B3" s="138" t="s">
        <v>64</v>
      </c>
      <c r="C3" s="132" t="s">
        <v>1</v>
      </c>
      <c r="D3" s="132" t="s">
        <v>2</v>
      </c>
      <c r="E3" s="132" t="s">
        <v>3</v>
      </c>
      <c r="F3" s="133" t="s">
        <v>4</v>
      </c>
      <c r="G3" s="134" t="s">
        <v>5</v>
      </c>
      <c r="H3" s="135" t="s">
        <v>35</v>
      </c>
      <c r="I3" s="136" t="s">
        <v>6</v>
      </c>
      <c r="J3" s="134" t="s">
        <v>7</v>
      </c>
      <c r="K3" s="134" t="s">
        <v>8</v>
      </c>
      <c r="L3" s="134" t="s">
        <v>9</v>
      </c>
      <c r="M3" s="134" t="s">
        <v>10</v>
      </c>
      <c r="N3" s="311" t="s">
        <v>11</v>
      </c>
      <c r="O3" s="158" t="s">
        <v>65</v>
      </c>
      <c r="P3" s="158" t="s">
        <v>66</v>
      </c>
      <c r="Q3" s="158" t="s">
        <v>67</v>
      </c>
      <c r="R3" s="158" t="s">
        <v>68</v>
      </c>
      <c r="S3" s="158" t="s">
        <v>69</v>
      </c>
      <c r="T3" s="158" t="s">
        <v>70</v>
      </c>
      <c r="U3" s="119" t="s">
        <v>71</v>
      </c>
    </row>
    <row r="4" spans="1:21" ht="36" customHeight="1" x14ac:dyDescent="0.25">
      <c r="A4" s="68"/>
      <c r="B4" s="974" t="s">
        <v>14</v>
      </c>
      <c r="C4" s="932">
        <v>7101</v>
      </c>
      <c r="D4" s="990">
        <v>62.5</v>
      </c>
      <c r="E4" s="932" t="s">
        <v>15</v>
      </c>
      <c r="F4" s="253"/>
      <c r="G4" s="1">
        <f>SUM(O4:T4)</f>
        <v>0</v>
      </c>
      <c r="H4" s="49">
        <f>U4</f>
        <v>0</v>
      </c>
      <c r="I4" s="1">
        <f>SUMIFS([1]فروردین!$AF$27:$AF$157,[1]فروردین!$D$27:$D$157,F4)</f>
        <v>0</v>
      </c>
      <c r="J4" s="1">
        <v>0</v>
      </c>
      <c r="K4" s="1">
        <v>0</v>
      </c>
      <c r="L4" s="1">
        <v>0</v>
      </c>
      <c r="M4" s="65"/>
      <c r="N4" s="928" t="s">
        <v>43</v>
      </c>
      <c r="O4" s="165">
        <f>SUMIFS([1]فروردین!$AD$2:$AD$366,[1]فروردین!$N$2:$N$366,7101,[1]فروردین!$D$2:$D$366,$F$4,[1]فروردین!$AA$2:$AA$366,O3)</f>
        <v>0</v>
      </c>
      <c r="P4" s="169">
        <f>SUMIFS([1]فروردین!$AD$2:$AD$366,[1]فروردین!$N$2:$N$366,7101,[1]فروردین!$D$2:$D$366,$F$4,[1]فروردین!$AA$2:$AA$366,P3)</f>
        <v>0</v>
      </c>
      <c r="Q4" s="169">
        <f>SUMIFS([1]فروردین!$AD$2:$AD$366,[1]فروردین!$N$2:$N$366,7101,[1]فروردین!$D$2:$D$366,$F$4,[1]فروردین!$AA$2:$AA$366,Q3)</f>
        <v>0</v>
      </c>
      <c r="R4" s="169">
        <f>SUMIFS([1]فروردین!$AD$2:$AD$366,[1]فروردین!$N$2:$N$366,7101,[1]فروردین!$D$2:$D$366,$F$4,[1]فروردین!$AA$2:$AA$366,R3)</f>
        <v>0</v>
      </c>
      <c r="S4" s="169">
        <f>SUMIFS([1]فروردین!$AD$2:$AD$366,[1]فروردین!$N$2:$N$366,7101,[1]فروردین!$D$2:$D$366,$F$4,[1]فروردین!$AA$2:$AA$366,S3)</f>
        <v>0</v>
      </c>
      <c r="T4" s="169">
        <f>SUMIFS([1]فروردین!$AD$2:$AD$366,[1]فروردین!$N$2:$N$366,7101,[1]فروردین!$D$2:$D$366,$F$4,[1]فروردین!$AA$2:$AA$366,T3)</f>
        <v>0</v>
      </c>
      <c r="U4" s="107">
        <f>SUMIFS([1]فروردین!$AD$2:$AD$366,[1]فروردین!$N$2:$N$366,7101,[1]فروردین!$D$2:$D$366,$F$4,[1]فروردین!$AA$2:$AA$366,U3)</f>
        <v>0</v>
      </c>
    </row>
    <row r="5" spans="1:21" ht="36" customHeight="1" x14ac:dyDescent="0.25">
      <c r="A5" s="261">
        <v>1</v>
      </c>
      <c r="B5" s="975"/>
      <c r="C5" s="933"/>
      <c r="D5" s="991"/>
      <c r="E5" s="933"/>
      <c r="F5" s="259" t="s">
        <v>55</v>
      </c>
      <c r="G5" s="3">
        <f t="shared" ref="G5:G51" si="0">SUM(O5:T5)</f>
        <v>0</v>
      </c>
      <c r="H5" s="47">
        <f t="shared" ref="H5:H51" si="1">U5</f>
        <v>0</v>
      </c>
      <c r="I5" s="1">
        <f>SUMIFS([1]فروردین!$AF$27:$AF$157,[1]فروردین!$D$27:$D$157,F5)</f>
        <v>70</v>
      </c>
      <c r="J5" s="3">
        <v>0</v>
      </c>
      <c r="K5" s="3">
        <v>0</v>
      </c>
      <c r="L5" s="3">
        <v>0</v>
      </c>
      <c r="M5" s="4">
        <f>SUM(G4:G6)+SUM(H4:H6)+SUM(I4:I6)+SUM(L4:L6)+SUM(K4:K6)-D4</f>
        <v>7.5</v>
      </c>
      <c r="N5" s="929"/>
      <c r="O5" s="166">
        <f>SUMIFS([1]فروردین!$AD$2:$AD$366,[1]فروردین!$N$2:$N$366,7101,[1]فروردین!$D$2:$D$366,$F$5,[1]فروردین!$AA$2:$AA$366,O3)</f>
        <v>0</v>
      </c>
      <c r="P5" s="168">
        <f>SUMIFS([1]فروردین!$AD$2:$AD$366,[1]فروردین!$N$2:$N$366,7101,[1]فروردین!$D$2:$D$366,$F$5,[1]فروردین!$AA$2:$AA$366,P3)</f>
        <v>0</v>
      </c>
      <c r="Q5" s="168">
        <f>SUMIFS([1]فروردین!$AD$2:$AD$366,[1]فروردین!$N$2:$N$366,7101,[1]فروردین!$D$2:$D$366,$F$5,[1]فروردین!$AA$2:$AA$366,Q3)</f>
        <v>0</v>
      </c>
      <c r="R5" s="168">
        <f>SUMIFS([1]فروردین!$AD$2:$AD$366,[1]فروردین!$N$2:$N$366,7101,[1]فروردین!$D$2:$D$366,$F$5,[1]فروردین!$AA$2:$AA$366,R3)</f>
        <v>0</v>
      </c>
      <c r="S5" s="168">
        <f>SUMIFS([1]فروردین!$AD$2:$AD$366,[1]فروردین!$N$2:$N$366,7101,[1]فروردین!$D$2:$D$366,$F$5,[1]فروردین!$AA$2:$AA$366,S3)</f>
        <v>0</v>
      </c>
      <c r="T5" s="168">
        <f>SUMIFS([1]فروردین!$AD$2:$AD$366,[1]فروردین!$N$2:$N$366,7101,[1]فروردین!$D$2:$D$366,$F$5,[1]فروردین!$AA$2:$AA$366,T3)</f>
        <v>0</v>
      </c>
      <c r="U5" s="108">
        <f>SUMIFS([1]فروردین!$AD$2:$AD$366,[1]فروردین!$N$2:$N$366,7101,[1]فروردین!$D$2:$D$366,$F$5,[1]فروردین!$AA$2:$AA$366,U3)</f>
        <v>0</v>
      </c>
    </row>
    <row r="6" spans="1:21" ht="36" customHeight="1" thickBot="1" x14ac:dyDescent="0.3">
      <c r="A6" s="268"/>
      <c r="B6" s="976"/>
      <c r="C6" s="934"/>
      <c r="D6" s="992"/>
      <c r="E6" s="934"/>
      <c r="F6" s="24"/>
      <c r="G6" s="4">
        <f t="shared" si="0"/>
        <v>0</v>
      </c>
      <c r="H6" s="67">
        <f t="shared" si="1"/>
        <v>0</v>
      </c>
      <c r="I6" s="4">
        <f>SUMIFS([1]فروردین!$AF$27:$AF$157,[1]فروردین!$D$27:$D$157,F6)</f>
        <v>0</v>
      </c>
      <c r="J6" s="25">
        <v>0</v>
      </c>
      <c r="K6" s="4">
        <v>0</v>
      </c>
      <c r="L6" s="4">
        <v>0</v>
      </c>
      <c r="M6" s="65"/>
      <c r="N6" s="929"/>
      <c r="O6" s="167">
        <f>SUMIFS([1]فروردین!$AD$2:$AD$366,[1]فروردین!$N$2:$N$366,7101,[1]فروردین!$D$2:$D$366,$F$6,[1]فروردین!$AA$2:$AA$366,O3)</f>
        <v>0</v>
      </c>
      <c r="P6" s="175">
        <f>SUMIFS([1]فروردین!$AD$2:$AD$366,[1]فروردین!$N$2:$N$366,7101,[1]فروردین!$D$2:$D$366,$F$6,[1]فروردین!$AA$2:$AA$366,P3)</f>
        <v>0</v>
      </c>
      <c r="Q6" s="175">
        <f>SUMIFS([1]فروردین!$AD$2:$AD$366,[1]فروردین!$N$2:$N$366,7101,[1]فروردین!$D$2:$D$366,$F$6,[1]فروردین!$AA$2:$AA$366,Q3)</f>
        <v>0</v>
      </c>
      <c r="R6" s="175">
        <f>SUMIFS([1]فروردین!$AD$2:$AD$366,[1]فروردین!$N$2:$N$366,7101,[1]فروردین!$D$2:$D$366,$F$6,[1]فروردین!$AA$2:$AA$366,R3)</f>
        <v>0</v>
      </c>
      <c r="S6" s="175">
        <f>SUMIFS([1]فروردین!$AD$2:$AD$366,[1]فروردین!$N$2:$N$366,7101,[1]فروردین!$D$2:$D$366,$F$6,[1]فروردین!$AA$2:$AA$366,S3)</f>
        <v>0</v>
      </c>
      <c r="T6" s="175">
        <f>SUMIFS([1]فروردین!$AD$2:$AD$366,[1]فروردین!$N$2:$N$366,7101,[1]فروردین!$D$2:$D$366,$F$6,[1]فروردین!$AA$2:$AA$366,T3)</f>
        <v>0</v>
      </c>
      <c r="U6" s="114">
        <f>SUMIFS([1]فروردین!$AD$2:$AD$366,[1]فروردین!$N$2:$N$366,7101,[1]فروردین!$D$2:$D$366,$F$6,[1]فروردین!$AA$2:$AA$366,U3)</f>
        <v>0</v>
      </c>
    </row>
    <row r="7" spans="1:21" ht="36" customHeight="1" x14ac:dyDescent="0.25">
      <c r="A7" s="229"/>
      <c r="B7" s="974" t="s">
        <v>14</v>
      </c>
      <c r="C7" s="932">
        <v>7102</v>
      </c>
      <c r="D7" s="990">
        <v>62.5</v>
      </c>
      <c r="E7" s="932" t="s">
        <v>15</v>
      </c>
      <c r="F7" s="244"/>
      <c r="G7" s="9">
        <f t="shared" si="0"/>
        <v>0</v>
      </c>
      <c r="H7" s="46">
        <f t="shared" si="1"/>
        <v>0</v>
      </c>
      <c r="I7" s="9">
        <f>SUMIFS([1]فروردین!$AF$27:$AF$157,[1]فروردین!$D$27:$D$157,F7)</f>
        <v>0</v>
      </c>
      <c r="J7" s="9">
        <v>0</v>
      </c>
      <c r="K7" s="9">
        <v>0</v>
      </c>
      <c r="L7" s="9">
        <v>0</v>
      </c>
      <c r="M7" s="10"/>
      <c r="N7" s="250"/>
      <c r="O7" s="165">
        <f>SUMIFS([1]فروردین!$AD$2:$AD$366,[1]فروردین!$N$2:$N$366,7102,[1]فروردین!$D$2:$D$366,$F$7,[1]فروردین!$AA$2:$AA$366,O3)</f>
        <v>0</v>
      </c>
      <c r="P7" s="169">
        <f>SUMIFS([1]فروردین!$AD$2:$AD$366,[1]فروردین!$N$2:$N$366,7102,[1]فروردین!$D$2:$D$366,$F$7,[1]فروردین!$AA$2:$AA$366,P3)</f>
        <v>0</v>
      </c>
      <c r="Q7" s="169">
        <f>SUMIFS([1]فروردین!$AD$2:$AD$366,[1]فروردین!$N$2:$N$366,7102,[1]فروردین!$D$2:$D$366,$F$7,[1]فروردین!$AA$2:$AA$366,Q3)</f>
        <v>0</v>
      </c>
      <c r="R7" s="169">
        <f>SUMIFS([1]فروردین!$AD$2:$AD$366,[1]فروردین!$N$2:$N$366,7102,[1]فروردین!$D$2:$D$366,$F$7,[1]فروردین!$AA$2:$AA$366,R3)</f>
        <v>0</v>
      </c>
      <c r="S7" s="169">
        <f>SUMIFS([1]فروردین!$AD$2:$AD$366,[1]فروردین!$N$2:$N$366,7102,[1]فروردین!$D$2:$D$366,$F$7,[1]فروردین!$AA$2:$AA$366,S3)</f>
        <v>0</v>
      </c>
      <c r="T7" s="169">
        <f>SUMIFS([1]فروردین!$AD$2:$AD$366,[1]فروردین!$N$2:$N$366,7102,[1]فروردین!$D$2:$D$366,$F$7,[1]فروردین!$AA$2:$AA$366,T3)</f>
        <v>0</v>
      </c>
      <c r="U7" s="107">
        <f>SUMIFS([1]فروردین!$AD$2:$AD$366,[1]فروردین!$N$2:$N$366,7102,[1]فروردین!$D$2:$D$366,$F$7,[1]فروردین!$AA$2:$AA$366,U3)</f>
        <v>0</v>
      </c>
    </row>
    <row r="8" spans="1:21" ht="36" customHeight="1" x14ac:dyDescent="0.25">
      <c r="A8" s="214">
        <v>2</v>
      </c>
      <c r="B8" s="975"/>
      <c r="C8" s="933"/>
      <c r="D8" s="991"/>
      <c r="E8" s="933"/>
      <c r="F8" s="259"/>
      <c r="G8" s="3">
        <f t="shared" si="0"/>
        <v>0</v>
      </c>
      <c r="H8" s="47">
        <f t="shared" si="1"/>
        <v>0</v>
      </c>
      <c r="I8" s="1">
        <f>SUMIFS([1]فروردین!$AF$27:$AF$157,[1]فروردین!$D$27:$D$157,F8)</f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SUM(G7:G9)+SUM(H7:H9)+SUM(I7:I9)+SUM(J7:J9)+SUM(K7:K9)+SUM(L7:L9)-D7</f>
        <v>-62.5</v>
      </c>
      <c r="N8" s="251" t="s">
        <v>13</v>
      </c>
      <c r="O8" s="166">
        <f>SUMIFS([1]فروردین!$AD$2:$AD$366,[1]فروردین!$N$2:$N$366,7102,[1]فروردین!$D$2:$D$366,$F$8,[1]فروردین!$AA$2:$AA$366,O3)</f>
        <v>0</v>
      </c>
      <c r="P8" s="168">
        <f>SUMIFS([1]فروردین!$AD$2:$AD$366,[1]فروردین!$N$2:$N$366,7102,[1]فروردین!$D$2:$D$366,$F$8,[1]فروردین!$AA$2:$AA$366,P3)</f>
        <v>0</v>
      </c>
      <c r="Q8" s="168">
        <f>SUMIFS([1]فروردین!$AD$2:$AD$366,[1]فروردین!$N$2:$N$366,7102,[1]فروردین!$D$2:$D$366,$F$8,[1]فروردین!$AA$2:$AA$366,Q3)</f>
        <v>0</v>
      </c>
      <c r="R8" s="168">
        <f>SUMIFS([1]فروردین!$AD$2:$AD$366,[1]فروردین!$N$2:$N$366,7102,[1]فروردین!$D$2:$D$366,$F$8,[1]فروردین!$AA$2:$AA$366,R3)</f>
        <v>0</v>
      </c>
      <c r="S8" s="168">
        <f>SUMIFS([1]فروردین!$AD$2:$AD$366,[1]فروردین!$N$2:$N$366,7102,[1]فروردین!$D$2:$D$366,$F$8,[1]فروردین!$AA$2:$AA$366,S3)</f>
        <v>0</v>
      </c>
      <c r="T8" s="168">
        <f>SUMIFS([1]فروردین!$AD$2:$AD$366,[1]فروردین!$N$2:$N$366,7102,[1]فروردین!$D$2:$D$366,$F$8,[1]فروردین!$AA$2:$AA$366,T3)</f>
        <v>0</v>
      </c>
      <c r="U8" s="108">
        <f>SUMIFS([1]فروردین!$AD$2:$AD$366,[1]فروردین!$N$2:$N$366,7102,[1]فروردین!$D$2:$D$366,$F$8,[1]فروردین!$AA$2:$AA$366,U3)</f>
        <v>0</v>
      </c>
    </row>
    <row r="9" spans="1:21" ht="36" customHeight="1" thickBot="1" x14ac:dyDescent="0.3">
      <c r="A9" s="230"/>
      <c r="B9" s="976"/>
      <c r="C9" s="934"/>
      <c r="D9" s="992"/>
      <c r="E9" s="934"/>
      <c r="F9" s="5"/>
      <c r="G9" s="6">
        <f t="shared" si="0"/>
        <v>0</v>
      </c>
      <c r="H9" s="64">
        <f t="shared" si="1"/>
        <v>0</v>
      </c>
      <c r="I9" s="6">
        <f>SUMIFS([1]فروردین!$AF$27:$AF$157,[1]فروردین!$D$27:$D$157,F9)</f>
        <v>0</v>
      </c>
      <c r="J9" s="7">
        <v>0</v>
      </c>
      <c r="K9" s="6">
        <v>0</v>
      </c>
      <c r="L9" s="6">
        <v>0</v>
      </c>
      <c r="M9" s="11"/>
      <c r="N9" s="252"/>
      <c r="O9" s="171">
        <f>SUMIFS([1]فروردین!$AD$2:$AD$366,[1]فروردین!$N$2:$N$366,7102,[1]فروردین!$D$2:$D$366,$F$9,[1]فروردین!$AA$2:$AA$366,O3)</f>
        <v>0</v>
      </c>
      <c r="P9" s="172">
        <f>SUMIFS([1]فروردین!$AD$2:$AD$366,[1]فروردین!$N$2:$N$366,7102,[1]فروردین!$D$2:$D$366,$F$9,[1]فروردین!$AA$2:$AA$366,P3)</f>
        <v>0</v>
      </c>
      <c r="Q9" s="172">
        <f>SUMIFS([1]فروردین!$AD$2:$AD$366,[1]فروردین!$N$2:$N$366,7102,[1]فروردین!$D$2:$D$366,$F$9,[1]فروردین!$AA$2:$AA$366,Q3)</f>
        <v>0</v>
      </c>
      <c r="R9" s="172">
        <f>SUMIFS([1]فروردین!$AD$2:$AD$366,[1]فروردین!$N$2:$N$366,7102,[1]فروردین!$D$2:$D$366,$F$9,[1]فروردین!$AA$2:$AA$366,R3)</f>
        <v>0</v>
      </c>
      <c r="S9" s="172">
        <f>SUMIFS([1]فروردین!$AD$2:$AD$366,[1]فروردین!$N$2:$N$366,7102,[1]فروردین!$D$2:$D$366,$F$9,[1]فروردین!$AA$2:$AA$366,S3)</f>
        <v>0</v>
      </c>
      <c r="T9" s="172">
        <f>SUMIFS([1]فروردین!$AD$2:$AD$366,[1]فروردین!$N$2:$N$366,7102,[1]فروردین!$D$2:$D$366,$F$9,[1]فروردین!$AA$2:$AA$366,T3)</f>
        <v>0</v>
      </c>
      <c r="U9" s="109">
        <f>SUMIFS([1]فروردین!$AD$2:$AD$366,[1]فروردین!$N$2:$N$366,7102,[1]فروردین!$D$2:$D$366,$F$9,[1]فروردین!$AA$2:$AA$366,U3)</f>
        <v>0</v>
      </c>
    </row>
    <row r="10" spans="1:21" ht="36" customHeight="1" thickBot="1" x14ac:dyDescent="0.3">
      <c r="A10" s="45">
        <v>3</v>
      </c>
      <c r="B10" s="41" t="s">
        <v>14</v>
      </c>
      <c r="C10" s="13">
        <v>7103</v>
      </c>
      <c r="D10" s="283">
        <v>62.5</v>
      </c>
      <c r="E10" s="13" t="s">
        <v>15</v>
      </c>
      <c r="F10" s="13"/>
      <c r="G10" s="14">
        <f t="shared" si="0"/>
        <v>0</v>
      </c>
      <c r="H10" s="48">
        <f t="shared" si="1"/>
        <v>0</v>
      </c>
      <c r="I10" s="14">
        <f>SUMIFS([1]فروردین!$AF$27:$AF$157,[1]فروردین!$D$27:$D$157,F10)</f>
        <v>0</v>
      </c>
      <c r="J10" s="14">
        <v>0</v>
      </c>
      <c r="K10" s="14">
        <v>0</v>
      </c>
      <c r="L10" s="14">
        <v>0</v>
      </c>
      <c r="M10" s="14">
        <f>SUM(G10:L10)-64</f>
        <v>-64</v>
      </c>
      <c r="N10" s="61" t="s">
        <v>40</v>
      </c>
      <c r="O10" s="176">
        <f>SUMIFS([1]فروردین!$AD$2:$AD$366,[1]فروردین!$N$2:$N$366,7103,[1]فروردین!$D$2:$D$366,$F$10,[1]فروردین!$AA$2:$AA$366,O3)</f>
        <v>0</v>
      </c>
      <c r="P10" s="177">
        <f>SUMIFS([1]فروردین!$AD$2:$AD$366,[1]فروردین!$N$2:$N$366,7103,[1]فروردین!$D$2:$D$366,$F$10,[1]فروردین!$AA$2:$AA$366,P3)</f>
        <v>0</v>
      </c>
      <c r="Q10" s="177">
        <f>SUMIFS([1]فروردین!$AD$2:$AD$366,[1]فروردین!$N$2:$N$366,7103,[1]فروردین!$D$2:$D$366,$F$10,[1]فروردین!$AA$2:$AA$366,Q3)</f>
        <v>0</v>
      </c>
      <c r="R10" s="177">
        <f>SUMIFS([1]فروردین!$AD$2:$AD$366,[1]فروردین!$N$2:$N$366,7103,[1]فروردین!$D$2:$D$366,$F$10,[1]فروردین!$AA$2:$AA$366,R3)</f>
        <v>0</v>
      </c>
      <c r="S10" s="177">
        <f>SUMIFS([1]فروردین!$AD$2:$AD$366,[1]فروردین!$N$2:$N$366,7103,[1]فروردین!$D$2:$D$366,$F$10,[1]فروردین!$AA$2:$AA$366,S3)</f>
        <v>0</v>
      </c>
      <c r="T10" s="177">
        <f>SUMIFS([1]فروردین!$AD$2:$AD$366,[1]فروردین!$N$2:$N$366,7103,[1]فروردین!$D$2:$D$366,$F$10,[1]فروردین!$AA$2:$AA$366,T3)</f>
        <v>0</v>
      </c>
      <c r="U10" s="113">
        <f>SUMIFS([1]فروردین!$AD$2:$AD$366,[1]فروردین!$N$2:$N$366,7103,[1]فروردین!$D$2:$D$366,$F$10,[1]فروردین!$AA$2:$AA$366,U3)</f>
        <v>0</v>
      </c>
    </row>
    <row r="11" spans="1:21" ht="36" customHeight="1" thickBot="1" x14ac:dyDescent="0.3">
      <c r="A11" s="45">
        <v>4</v>
      </c>
      <c r="B11" s="82" t="s">
        <v>18</v>
      </c>
      <c r="C11" s="72">
        <v>7201</v>
      </c>
      <c r="D11" s="72">
        <v>62.5</v>
      </c>
      <c r="E11" s="72" t="s">
        <v>19</v>
      </c>
      <c r="F11" s="73"/>
      <c r="G11" s="14">
        <f t="shared" si="0"/>
        <v>0</v>
      </c>
      <c r="H11" s="48">
        <f t="shared" si="1"/>
        <v>0</v>
      </c>
      <c r="I11" s="14">
        <f>SUMIFS([1]فروردین!$AF$27:$AF$157,[1]فروردین!$D$27:$D$157,F11)</f>
        <v>0</v>
      </c>
      <c r="J11" s="74">
        <v>62</v>
      </c>
      <c r="K11" s="74">
        <v>0</v>
      </c>
      <c r="L11" s="74">
        <v>0</v>
      </c>
      <c r="M11" s="74">
        <f>SUM(G11:J11)-62</f>
        <v>0</v>
      </c>
      <c r="N11" s="75" t="s">
        <v>41</v>
      </c>
      <c r="O11" s="284"/>
      <c r="P11" s="285"/>
      <c r="Q11" s="285"/>
      <c r="R11" s="285"/>
      <c r="S11" s="285"/>
      <c r="T11" s="285"/>
      <c r="U11" s="139"/>
    </row>
    <row r="12" spans="1:21" ht="36" customHeight="1" thickBot="1" x14ac:dyDescent="0.3">
      <c r="A12" s="214">
        <v>5</v>
      </c>
      <c r="B12" s="213" t="s">
        <v>18</v>
      </c>
      <c r="C12" s="246">
        <v>7202</v>
      </c>
      <c r="D12" s="246">
        <v>62.5</v>
      </c>
      <c r="E12" s="246" t="s">
        <v>15</v>
      </c>
      <c r="F12" s="66" t="s">
        <v>20</v>
      </c>
      <c r="G12" s="4">
        <f t="shared" si="0"/>
        <v>0</v>
      </c>
      <c r="H12" s="67">
        <f t="shared" si="1"/>
        <v>0</v>
      </c>
      <c r="I12" s="4">
        <f>SUMIFS([1]فروردین!$AF$27:$AF$157,[1]فروردین!$D$27:$D$157,F12)</f>
        <v>61</v>
      </c>
      <c r="J12" s="4">
        <v>0</v>
      </c>
      <c r="K12" s="4">
        <v>0</v>
      </c>
      <c r="L12" s="4">
        <v>0</v>
      </c>
      <c r="M12" s="4">
        <f>SUM(G12:L12)-62</f>
        <v>-1</v>
      </c>
      <c r="N12" s="312" t="s">
        <v>44</v>
      </c>
      <c r="O12" s="272">
        <f>SUMIFS([1]فروردین!$AD$2:$AD$366,[1]فروردین!$N$2:$N$366,$C$12,[1]فروردین!$D$2:$D$366,$F$12,[1]فروردین!$AA$2:$AA$366,O3)</f>
        <v>0</v>
      </c>
      <c r="P12" s="273">
        <f>SUMIFS([1]فروردین!$AD$2:$AD$366,[1]فروردین!$N$2:$N$366,$C$12,[1]فروردین!$D$2:$D$366,$F$12,[1]فروردین!$AA$2:$AA$366,P3)</f>
        <v>0</v>
      </c>
      <c r="Q12" s="273">
        <f>SUMIFS([1]فروردین!$AD$2:$AD$366,[1]فروردین!$N$2:$N$366,$C$12,[1]فروردین!$D$2:$D$366,$F$12,[1]فروردین!$AA$2:$AA$366,Q3)</f>
        <v>0</v>
      </c>
      <c r="R12" s="273">
        <f>SUMIFS([1]فروردین!$AD$2:$AD$366,[1]فروردین!$N$2:$N$366,$C$12,[1]فروردین!$D$2:$D$366,$F$12,[1]فروردین!$AA$2:$AA$366,R3)</f>
        <v>0</v>
      </c>
      <c r="S12" s="273">
        <f>SUMIFS([1]فروردین!$AD$2:$AD$366,[1]فروردین!$N$2:$N$366,$C$12,[1]فروردین!$D$2:$D$366,$F$12,[1]فروردین!$AA$2:$AA$366,S3)</f>
        <v>0</v>
      </c>
      <c r="T12" s="273">
        <f>SUMIFS([1]فروردین!$AD$2:$AD$366,[1]فروردین!$N$2:$N$366,$C$12,[1]فروردین!$D$2:$D$366,$F$12,[1]فروردین!$AA$2:$AA$366,T3)</f>
        <v>0</v>
      </c>
      <c r="U12" s="277">
        <f>SUMIFS([1]فروردین!$AD$2:$AD$366,[1]فروردین!$N$2:$N$366,$C$12,[1]فروردین!$D$2:$D$366,$F$12,[1]فروردین!$AA$2:$AA$366,U3)</f>
        <v>0</v>
      </c>
    </row>
    <row r="13" spans="1:21" ht="36" customHeight="1" thickBot="1" x14ac:dyDescent="0.3">
      <c r="A13" s="45">
        <v>6</v>
      </c>
      <c r="B13" s="12" t="s">
        <v>18</v>
      </c>
      <c r="C13" s="13">
        <v>7203</v>
      </c>
      <c r="D13" s="13">
        <v>62.5</v>
      </c>
      <c r="E13" s="13" t="s">
        <v>15</v>
      </c>
      <c r="F13" s="16"/>
      <c r="G13" s="14">
        <f t="shared" si="0"/>
        <v>0</v>
      </c>
      <c r="H13" s="48">
        <f t="shared" si="1"/>
        <v>0</v>
      </c>
      <c r="I13" s="14">
        <f>SUMIFS([1]فروردین!$AF$27:$AF$157,[1]فروردین!$D$27:$D$157,F13)</f>
        <v>0</v>
      </c>
      <c r="J13" s="14">
        <v>0</v>
      </c>
      <c r="K13" s="14">
        <v>0</v>
      </c>
      <c r="L13" s="14">
        <v>0</v>
      </c>
      <c r="M13" s="14">
        <f>(G13+H13+I13+J13+K13)-D13</f>
        <v>-62.5</v>
      </c>
      <c r="N13" s="61"/>
      <c r="O13" s="176">
        <f>SUMIFS([1]فروردین!$AD$2:$AD$366,[1]فروردین!$N$2:$N$366,$C$13,[1]فروردین!$D$2:$D$366,$F$13,[1]فروردین!$AA$2:$AA$366,O3)</f>
        <v>0</v>
      </c>
      <c r="P13" s="177">
        <f>SUMIFS([1]فروردین!$AD$2:$AD$366,[1]فروردین!$N$2:$N$366,$C$13,[1]فروردین!$D$2:$D$366,$F$13,[1]فروردین!$AA$2:$AA$366,P3)</f>
        <v>0</v>
      </c>
      <c r="Q13" s="177">
        <f>SUMIFS([1]فروردین!$AD$2:$AD$366,[1]فروردین!$N$2:$N$366,$C$13,[1]فروردین!$D$2:$D$366,$F$13,[1]فروردین!$AA$2:$AA$366,Q3)</f>
        <v>0</v>
      </c>
      <c r="R13" s="177">
        <f>SUMIFS([1]فروردین!$AD$2:$AD$366,[1]فروردین!$N$2:$N$366,$C$13,[1]فروردین!$D$2:$D$366,$F$13,[1]فروردین!$AA$2:$AA$366,R3)</f>
        <v>0</v>
      </c>
      <c r="S13" s="177">
        <f>SUMIFS([1]فروردین!$AD$2:$AD$366,[1]فروردین!$N$2:$N$366,$C$13,[1]فروردین!$D$2:$D$366,$F$13,[1]فروردین!$AA$2:$AA$366,S3)</f>
        <v>0</v>
      </c>
      <c r="T13" s="177">
        <f>SUMIFS([1]فروردین!$AD$2:$AD$366,[1]فروردین!$N$2:$N$366,$C$13,[1]فروردین!$D$2:$D$366,$F$13,[1]فروردین!$AA$2:$AA$366,T3)</f>
        <v>0</v>
      </c>
      <c r="U13" s="113">
        <f>SUMIFS([1]فروردین!$AD$2:$AD$366,[1]فروردین!$N$2:$N$366,$C$13,[1]فروردین!$D$2:$D$366,$F$13,[1]فروردین!$AA$2:$AA$366,U3)</f>
        <v>0</v>
      </c>
    </row>
    <row r="14" spans="1:21" ht="36" customHeight="1" thickBot="1" x14ac:dyDescent="0.3">
      <c r="A14" s="214">
        <v>7</v>
      </c>
      <c r="B14" s="213" t="s">
        <v>18</v>
      </c>
      <c r="C14" s="246">
        <v>7204</v>
      </c>
      <c r="D14" s="246">
        <v>62.5</v>
      </c>
      <c r="E14" s="246" t="s">
        <v>15</v>
      </c>
      <c r="F14" s="66"/>
      <c r="G14" s="4">
        <f t="shared" si="0"/>
        <v>0</v>
      </c>
      <c r="H14" s="67">
        <f t="shared" si="1"/>
        <v>0</v>
      </c>
      <c r="I14" s="4">
        <f>SUMIFS([1]فروردین!$AF$27:$AF$157,[1]فروردین!$D$27:$D$157,F14)</f>
        <v>0</v>
      </c>
      <c r="J14" s="4">
        <v>0</v>
      </c>
      <c r="K14" s="4">
        <v>0</v>
      </c>
      <c r="L14" s="4">
        <v>0</v>
      </c>
      <c r="M14" s="4">
        <f>SUM(G14:J14)-62</f>
        <v>-62</v>
      </c>
      <c r="N14" s="251"/>
      <c r="O14" s="184">
        <f>SUMIFS([1]فروردین!$AD$2:$AD$366,[1]فروردین!$N$2:$N$366,$C$14,[1]فروردین!$D$2:$D$366,$F$14,[1]فروردین!$AA$2:$AA$366,O3)</f>
        <v>0</v>
      </c>
      <c r="P14" s="202">
        <f>SUMIFS([1]فروردین!$AD$2:$AD$366,[1]فروردین!$N$2:$N$366,$C$14,[1]فروردین!$D$2:$D$366,$F$14,[1]فروردین!$AA$2:$AA$366,P3)</f>
        <v>0</v>
      </c>
      <c r="Q14" s="202">
        <f>SUMIFS([1]فروردین!$AD$2:$AD$366,[1]فروردین!$N$2:$N$366,$C$14,[1]فروردین!$D$2:$D$366,$F$14,[1]فروردین!$AA$2:$AA$366,Q3)</f>
        <v>0</v>
      </c>
      <c r="R14" s="202">
        <f>SUMIFS([1]فروردین!$AD$2:$AD$366,[1]فروردین!$N$2:$N$366,$C$14,[1]فروردین!$D$2:$D$366,$F$14,[1]فروردین!$AA$2:$AA$366,R3)</f>
        <v>0</v>
      </c>
      <c r="S14" s="202">
        <f>SUMIFS([1]فروردین!$AD$2:$AD$366,[1]فروردین!$N$2:$N$366,$C$14,[1]فروردین!$D$2:$D$366,$F$14,[1]فروردین!$AA$2:$AA$366,S3)</f>
        <v>0</v>
      </c>
      <c r="T14" s="202">
        <f>SUMIFS([1]فروردین!$AD$2:$AD$366,[1]فروردین!$N$2:$N$366,$C$14,[1]فروردین!$D$2:$D$366,$F$14,[1]فروردین!$AA$2:$AA$366,T3)</f>
        <v>0</v>
      </c>
      <c r="U14" s="120">
        <f>SUMIFS([1]فروردین!$AD$2:$AD$366,[1]فروردین!$N$2:$N$366,$C$14,[1]فروردین!$D$2:$D$366,$F$14,[1]فروردین!$AA$2:$AA$366,U3)</f>
        <v>0</v>
      </c>
    </row>
    <row r="15" spans="1:21" ht="36" customHeight="1" thickBot="1" x14ac:dyDescent="0.3">
      <c r="A15" s="45">
        <v>8</v>
      </c>
      <c r="B15" s="12" t="s">
        <v>21</v>
      </c>
      <c r="C15" s="13">
        <v>7301</v>
      </c>
      <c r="D15" s="13">
        <v>62.5</v>
      </c>
      <c r="E15" s="13" t="s">
        <v>15</v>
      </c>
      <c r="F15" s="19" t="s">
        <v>22</v>
      </c>
      <c r="G15" s="14">
        <f t="shared" si="0"/>
        <v>0</v>
      </c>
      <c r="H15" s="48">
        <f t="shared" si="1"/>
        <v>0</v>
      </c>
      <c r="I15" s="14">
        <f>SUMIFS([1]فروردین!$AF$27:$AF$157,[1]فروردین!$D$27:$D$157,F15)</f>
        <v>59.5</v>
      </c>
      <c r="J15" s="14">
        <v>0</v>
      </c>
      <c r="K15" s="14">
        <v>0</v>
      </c>
      <c r="L15" s="14">
        <v>0</v>
      </c>
      <c r="M15" s="14">
        <f>SUM(G15:L15)-D15</f>
        <v>-3</v>
      </c>
      <c r="N15" s="15" t="s">
        <v>29</v>
      </c>
      <c r="O15" s="176">
        <f>SUMIFS([1]فروردین!$AD$2:$AD$366,[1]فروردین!$N$2:$N$366,$C$15,[1]فروردین!$D$2:$D$366,$F$15,[1]فروردین!$AA$2:$AA$366,O3)</f>
        <v>0</v>
      </c>
      <c r="P15" s="177">
        <f>SUMIFS([1]فروردین!$AD$2:$AD$366,[1]فروردین!$N$2:$N$366,$C$15,[1]فروردین!$D$2:$D$366,$F$15,[1]فروردین!$AA$2:$AA$366,P3)</f>
        <v>0</v>
      </c>
      <c r="Q15" s="177">
        <f>SUMIFS([1]فروردین!$AD$2:$AD$366,[1]فروردین!$N$2:$N$366,$C$15,[1]فروردین!$D$2:$D$366,$F$15,[1]فروردین!$AA$2:$AA$366,Q3)</f>
        <v>0</v>
      </c>
      <c r="R15" s="177">
        <f>SUMIFS([1]فروردین!$AD$2:$AD$366,[1]فروردین!$N$2:$N$366,$C$15,[1]فروردین!$D$2:$D$366,$F$15,[1]فروردین!$AA$2:$AA$366,R3)</f>
        <v>0</v>
      </c>
      <c r="S15" s="177">
        <f>SUMIFS([1]فروردین!$AD$2:$AD$366,[1]فروردین!$N$2:$N$366,$C$15,[1]فروردین!$D$2:$D$366,$F$15,[1]فروردین!$AA$2:$AA$366,S3)</f>
        <v>0</v>
      </c>
      <c r="T15" s="177">
        <f>SUMIFS([1]فروردین!$AD$2:$AD$366,[1]فروردین!$N$2:$N$366,$C$15,[1]فروردین!$D$2:$D$366,$F$15,[1]فروردین!$AA$2:$AA$366,T3)</f>
        <v>0</v>
      </c>
      <c r="U15" s="113">
        <f>SUMIFS([1]فروردین!$AD$2:$AD$366,[1]فروردین!$N$2:$N$366,$C$15,[1]فروردین!$D$2:$D$366,$F$15,[1]فروردین!$AA$2:$AA$366,U3)</f>
        <v>0</v>
      </c>
    </row>
    <row r="16" spans="1:21" ht="36" customHeight="1" x14ac:dyDescent="0.25">
      <c r="A16" s="985">
        <v>9</v>
      </c>
      <c r="B16" s="974" t="s">
        <v>21</v>
      </c>
      <c r="C16" s="932">
        <v>7302</v>
      </c>
      <c r="D16" s="932">
        <v>62.5</v>
      </c>
      <c r="E16" s="932" t="s">
        <v>15</v>
      </c>
      <c r="F16" s="27"/>
      <c r="G16" s="1">
        <f t="shared" si="0"/>
        <v>0</v>
      </c>
      <c r="H16" s="49">
        <f t="shared" si="1"/>
        <v>0</v>
      </c>
      <c r="I16" s="1">
        <f>SUMIFS([1]فروردین!$AF$27:$AF$157,[1]فروردین!$D$27:$D$157,F16)</f>
        <v>0</v>
      </c>
      <c r="J16" s="1">
        <v>0</v>
      </c>
      <c r="K16" s="1">
        <v>0</v>
      </c>
      <c r="L16" s="1">
        <v>0</v>
      </c>
      <c r="M16" s="4"/>
      <c r="N16" s="928" t="s">
        <v>44</v>
      </c>
      <c r="O16" s="173">
        <f>SUMIFS([1]فروردین!$AD$2:$AD$366,[1]فروردین!$N$2:$N$366,$C$16,[1]فروردین!$D$2:$D$366,$F$16,[1]فروردین!$AA$2:$AA$366,O3)</f>
        <v>0</v>
      </c>
      <c r="P16" s="174">
        <f>SUMIFS([1]فروردین!$AD$2:$AD$366,[1]فروردین!$N$2:$N$366,$C$16,[1]فروردین!$D$2:$D$366,$F$16,[1]فروردین!$AA$2:$AA$366,P3)</f>
        <v>0</v>
      </c>
      <c r="Q16" s="174">
        <f>SUMIFS([1]فروردین!$AD$2:$AD$366,[1]فروردین!$N$2:$N$366,$C$16,[1]فروردین!$D$2:$D$366,$F$16,[1]فروردین!$AA$2:$AA$366,Q3)</f>
        <v>0</v>
      </c>
      <c r="R16" s="174">
        <f>SUMIFS([1]فروردین!$AD$2:$AD$366,[1]فروردین!$N$2:$N$366,$C$16,[1]فروردین!$D$2:$D$366,$F$16,[1]فروردین!$AA$2:$AA$366,R3)</f>
        <v>0</v>
      </c>
      <c r="S16" s="174">
        <f>SUMIFS([1]فروردین!$AD$2:$AD$366,[1]فروردین!$N$2:$N$366,$C$16,[1]فروردین!$D$2:$D$366,$F$16,[1]فروردین!$AA$2:$AA$366,S3)</f>
        <v>0</v>
      </c>
      <c r="T16" s="174">
        <f>SUMIFS([1]فروردین!$AD$2:$AD$366,[1]فروردین!$N$2:$N$366,$C$16,[1]فروردین!$D$2:$D$366,$F$16,[1]فروردین!$AA$2:$AA$366,T3)</f>
        <v>0</v>
      </c>
      <c r="U16" s="110">
        <f>SUMIFS([1]فروردین!$AD$2:$AD$366,[1]فروردین!$N$2:$N$366,$C$16,[1]فروردین!$D$2:$D$366,$F$16,[1]فروردین!$AA$2:$AA$366,U3)</f>
        <v>0</v>
      </c>
    </row>
    <row r="17" spans="1:21" ht="36" customHeight="1" x14ac:dyDescent="0.25">
      <c r="A17" s="986"/>
      <c r="B17" s="975"/>
      <c r="C17" s="933"/>
      <c r="D17" s="933"/>
      <c r="E17" s="933"/>
      <c r="F17" s="22" t="s">
        <v>17</v>
      </c>
      <c r="G17" s="3">
        <f t="shared" si="0"/>
        <v>0</v>
      </c>
      <c r="H17" s="47">
        <f t="shared" si="1"/>
        <v>0</v>
      </c>
      <c r="I17" s="1">
        <f>SUMIFS([1]فروردین!$AF$27:$AF$157,[1]فروردین!$D$27:$D$157,F17)</f>
        <v>56.833333333333329</v>
      </c>
      <c r="J17" s="3">
        <v>0</v>
      </c>
      <c r="K17" s="3">
        <v>0</v>
      </c>
      <c r="L17" s="3">
        <v>0</v>
      </c>
      <c r="M17" s="4">
        <f>SUM(G16:L18)-D16</f>
        <v>-5.6666666666666714</v>
      </c>
      <c r="N17" s="929"/>
      <c r="O17" s="166">
        <f>SUMIFS([1]فروردین!$AD$2:$AD$366,[1]فروردین!$N$2:$N$366,$C$16,[1]فروردین!$D$2:$D$366,$F$17,[1]فروردین!$AA$2:$AA$366,O3)</f>
        <v>0</v>
      </c>
      <c r="P17" s="168">
        <f>SUMIFS([1]فروردین!$AD$2:$AD$366,[1]فروردین!$N$2:$N$366,$C$16,[1]فروردین!$D$2:$D$366,$F$17,[1]فروردین!$AA$2:$AA$366,P3)</f>
        <v>0</v>
      </c>
      <c r="Q17" s="168">
        <f>SUMIFS([1]فروردین!$AD$2:$AD$366,[1]فروردین!$N$2:$N$366,$C$16,[1]فروردین!$D$2:$D$366,$F$17,[1]فروردین!$AA$2:$AA$366,Q3)</f>
        <v>0</v>
      </c>
      <c r="R17" s="168">
        <f>SUMIFS([1]فروردین!$AD$2:$AD$366,[1]فروردین!$N$2:$N$366,$C$16,[1]فروردین!$D$2:$D$366,$F$17,[1]فروردین!$AA$2:$AA$366,R3)</f>
        <v>0</v>
      </c>
      <c r="S17" s="168">
        <f>SUMIFS([1]فروردین!$AD$2:$AD$366,[1]فروردین!$N$2:$N$366,$C$16,[1]فروردین!$D$2:$D$366,$F$17,[1]فروردین!$AA$2:$AA$366,S3)</f>
        <v>0</v>
      </c>
      <c r="T17" s="168">
        <f>SUMIFS([1]فروردین!$AD$2:$AD$366,[1]فروردین!$N$2:$N$366,$C$16,[1]فروردین!$D$2:$D$366,$F$17,[1]فروردین!$AA$2:$AA$366,T3)</f>
        <v>0</v>
      </c>
      <c r="U17" s="108">
        <f>SUMIFS([1]فروردین!$AD$2:$AD$366,[1]فروردین!$N$2:$N$366,$C$16,[1]فروردین!$D$2:$D$366,$F$17,[1]فروردین!$AA$2:$AA$366,U3)</f>
        <v>0</v>
      </c>
    </row>
    <row r="18" spans="1:21" ht="36" customHeight="1" thickBot="1" x14ac:dyDescent="0.3">
      <c r="A18" s="987"/>
      <c r="B18" s="976"/>
      <c r="C18" s="934"/>
      <c r="D18" s="934"/>
      <c r="E18" s="934"/>
      <c r="F18" s="24"/>
      <c r="G18" s="4">
        <f t="shared" si="0"/>
        <v>0</v>
      </c>
      <c r="H18" s="67">
        <f t="shared" si="1"/>
        <v>0</v>
      </c>
      <c r="I18" s="4">
        <f>SUMIFS([1]فروردین!$AF$27:$AF$157,[1]فروردین!$D$27:$D$157,F18)</f>
        <v>0</v>
      </c>
      <c r="J18" s="25">
        <v>0</v>
      </c>
      <c r="K18" s="4">
        <v>0</v>
      </c>
      <c r="L18" s="4">
        <v>0</v>
      </c>
      <c r="M18" s="4"/>
      <c r="N18" s="929"/>
      <c r="O18" s="167">
        <f>SUMIFS([1]فروردین!$AD$2:$AD$366,[1]فروردین!$N$2:$N$366,$C$16,[1]فروردین!$D$2:$D$366,$F$18,[1]فروردین!$AA$2:$AA$366,O3)</f>
        <v>0</v>
      </c>
      <c r="P18" s="175">
        <f>SUMIFS([1]فروردین!$AD$2:$AD$366,[1]فروردین!$N$2:$N$366,$C$16,[1]فروردین!$D$2:$D$366,$F$18,[1]فروردین!$AA$2:$AA$366,P3)</f>
        <v>0</v>
      </c>
      <c r="Q18" s="175">
        <f>SUMIFS([1]فروردین!$AD$2:$AD$366,[1]فروردین!$N$2:$N$366,$C$16,[1]فروردین!$D$2:$D$366,$F$18,[1]فروردین!$AA$2:$AA$366,Q3)</f>
        <v>0</v>
      </c>
      <c r="R18" s="175">
        <f>SUMIFS([1]فروردین!$AD$2:$AD$366,[1]فروردین!$N$2:$N$366,$C$16,[1]فروردین!$D$2:$D$366,$F$18,[1]فروردین!$AA$2:$AA$366,R3)</f>
        <v>0</v>
      </c>
      <c r="S18" s="175">
        <f>SUMIFS([1]فروردین!$AD$2:$AD$366,[1]فروردین!$N$2:$N$366,$C$16,[1]فروردین!$D$2:$D$366,$F$18,[1]فروردین!$AA$2:$AA$366,S3)</f>
        <v>0</v>
      </c>
      <c r="T18" s="175">
        <f>SUMIFS([1]فروردین!$AD$2:$AD$366,[1]فروردین!$N$2:$N$366,$C$16,[1]فروردین!$D$2:$D$366,$F$18,[1]فروردین!$AA$2:$AA$366,T3)</f>
        <v>0</v>
      </c>
      <c r="U18" s="114">
        <f>SUMIFS([1]فروردین!$AD$2:$AD$366,[1]فروردین!$N$2:$N$366,$C$16,[1]فروردین!$D$2:$D$366,$F$18,[1]فروردین!$AA$2:$AA$366,U3)</f>
        <v>0</v>
      </c>
    </row>
    <row r="19" spans="1:21" ht="36" customHeight="1" thickBot="1" x14ac:dyDescent="0.3">
      <c r="A19" s="206">
        <v>10</v>
      </c>
      <c r="B19" s="207" t="s">
        <v>21</v>
      </c>
      <c r="C19" s="129">
        <v>7303</v>
      </c>
      <c r="D19" s="129">
        <v>44</v>
      </c>
      <c r="E19" s="129" t="s">
        <v>15</v>
      </c>
      <c r="F19" s="208" t="s">
        <v>23</v>
      </c>
      <c r="G19" s="209">
        <f t="shared" si="0"/>
        <v>0</v>
      </c>
      <c r="H19" s="210">
        <f t="shared" si="1"/>
        <v>0</v>
      </c>
      <c r="I19" s="14">
        <f>SUMIFS([1]فروردین!$AF$27:$AF$157,[1]فروردین!$D$27:$D$157,F19)</f>
        <v>34.5</v>
      </c>
      <c r="J19" s="209">
        <v>0</v>
      </c>
      <c r="K19" s="209">
        <v>0</v>
      </c>
      <c r="L19" s="209">
        <v>0</v>
      </c>
      <c r="M19" s="209">
        <f>SUM(G19:L19)-44</f>
        <v>-9.5</v>
      </c>
      <c r="N19" s="313" t="s">
        <v>29</v>
      </c>
      <c r="O19" s="181">
        <f>SUMIFS([1]فروردین!$AD$2:$AD$366,[1]فروردین!$N$2:$N$366,$C$19,[1]فروردین!$D$2:$D$366,$F$19,[1]فروردین!$AA$2:$AA$366,O3)</f>
        <v>0</v>
      </c>
      <c r="P19" s="182">
        <f>SUMIFS([1]فروردین!$AD$2:$AD$366,[1]فروردین!$N$2:$N$366,$C$19,[1]فروردین!$D$2:$D$366,$F$19,[1]فروردین!$AA$2:$AA$366,P3)</f>
        <v>0</v>
      </c>
      <c r="Q19" s="182">
        <f>SUMIFS([1]فروردین!$AD$2:$AD$366,[1]فروردین!$N$2:$N$366,$C$19,[1]فروردین!$D$2:$D$366,$F$19,[1]فروردین!$AA$2:$AA$366,Q3)</f>
        <v>0</v>
      </c>
      <c r="R19" s="182">
        <f>SUMIFS([1]فروردین!$AD$2:$AD$366,[1]فروردین!$N$2:$N$366,$C$19,[1]فروردین!$D$2:$D$366,$F$19,[1]فروردین!$AA$2:$AA$366,R3)</f>
        <v>0</v>
      </c>
      <c r="S19" s="182">
        <f>SUMIFS([1]فروردین!$AD$2:$AD$366,[1]فروردین!$N$2:$N$366,$C$19,[1]فروردین!$D$2:$D$366,$F$19,[1]فروردین!$AA$2:$AA$366,S3)</f>
        <v>0</v>
      </c>
      <c r="T19" s="182">
        <f>SUMIFS([1]فروردین!$AD$2:$AD$366,[1]فروردین!$N$2:$N$366,$C$19,[1]فروردین!$D$2:$D$366,$F$19,[1]فروردین!$AA$2:$AA$366,T3)</f>
        <v>0</v>
      </c>
      <c r="U19" s="156">
        <f>SUMIFS([1]فروردین!$AD$2:$AD$366,[1]فروردین!$N$2:$N$366,$C$19,[1]فروردین!$D$2:$D$366,$F$19,[1]فروردین!$AA$2:$AA$366,U3)</f>
        <v>0</v>
      </c>
    </row>
    <row r="20" spans="1:21" ht="39.75" customHeight="1" x14ac:dyDescent="0.25">
      <c r="A20" s="985">
        <v>11</v>
      </c>
      <c r="B20" s="974" t="s">
        <v>24</v>
      </c>
      <c r="C20" s="932">
        <v>7401</v>
      </c>
      <c r="D20" s="932">
        <v>62.5</v>
      </c>
      <c r="E20" s="932" t="s">
        <v>15</v>
      </c>
      <c r="F20" s="27" t="s">
        <v>16</v>
      </c>
      <c r="G20" s="1">
        <f t="shared" si="0"/>
        <v>0</v>
      </c>
      <c r="H20" s="49">
        <f t="shared" si="1"/>
        <v>0</v>
      </c>
      <c r="I20" s="1">
        <f>SUMIFS([1]فروردین!$AF$27:$AF$157,[1]فروردین!$D$27:$D$157,F20)</f>
        <v>68</v>
      </c>
      <c r="J20" s="1">
        <v>0</v>
      </c>
      <c r="K20" s="1">
        <v>0</v>
      </c>
      <c r="L20" s="1">
        <v>0</v>
      </c>
      <c r="M20" s="4"/>
      <c r="N20" s="929" t="s">
        <v>53</v>
      </c>
      <c r="O20" s="173">
        <f>SUMIFS([1]فروردین!$AD$2:$AD$366,[1]فروردین!$N$2:$N$366,$C$20,[1]فروردین!$D$2:$D$366,$F$20,[1]فروردین!$AA$2:$AA$366,O3)</f>
        <v>0</v>
      </c>
      <c r="P20" s="174">
        <f>SUMIFS([1]فروردین!$AD$2:$AD$366,[1]فروردین!$N$2:$N$366,$C$20,[1]فروردین!$D$2:$D$366,$F$20,[1]فروردین!$AA$2:$AA$366,P3)</f>
        <v>0</v>
      </c>
      <c r="Q20" s="174">
        <f>SUMIFS([1]فروردین!$AD$2:$AD$366,[1]فروردین!$N$2:$N$366,$C$20,[1]فروردین!$D$2:$D$366,$F$20,[1]فروردین!$AA$2:$AA$366,Q3)</f>
        <v>0</v>
      </c>
      <c r="R20" s="174">
        <f>SUMIFS([1]فروردین!$AD$2:$AD$366,[1]فروردین!$N$2:$N$366,$C$20,[1]فروردین!$D$2:$D$366,$F$20,[1]فروردین!$AA$2:$AA$366,R3)</f>
        <v>0</v>
      </c>
      <c r="S20" s="174">
        <f>SUMIFS([1]فروردین!$AD$2:$AD$366,[1]فروردین!$N$2:$N$366,$C$20,[1]فروردین!$D$2:$D$366,$F$20,[1]فروردین!$AA$2:$AA$366,S3)</f>
        <v>0</v>
      </c>
      <c r="T20" s="174">
        <f>SUMIFS([1]فروردین!$AD$2:$AD$366,[1]فروردین!$N$2:$N$366,$C$20,[1]فروردین!$D$2:$D$366,$F$20,[1]فروردین!$AA$2:$AA$366,T3)</f>
        <v>0</v>
      </c>
      <c r="U20" s="110">
        <f>SUMIFS([1]فروردین!$AD$2:$AD$366,[1]فروردین!$N$2:$N$366,$C$20,[1]فروردین!$D$2:$D$366,$F$20,[1]فروردین!$AA$2:$AA$366,U3)</f>
        <v>0</v>
      </c>
    </row>
    <row r="21" spans="1:21" ht="39.75" customHeight="1" x14ac:dyDescent="0.25">
      <c r="A21" s="986"/>
      <c r="B21" s="975"/>
      <c r="C21" s="933"/>
      <c r="D21" s="933"/>
      <c r="E21" s="933"/>
      <c r="F21" s="22" t="s">
        <v>54</v>
      </c>
      <c r="G21" s="3">
        <f t="shared" si="0"/>
        <v>0</v>
      </c>
      <c r="H21" s="47">
        <f t="shared" si="1"/>
        <v>0</v>
      </c>
      <c r="I21" s="1">
        <f>SUMIFS([1]فروردین!$AF$27:$AF$157,[1]فروردین!$D$27:$D$157,F21)</f>
        <v>44</v>
      </c>
      <c r="J21" s="3">
        <v>0</v>
      </c>
      <c r="K21" s="3">
        <v>0</v>
      </c>
      <c r="L21" s="3">
        <v>0</v>
      </c>
      <c r="M21" s="1">
        <f>SUM(G20:L22)-D20</f>
        <v>49.5</v>
      </c>
      <c r="N21" s="929"/>
      <c r="O21" s="166">
        <f>SUMIFS([1]فروردین!$AD$2:$AD$366,[1]فروردین!$N$2:$N$366,$C$20,[1]فروردین!$D$2:$D$366,$F$21,[1]فروردین!$AA$2:$AA$366,O3)</f>
        <v>0</v>
      </c>
      <c r="P21" s="168">
        <f>SUMIFS([1]فروردین!$AD$2:$AD$366,[1]فروردین!$N$2:$N$366,$C$20,[1]فروردین!$D$2:$D$366,$F$21,[1]فروردین!$AA$2:$AA$366,P3)</f>
        <v>0</v>
      </c>
      <c r="Q21" s="168">
        <f>SUMIFS([1]فروردین!$AD$2:$AD$366,[1]فروردین!$N$2:$N$366,$C$20,[1]فروردین!$D$2:$D$366,$F$21,[1]فروردین!$AA$2:$AA$366,Q3)</f>
        <v>0</v>
      </c>
      <c r="R21" s="168">
        <f>SUMIFS([1]فروردین!$AD$2:$AD$366,[1]فروردین!$N$2:$N$366,$C$20,[1]فروردین!$D$2:$D$366,$F$21,[1]فروردین!$AA$2:$AA$366,R3)</f>
        <v>0</v>
      </c>
      <c r="S21" s="168">
        <f>SUMIFS([1]فروردین!$AD$2:$AD$366,[1]فروردین!$N$2:$N$366,$C$20,[1]فروردین!$D$2:$D$366,$F$21,[1]فروردین!$AA$2:$AA$366,S3)</f>
        <v>0</v>
      </c>
      <c r="T21" s="168">
        <f>SUMIFS([1]فروردین!$AD$2:$AD$366,[1]فروردین!$N$2:$N$366,$C$20,[1]فروردین!$D$2:$D$366,$F$21,[1]فروردین!$AA$2:$AA$366,T3)</f>
        <v>0</v>
      </c>
      <c r="U21" s="108">
        <f>SUMIFS([1]فروردین!$AD$2:$AD$366,[1]فروردین!$N$2:$N$366,$C$20,[1]فروردین!$D$2:$D$366,$F$21,[1]فروردین!$AA$2:$AA$366,U3)</f>
        <v>0</v>
      </c>
    </row>
    <row r="22" spans="1:21" ht="39.75" customHeight="1" thickBot="1" x14ac:dyDescent="0.3">
      <c r="A22" s="987"/>
      <c r="B22" s="976"/>
      <c r="C22" s="934"/>
      <c r="D22" s="934"/>
      <c r="E22" s="934"/>
      <c r="F22" s="24"/>
      <c r="G22" s="4">
        <f t="shared" si="0"/>
        <v>0</v>
      </c>
      <c r="H22" s="67">
        <f t="shared" si="1"/>
        <v>0</v>
      </c>
      <c r="I22" s="4">
        <f>SUMIFS([1]فروردین!$AF$27:$AF$157,[1]فروردین!$D$27:$D$157,F22)</f>
        <v>0</v>
      </c>
      <c r="J22" s="25">
        <v>0</v>
      </c>
      <c r="K22" s="4">
        <v>0</v>
      </c>
      <c r="L22" s="4">
        <v>0</v>
      </c>
      <c r="M22" s="4"/>
      <c r="N22" s="929"/>
      <c r="O22" s="167">
        <f>SUMIFS([1]فروردین!$AD$2:$AD$366,[1]فروردین!$N$2:$N$366,$C$22,[1]فروردین!$D$2:$D$366,$F$22,[1]فروردین!$AA$2:$AA$366,O3)</f>
        <v>0</v>
      </c>
      <c r="P22" s="175">
        <f>SUMIFS([1]فروردین!$AD$2:$AD$366,[1]فروردین!$N$2:$N$366,$C$22,[1]فروردین!$D$2:$D$366,$F$22,[1]فروردین!$AA$2:$AA$366,P3)</f>
        <v>0</v>
      </c>
      <c r="Q22" s="175">
        <f>SUMIFS([1]فروردین!$AD$2:$AD$366,[1]فروردین!$N$2:$N$366,$C$22,[1]فروردین!$D$2:$D$366,$F$22,[1]فروردین!$AA$2:$AA$366,Q3)</f>
        <v>0</v>
      </c>
      <c r="R22" s="175">
        <f>SUMIFS([1]فروردین!$AD$2:$AD$366,[1]فروردین!$N$2:$N$366,$C$22,[1]فروردین!$D$2:$D$366,$F$22,[1]فروردین!$AA$2:$AA$366,R3)</f>
        <v>0</v>
      </c>
      <c r="S22" s="175">
        <f>SUMIFS([1]فروردین!$AD$2:$AD$366,[1]فروردین!$N$2:$N$366,$C$22,[1]فروردین!$D$2:$D$366,$F$22,[1]فروردین!$AA$2:$AA$366,S3)</f>
        <v>0</v>
      </c>
      <c r="T22" s="175">
        <f>SUMIFS([1]فروردین!$AD$2:$AD$366,[1]فروردین!$N$2:$N$366,$C$22,[1]فروردین!$D$2:$D$366,$F$22,[1]فروردین!$AA$2:$AA$366,T3)</f>
        <v>0</v>
      </c>
      <c r="U22" s="114">
        <f>SUMIFS([1]فروردین!$AD$2:$AD$366,[1]فروردین!$N$2:$N$366,$C$22,[1]فروردین!$D$2:$D$366,$F$22,[1]فروردین!$AA$2:$AA$366,U3)</f>
        <v>0</v>
      </c>
    </row>
    <row r="23" spans="1:21" ht="36" customHeight="1" x14ac:dyDescent="0.25">
      <c r="A23" s="985">
        <v>12</v>
      </c>
      <c r="B23" s="974" t="s">
        <v>25</v>
      </c>
      <c r="C23" s="932">
        <v>7501</v>
      </c>
      <c r="D23" s="932">
        <v>62.5</v>
      </c>
      <c r="E23" s="932" t="s">
        <v>19</v>
      </c>
      <c r="F23" s="20"/>
      <c r="G23" s="9">
        <f t="shared" si="0"/>
        <v>0</v>
      </c>
      <c r="H23" s="46">
        <f t="shared" si="1"/>
        <v>0</v>
      </c>
      <c r="I23" s="9">
        <f>SUMIFS([1]فروردین!$AF$27:$AF$157,[1]فروردین!$D$27:$D$157,F23)</f>
        <v>0</v>
      </c>
      <c r="J23" s="9">
        <v>0</v>
      </c>
      <c r="K23" s="9">
        <v>0</v>
      </c>
      <c r="L23" s="9">
        <v>0</v>
      </c>
      <c r="M23" s="21"/>
      <c r="N23" s="931" t="s">
        <v>28</v>
      </c>
      <c r="O23" s="165">
        <f>SUMIFS([1]فروردین!$AD$2:$AD$366,[1]فروردین!$N$2:$N$366,$C$23,[1]فروردین!$D$2:$D$366,$F$23,[1]فروردین!$AA$2:$AA$366,O3)</f>
        <v>0</v>
      </c>
      <c r="P23" s="169">
        <f>SUMIFS([1]فروردین!$AD$2:$AD$366,[1]فروردین!$N$2:$N$366,$C$23,[1]فروردین!$D$2:$D$366,$F$23,[1]فروردین!$AA$2:$AA$366,P3)</f>
        <v>0</v>
      </c>
      <c r="Q23" s="169">
        <f>SUMIFS([1]فروردین!$AD$2:$AD$366,[1]فروردین!$N$2:$N$366,$C$23,[1]فروردین!$D$2:$D$366,$F$23,[1]فروردین!$AA$2:$AA$366,Q3)</f>
        <v>0</v>
      </c>
      <c r="R23" s="169">
        <f>SUMIFS([1]فروردین!$AD$2:$AD$366,[1]فروردین!$N$2:$N$366,$C$23,[1]فروردین!$D$2:$D$366,$F$23,[1]فروردین!$AA$2:$AA$366,R3)</f>
        <v>0</v>
      </c>
      <c r="S23" s="169">
        <f>SUMIFS([1]فروردین!$AD$2:$AD$366,[1]فروردین!$N$2:$N$366,$C$23,[1]فروردین!$D$2:$D$366,$F$23,[1]فروردین!$AA$2:$AA$366,S3)</f>
        <v>0</v>
      </c>
      <c r="T23" s="169">
        <f>SUMIFS([1]فروردین!$AD$2:$AD$366,[1]فروردین!$N$2:$N$366,$C$23,[1]فروردین!$D$2:$D$366,$F$23,[1]فروردین!$AA$2:$AA$366,T3)</f>
        <v>0</v>
      </c>
      <c r="U23" s="107">
        <f>SUMIFS([1]فروردین!$AD$2:$AD$366,[1]فروردین!$N$2:$N$366,$C$23,[1]فروردین!$D$2:$D$366,$F$23,[1]فروردین!$AA$2:$AA$366,U3)</f>
        <v>0</v>
      </c>
    </row>
    <row r="24" spans="1:21" ht="36" customHeight="1" x14ac:dyDescent="0.25">
      <c r="A24" s="986"/>
      <c r="B24" s="975"/>
      <c r="C24" s="933"/>
      <c r="D24" s="933"/>
      <c r="E24" s="933"/>
      <c r="F24" s="22" t="s">
        <v>36</v>
      </c>
      <c r="G24" s="3">
        <f t="shared" si="0"/>
        <v>0</v>
      </c>
      <c r="H24" s="47">
        <f t="shared" si="1"/>
        <v>0</v>
      </c>
      <c r="I24" s="1">
        <f>SUMIFS([1]فروردین!$AF$27:$AF$157,[1]فروردین!$D$27:$D$157,F24)</f>
        <v>55</v>
      </c>
      <c r="J24" s="3">
        <v>0</v>
      </c>
      <c r="K24" s="3">
        <v>0</v>
      </c>
      <c r="L24" s="3">
        <v>0</v>
      </c>
      <c r="M24" s="4">
        <f>SUM(G23:L25)-D23</f>
        <v>-7.5</v>
      </c>
      <c r="N24" s="929"/>
      <c r="O24" s="166">
        <f>SUMIFS([1]فروردین!$AD$2:$AD$366,[1]فروردین!$N$2:$N$366,$C$23,[1]فروردین!$D$2:$D$366,$F$24,[1]فروردین!$AA$2:$AA$366,O3)</f>
        <v>0</v>
      </c>
      <c r="P24" s="168">
        <f>SUMIFS([1]فروردین!$AD$2:$AD$366,[1]فروردین!$N$2:$N$366,$C$23,[1]فروردین!$D$2:$D$366,$F$24,[1]فروردین!$AA$2:$AA$366,P3)</f>
        <v>0</v>
      </c>
      <c r="Q24" s="168">
        <f>SUMIFS([1]فروردین!$AD$2:$AD$366,[1]فروردین!$N$2:$N$366,$C$23,[1]فروردین!$D$2:$D$366,$F$24,[1]فروردین!$AA$2:$AA$366,Q3)</f>
        <v>0</v>
      </c>
      <c r="R24" s="168">
        <f>SUMIFS([1]فروردین!$AD$2:$AD$366,[1]فروردین!$N$2:$N$366,$C$23,[1]فروردین!$D$2:$D$366,$F$24,[1]فروردین!$AA$2:$AA$366,R3)</f>
        <v>0</v>
      </c>
      <c r="S24" s="168">
        <f>SUMIFS([1]فروردین!$AD$2:$AD$366,[1]فروردین!$N$2:$N$366,$C$23,[1]فروردین!$D$2:$D$366,$F$24,[1]فروردین!$AA$2:$AA$366,S3)</f>
        <v>0</v>
      </c>
      <c r="T24" s="168">
        <f>SUMIFS([1]فروردین!$AD$2:$AD$366,[1]فروردین!$N$2:$N$366,$C$23,[1]فروردین!$D$2:$D$366,$F$24,[1]فروردین!$AA$2:$AA$366,T3)</f>
        <v>0</v>
      </c>
      <c r="U24" s="108">
        <f>SUMIFS([1]فروردین!$AD$2:$AD$366,[1]فروردین!$N$2:$N$366,$C$23,[1]فروردین!$D$2:$D$366,$F$24,[1]فروردین!$AA$2:$AA$366,U3)</f>
        <v>0</v>
      </c>
    </row>
    <row r="25" spans="1:21" ht="36" customHeight="1" thickBot="1" x14ac:dyDescent="0.3">
      <c r="A25" s="230"/>
      <c r="B25" s="976"/>
      <c r="C25" s="934"/>
      <c r="D25" s="934"/>
      <c r="E25" s="934"/>
      <c r="F25" s="5"/>
      <c r="G25" s="6">
        <f t="shared" si="0"/>
        <v>0</v>
      </c>
      <c r="H25" s="64">
        <f t="shared" si="1"/>
        <v>0</v>
      </c>
      <c r="I25" s="6">
        <f>SUMIFS([1]فروردین!$AF$27:$AF$157,[1]فروردین!$D$27:$D$157,F25)</f>
        <v>0</v>
      </c>
      <c r="J25" s="7">
        <v>0</v>
      </c>
      <c r="K25" s="6">
        <v>0</v>
      </c>
      <c r="L25" s="6">
        <v>0</v>
      </c>
      <c r="M25" s="6"/>
      <c r="N25" s="930"/>
      <c r="O25" s="171">
        <f>SUMIFS([1]فروردین!$AD$2:$AD$366,[1]فروردین!$N$2:$N$366,$C$23,[1]فروردین!$D$2:$D$366,$F$25,[1]فروردین!$AA$2:$AA$366,O3)</f>
        <v>0</v>
      </c>
      <c r="P25" s="172">
        <f>SUMIFS([1]فروردین!$AD$2:$AD$366,[1]فروردین!$N$2:$N$366,$C$23,[1]فروردین!$D$2:$D$366,$F$25,[1]فروردین!$AA$2:$AA$366,P3)</f>
        <v>0</v>
      </c>
      <c r="Q25" s="172">
        <f>SUMIFS([1]فروردین!$AD$2:$AD$366,[1]فروردین!$N$2:$N$366,$C$23,[1]فروردین!$D$2:$D$366,$F$25,[1]فروردین!$AA$2:$AA$366,Q3)</f>
        <v>0</v>
      </c>
      <c r="R25" s="172">
        <f>SUMIFS([1]فروردین!$AD$2:$AD$366,[1]فروردین!$N$2:$N$366,$C$23,[1]فروردین!$D$2:$D$366,$F$25,[1]فروردین!$AA$2:$AA$366,R3)</f>
        <v>0</v>
      </c>
      <c r="S25" s="172">
        <f>SUMIFS([1]فروردین!$AD$2:$AD$366,[1]فروردین!$N$2:$N$366,$C$23,[1]فروردین!$D$2:$D$366,$F$25,[1]فروردین!$AA$2:$AA$366,S3)</f>
        <v>0</v>
      </c>
      <c r="T25" s="172">
        <f>SUMIFS([1]فروردین!$AD$2:$AD$366,[1]فروردین!$N$2:$N$366,$C$23,[1]فروردین!$D$2:$D$366,$F$25,[1]فروردین!$AA$2:$AA$366,T3)</f>
        <v>0</v>
      </c>
      <c r="U25" s="109">
        <f>SUMIFS([1]فروردین!$AD$2:$AD$366,[1]فروردین!$N$2:$N$366,$C$23,[1]فروردین!$D$2:$D$366,$F$25,[1]فروردین!$AA$2:$AA$366,U3)</f>
        <v>0</v>
      </c>
    </row>
    <row r="26" spans="1:21" ht="36" customHeight="1" x14ac:dyDescent="0.25">
      <c r="A26" s="985">
        <v>13</v>
      </c>
      <c r="B26" s="972" t="s">
        <v>25</v>
      </c>
      <c r="C26" s="935">
        <v>7502</v>
      </c>
      <c r="D26" s="932">
        <v>62.5</v>
      </c>
      <c r="E26" s="936" t="s">
        <v>50</v>
      </c>
      <c r="F26" s="27"/>
      <c r="G26" s="1">
        <f t="shared" si="0"/>
        <v>0</v>
      </c>
      <c r="H26" s="49">
        <f t="shared" si="1"/>
        <v>0</v>
      </c>
      <c r="I26" s="1">
        <f>SUMIFS([1]فروردین!$AF$27:$AF$157,[1]فروردین!$D$27:$D$157,F26)</f>
        <v>0</v>
      </c>
      <c r="J26" s="93">
        <v>0</v>
      </c>
      <c r="K26" s="93">
        <v>0</v>
      </c>
      <c r="L26" s="93">
        <v>0</v>
      </c>
      <c r="M26" s="4"/>
      <c r="N26" s="988" t="s">
        <v>42</v>
      </c>
      <c r="O26" s="173">
        <f>SUMIFS([1]فروردین!$AD$2:$AD$366,[1]فروردین!$N$2:$N$366,$C$26,[1]فروردین!$D$2:$D$366,$F$26,[1]فروردین!$AA$2:$AA$366,O3)</f>
        <v>0</v>
      </c>
      <c r="P26" s="174">
        <f>SUMIFS([1]فروردین!$AD$2:$AD$366,[1]فروردین!$N$2:$N$366,$C$26,[1]فروردین!$D$2:$D$366,$F$26,[1]فروردین!$AA$2:$AA$366,P3)</f>
        <v>0</v>
      </c>
      <c r="Q26" s="174">
        <f>SUMIFS([1]فروردین!$AD$2:$AD$366,[1]فروردین!$N$2:$N$366,$C$26,[1]فروردین!$D$2:$D$366,$F$26,[1]فروردین!$AA$2:$AA$366,Q3)</f>
        <v>0</v>
      </c>
      <c r="R26" s="174">
        <f>SUMIFS([1]فروردین!$AD$2:$AD$366,[1]فروردین!$N$2:$N$366,$C$26,[1]فروردین!$D$2:$D$366,$F$26,[1]فروردین!$AA$2:$AA$366,R3)</f>
        <v>0</v>
      </c>
      <c r="S26" s="174">
        <f>SUMIFS([1]فروردین!$AD$2:$AD$366,[1]فروردین!$N$2:$N$366,$C$26,[1]فروردین!$D$2:$D$366,$F$26,[1]فروردین!$AA$2:$AA$366,S3)</f>
        <v>0</v>
      </c>
      <c r="T26" s="174">
        <f>SUMIFS([1]فروردین!$AD$2:$AD$366,[1]فروردین!$N$2:$N$366,$C$26,[1]فروردین!$D$2:$D$366,$F$26,[1]فروردین!$AA$2:$AA$366,T3)</f>
        <v>0</v>
      </c>
      <c r="U26" s="110">
        <f>SUMIFS([1]فروردین!$AD$2:$AD$366,[1]فروردین!$N$2:$N$366,$C$26,[1]فروردین!$D$2:$D$366,$F$26,[1]فروردین!$AA$2:$AA$366,U3)</f>
        <v>0</v>
      </c>
    </row>
    <row r="27" spans="1:21" ht="36" customHeight="1" x14ac:dyDescent="0.25">
      <c r="A27" s="986"/>
      <c r="B27" s="984"/>
      <c r="C27" s="936"/>
      <c r="D27" s="933"/>
      <c r="E27" s="936"/>
      <c r="F27" s="22" t="s">
        <v>36</v>
      </c>
      <c r="G27" s="3">
        <f t="shared" si="0"/>
        <v>0</v>
      </c>
      <c r="H27" s="47">
        <f t="shared" si="1"/>
        <v>0</v>
      </c>
      <c r="I27" s="1">
        <f>SUMIFS([1]فروردین!$AF$27:$AF$157,[1]فروردین!$D$27:$D$157,F27)</f>
        <v>55</v>
      </c>
      <c r="J27" s="3">
        <v>0</v>
      </c>
      <c r="K27" s="3">
        <v>0</v>
      </c>
      <c r="L27" s="3">
        <v>0</v>
      </c>
      <c r="M27" s="4">
        <f>SUM(G26:L28)-D26</f>
        <v>-7.5</v>
      </c>
      <c r="N27" s="929"/>
      <c r="O27" s="166">
        <f>SUMIFS([1]فروردین!$AD$2:$AD$366,[1]فروردین!$N$2:$N$366,$C$26,[1]فروردین!$D$2:$D$366,$F$27,[1]فروردین!$AA$2:$AA$366,O3)</f>
        <v>0</v>
      </c>
      <c r="P27" s="168">
        <f>SUMIFS([1]فروردین!$AD$2:$AD$366,[1]فروردین!$N$2:$N$366,$C$26,[1]فروردین!$D$2:$D$366,$F$27,[1]فروردین!$AA$2:$AA$366,P3)</f>
        <v>0</v>
      </c>
      <c r="Q27" s="168">
        <f>SUMIFS([1]فروردین!$AD$2:$AD$366,[1]فروردین!$N$2:$N$366,$C$26,[1]فروردین!$D$2:$D$366,$F$27,[1]فروردین!$AA$2:$AA$366,Q3)</f>
        <v>0</v>
      </c>
      <c r="R27" s="168">
        <f>SUMIFS([1]فروردین!$AD$2:$AD$366,[1]فروردین!$N$2:$N$366,$C$26,[1]فروردین!$D$2:$D$366,$F$27,[1]فروردین!$AA$2:$AA$366,R3)</f>
        <v>0</v>
      </c>
      <c r="S27" s="168">
        <f>SUMIFS([1]فروردین!$AD$2:$AD$366,[1]فروردین!$N$2:$N$366,$C$26,[1]فروردین!$D$2:$D$366,$F$27,[1]فروردین!$AA$2:$AA$366,S3)</f>
        <v>0</v>
      </c>
      <c r="T27" s="168">
        <f>SUMIFS([1]فروردین!$AD$2:$AD$366,[1]فروردین!$N$2:$N$366,$C$26,[1]فروردین!$D$2:$D$366,$F$27,[1]فروردین!$AA$2:$AA$366,T3)</f>
        <v>0</v>
      </c>
      <c r="U27" s="108">
        <f>SUMIFS([1]فروردین!$AD$2:$AD$366,[1]فروردین!$N$2:$N$366,$C$26,[1]فروردین!$D$2:$D$366,$F$27,[1]فروردین!$AA$2:$AA$366,U3)</f>
        <v>0</v>
      </c>
    </row>
    <row r="28" spans="1:21" ht="36" customHeight="1" thickBot="1" x14ac:dyDescent="0.3">
      <c r="A28" s="987"/>
      <c r="B28" s="973"/>
      <c r="C28" s="937"/>
      <c r="D28" s="934"/>
      <c r="E28" s="936"/>
      <c r="F28" s="24"/>
      <c r="G28" s="4">
        <f t="shared" si="0"/>
        <v>0</v>
      </c>
      <c r="H28" s="67">
        <f t="shared" si="1"/>
        <v>0</v>
      </c>
      <c r="I28" s="4">
        <f>SUMIFS([1]فروردین!$AF$27:$AF$157,[1]فروردین!$D$27:$D$157,F28)</f>
        <v>0</v>
      </c>
      <c r="J28" s="25">
        <v>0</v>
      </c>
      <c r="K28" s="4">
        <v>0</v>
      </c>
      <c r="L28" s="4">
        <v>0</v>
      </c>
      <c r="M28" s="4"/>
      <c r="N28" s="929"/>
      <c r="O28" s="167">
        <f>SUMIFS([1]فروردین!$AD$2:$AD$366,[1]فروردین!$N$2:$N$366,$C$26,[1]فروردین!$D$2:$D$366,$F$28,[1]فروردین!$AA$2:$AA$366,O3)</f>
        <v>0</v>
      </c>
      <c r="P28" s="175">
        <f>SUMIFS([1]فروردین!$AD$2:$AD$366,[1]فروردین!$N$2:$N$366,$C$26,[1]فروردین!$D$2:$D$366,$F$28,[1]فروردین!$AA$2:$AA$366,P3)</f>
        <v>0</v>
      </c>
      <c r="Q28" s="175">
        <f>SUMIFS([1]فروردین!$AD$2:$AD$366,[1]فروردین!$N$2:$N$366,$C$26,[1]فروردین!$D$2:$D$366,$F$28,[1]فروردین!$AA$2:$AA$366,Q3)</f>
        <v>0</v>
      </c>
      <c r="R28" s="175">
        <f>SUMIFS([1]فروردین!$AD$2:$AD$366,[1]فروردین!$N$2:$N$366,$C$26,[1]فروردین!$D$2:$D$366,$F$28,[1]فروردین!$AA$2:$AA$366,R3)</f>
        <v>0</v>
      </c>
      <c r="S28" s="175">
        <f>SUMIFS([1]فروردین!$AD$2:$AD$366,[1]فروردین!$N$2:$N$366,$C$26,[1]فروردین!$D$2:$D$366,$F$28,[1]فروردین!$AA$2:$AA$366,S3)</f>
        <v>0</v>
      </c>
      <c r="T28" s="175">
        <f>SUMIFS([1]فروردین!$AD$2:$AD$366,[1]فروردین!$N$2:$N$366,$C$26,[1]فروردین!$D$2:$D$366,$F$28,[1]فروردین!$AA$2:$AA$366,T3)</f>
        <v>0</v>
      </c>
      <c r="U28" s="114">
        <f>SUMIFS([1]فروردین!$AD$2:$AD$366,[1]فروردین!$N$2:$N$366,$C$26,[1]فروردین!$D$2:$D$366,$F$28,[1]فروردین!$AA$2:$AA$366,U3)</f>
        <v>0</v>
      </c>
    </row>
    <row r="29" spans="1:21" ht="42" customHeight="1" x14ac:dyDescent="0.25">
      <c r="A29" s="989">
        <v>14</v>
      </c>
      <c r="B29" s="972" t="s">
        <v>26</v>
      </c>
      <c r="C29" s="935">
        <v>7601</v>
      </c>
      <c r="D29" s="935">
        <v>68</v>
      </c>
      <c r="E29" s="914" t="s">
        <v>15</v>
      </c>
      <c r="F29" s="84" t="s">
        <v>27</v>
      </c>
      <c r="G29" s="85">
        <f t="shared" si="0"/>
        <v>0</v>
      </c>
      <c r="H29" s="86">
        <f t="shared" si="1"/>
        <v>0</v>
      </c>
      <c r="I29" s="9">
        <f>SUMIFS([1]فروردین!$AF$27:$AF$157,[1]فروردین!$D$27:$D$157,F29)</f>
        <v>108</v>
      </c>
      <c r="J29" s="85">
        <v>0</v>
      </c>
      <c r="K29" s="85">
        <v>0</v>
      </c>
      <c r="L29" s="85">
        <v>0</v>
      </c>
      <c r="M29" s="87">
        <f>(J29+J30+I30+I29+H29+H30+G30+G29+L29+K29)-D29</f>
        <v>40</v>
      </c>
      <c r="N29" s="941" t="s">
        <v>29</v>
      </c>
      <c r="O29" s="187">
        <f>SUMIFS([1]فروردین!$AD$2:$AD$366,[1]فروردین!$N$2:$N$366,$C$29,[1]فروردین!$D$2:$D$366,$F$29,[1]فروردین!$AA$2:$AA$366,O3)</f>
        <v>0</v>
      </c>
      <c r="P29" s="188">
        <f>SUMIFS([1]فروردین!$AD$2:$AD$366,[1]فروردین!$N$2:$N$366,$C$29,[1]فروردین!$D$2:$D$366,$F$29,[1]فروردین!$AA$2:$AA$366,P3)</f>
        <v>0</v>
      </c>
      <c r="Q29" s="188">
        <f>SUMIFS([1]فروردین!$AD$2:$AD$366,[1]فروردین!$N$2:$N$366,$C$29,[1]فروردین!$D$2:$D$366,$F$29,[1]فروردین!$AA$2:$AA$366,Q3)</f>
        <v>0</v>
      </c>
      <c r="R29" s="188">
        <f>SUMIFS([1]فروردین!$AD$2:$AD$366,[1]فروردین!$N$2:$N$366,$C$29,[1]فروردین!$D$2:$D$366,$F$29,[1]فروردین!$AA$2:$AA$366,R3)</f>
        <v>0</v>
      </c>
      <c r="S29" s="188">
        <f>SUMIFS([1]فروردین!$AD$2:$AD$366,[1]فروردین!$N$2:$N$366,$C$29,[1]فروردین!$D$2:$D$366,$F$29,[1]فروردین!$AA$2:$AA$366,S3)</f>
        <v>0</v>
      </c>
      <c r="T29" s="188">
        <f>SUMIFS([1]فروردین!$AD$2:$AD$366,[1]فروردین!$N$2:$N$366,$C$29,[1]فروردین!$D$2:$D$366,$F$29,[1]فروردین!$AA$2:$AA$366,T3)</f>
        <v>0</v>
      </c>
      <c r="U29" s="128">
        <f>SUMIFS([1]فروردین!$AD$2:$AD$366,[1]فروردین!$N$2:$N$366,$C$29,[1]فروردین!$D$2:$D$366,$F$29,[1]فروردین!$AA$2:$AA$366,U3)</f>
        <v>0</v>
      </c>
    </row>
    <row r="30" spans="1:21" ht="42" customHeight="1" thickBot="1" x14ac:dyDescent="0.3">
      <c r="A30" s="940"/>
      <c r="B30" s="973"/>
      <c r="C30" s="937"/>
      <c r="D30" s="937"/>
      <c r="E30" s="915"/>
      <c r="F30" s="124"/>
      <c r="G30" s="126">
        <f t="shared" si="0"/>
        <v>0</v>
      </c>
      <c r="H30" s="130">
        <f t="shared" si="1"/>
        <v>0</v>
      </c>
      <c r="I30" s="6">
        <f>SUMIFS([1]فروردین!$AF$27:$AF$157,[1]فروردین!$D$27:$D$157,F30)</f>
        <v>0</v>
      </c>
      <c r="J30" s="125">
        <v>0</v>
      </c>
      <c r="K30" s="126">
        <v>0</v>
      </c>
      <c r="L30" s="126">
        <v>0</v>
      </c>
      <c r="M30" s="127"/>
      <c r="N30" s="917"/>
      <c r="O30" s="274">
        <f>SUMIFS([1]فروردین!$AD$2:$AD$366,[1]فروردین!$N$2:$N$366,$C$29,[1]فروردین!$D$2:$D$366,$F$30,[1]فروردین!$AA$2:$AA$366,O3)</f>
        <v>0</v>
      </c>
      <c r="P30" s="275">
        <f>SUMIFS([1]فروردین!$AD$2:$AD$366,[1]فروردین!$N$2:$N$366,$C$29,[1]فروردین!$D$2:$D$366,$F$30,[1]فروردین!$AA$2:$AA$366,P3)</f>
        <v>0</v>
      </c>
      <c r="Q30" s="275">
        <f>SUMIFS([1]فروردین!$AD$2:$AD$366,[1]فروردین!$N$2:$N$366,$C$29,[1]فروردین!$D$2:$D$366,$F$30,[1]فروردین!$AA$2:$AA$366,Q3)</f>
        <v>0</v>
      </c>
      <c r="R30" s="275">
        <f>SUMIFS([1]فروردین!$AD$2:$AD$366,[1]فروردین!$N$2:$N$366,$C$29,[1]فروردین!$D$2:$D$366,$F$30,[1]فروردین!$AA$2:$AA$366,R3)</f>
        <v>0</v>
      </c>
      <c r="S30" s="275">
        <f>SUMIFS([1]فروردین!$AD$2:$AD$366,[1]فروردین!$N$2:$N$366,$C$29,[1]فروردین!$D$2:$D$366,$F$30,[1]فروردین!$AA$2:$AA$366,S3)</f>
        <v>0</v>
      </c>
      <c r="T30" s="275">
        <f>SUMIFS([1]فروردین!$AD$2:$AD$366,[1]فروردین!$N$2:$N$366,$C$29,[1]فروردین!$D$2:$D$366,$F$30,[1]فروردین!$AA$2:$AA$366,T3)</f>
        <v>0</v>
      </c>
      <c r="U30" s="121">
        <f>SUMIFS([1]فروردین!$AD$2:$AD$366,[1]فروردین!$N$2:$N$366,$C$29,[1]فروردین!$D$2:$D$366,$F$30,[1]فروردین!$AA$2:$AA$366,U3)</f>
        <v>0</v>
      </c>
    </row>
    <row r="31" spans="1:21" ht="42" customHeight="1" x14ac:dyDescent="0.25">
      <c r="A31" s="912">
        <v>15</v>
      </c>
      <c r="B31" s="972" t="s">
        <v>26</v>
      </c>
      <c r="C31" s="935">
        <v>7602</v>
      </c>
      <c r="D31" s="935">
        <v>68</v>
      </c>
      <c r="E31" s="914" t="s">
        <v>15</v>
      </c>
      <c r="F31" s="84" t="s">
        <v>27</v>
      </c>
      <c r="G31" s="9">
        <f t="shared" si="0"/>
        <v>0</v>
      </c>
      <c r="H31" s="46">
        <f t="shared" si="1"/>
        <v>0</v>
      </c>
      <c r="I31" s="9">
        <f>SUMIFS([1]فروردین!$AF$27:$AF$157,[1]فروردین!$D$27:$D$157,F31)</f>
        <v>108</v>
      </c>
      <c r="J31" s="85">
        <v>0</v>
      </c>
      <c r="K31" s="85">
        <v>0</v>
      </c>
      <c r="L31" s="85">
        <v>0</v>
      </c>
      <c r="M31" s="87">
        <f>(J31+J32+I32+I31+H31+H32+G32+G31)-D31</f>
        <v>40</v>
      </c>
      <c r="N31" s="916" t="s">
        <v>29</v>
      </c>
      <c r="O31" s="165">
        <f>SUMIFS([1]فروردین!$AD$2:$AD$366,[1]فروردین!$N$2:$N$366,$C$31,[1]فروردین!$D$2:$D$366,$F$31,[1]فروردین!$AA$2:$AA$366,O3)</f>
        <v>0</v>
      </c>
      <c r="P31" s="169">
        <f>SUMIFS([1]فروردین!$AD$2:$AD$366,[1]فروردین!$N$2:$N$366,$C$31,[1]فروردین!$D$2:$D$366,$F$31,[1]فروردین!$AA$2:$AA$366,P3)</f>
        <v>0</v>
      </c>
      <c r="Q31" s="169">
        <f>SUMIFS([1]فروردین!$AD$2:$AD$366,[1]فروردین!$N$2:$N$366,$C$31,[1]فروردین!$D$2:$D$366,$F$31,[1]فروردین!$AA$2:$AA$366,Q3)</f>
        <v>0</v>
      </c>
      <c r="R31" s="169">
        <f>SUMIFS([1]فروردین!$AD$2:$AD$366,[1]فروردین!$N$2:$N$366,$C$31,[1]فروردین!$D$2:$D$366,$F$31,[1]فروردین!$AA$2:$AA$366,R3)</f>
        <v>0</v>
      </c>
      <c r="S31" s="169">
        <f>SUMIFS([1]فروردین!$AD$2:$AD$366,[1]فروردین!$N$2:$N$366,$C$31,[1]فروردین!$D$2:$D$366,$F$31,[1]فروردین!$AA$2:$AA$366,S3)</f>
        <v>0</v>
      </c>
      <c r="T31" s="169">
        <f>SUMIFS([1]فروردین!$AD$2:$AD$366,[1]فروردین!$N$2:$N$366,$C$31,[1]فروردین!$D$2:$D$366,$F$31,[1]فروردین!$AA$2:$AA$366,T3)</f>
        <v>0</v>
      </c>
      <c r="U31" s="107">
        <f>SUMIFS([1]فروردین!$AD$2:$AD$366,[1]فروردین!$N$2:$N$366,$C$31,[1]فروردین!$D$2:$D$366,$F$31,[1]فروردین!$AA$2:$AA$366,U3)</f>
        <v>0</v>
      </c>
    </row>
    <row r="32" spans="1:21" ht="42" customHeight="1" thickBot="1" x14ac:dyDescent="0.3">
      <c r="A32" s="913"/>
      <c r="B32" s="973"/>
      <c r="C32" s="937"/>
      <c r="D32" s="937"/>
      <c r="E32" s="915"/>
      <c r="F32" s="124"/>
      <c r="G32" s="6">
        <f t="shared" si="0"/>
        <v>0</v>
      </c>
      <c r="H32" s="64">
        <f t="shared" si="1"/>
        <v>0</v>
      </c>
      <c r="I32" s="6">
        <f>SUMIFS([1]فروردین!$AF$27:$AF$157,[1]فروردین!$D$27:$D$157,F32)</f>
        <v>0</v>
      </c>
      <c r="J32" s="125">
        <v>0</v>
      </c>
      <c r="K32" s="126">
        <v>0</v>
      </c>
      <c r="L32" s="126">
        <v>0</v>
      </c>
      <c r="M32" s="127"/>
      <c r="N32" s="917"/>
      <c r="O32" s="171">
        <f>SUMIFS([1]فروردین!$AD$2:$AD$366,[1]فروردین!$N$2:$N$366,$C$31,[1]فروردین!$D$2:$D$366,$F$32,[1]فروردین!$AA$2:$AA$366,O3)</f>
        <v>0</v>
      </c>
      <c r="P32" s="172">
        <f>SUMIFS([1]فروردین!$AD$2:$AD$366,[1]فروردین!$N$2:$N$366,$C$31,[1]فروردین!$D$2:$D$366,$F$32,[1]فروردین!$AA$2:$AA$366,P3)</f>
        <v>0</v>
      </c>
      <c r="Q32" s="172">
        <f>SUMIFS([1]فروردین!$AD$2:$AD$366,[1]فروردین!$N$2:$N$366,$C$31,[1]فروردین!$D$2:$D$366,$F$32,[1]فروردین!$AA$2:$AA$366,Q3)</f>
        <v>0</v>
      </c>
      <c r="R32" s="172">
        <f>SUMIFS([1]فروردین!$AD$2:$AD$366,[1]فروردین!$N$2:$N$366,$C$31,[1]فروردین!$D$2:$D$366,$F$32,[1]فروردین!$AA$2:$AA$366,R3)</f>
        <v>0</v>
      </c>
      <c r="S32" s="172">
        <f>SUMIFS([1]فروردین!$AD$2:$AD$366,[1]فروردین!$N$2:$N$366,$C$31,[1]فروردین!$D$2:$D$366,$F$32,[1]فروردین!$AA$2:$AA$366,S3)</f>
        <v>0</v>
      </c>
      <c r="T32" s="172">
        <f>SUMIFS([1]فروردین!$AD$2:$AD$366,[1]فروردین!$N$2:$N$366,$C$31,[1]فروردین!$D$2:$D$366,$F$32,[1]فروردین!$AA$2:$AA$366,T3)</f>
        <v>0</v>
      </c>
      <c r="U32" s="109">
        <f>SUMIFS([1]فروردین!$AD$2:$AD$366,[1]فروردین!$N$2:$N$366,$C$31,[1]فروردین!$D$2:$D$366,$F$32,[1]فروردین!$AA$2:$AA$366,U3)</f>
        <v>0</v>
      </c>
    </row>
    <row r="33" spans="1:21" ht="36" customHeight="1" x14ac:dyDescent="0.25">
      <c r="A33" s="954">
        <v>16</v>
      </c>
      <c r="B33" s="974" t="s">
        <v>26</v>
      </c>
      <c r="C33" s="932">
        <v>7603</v>
      </c>
      <c r="D33" s="932">
        <v>68</v>
      </c>
      <c r="E33" s="970" t="s">
        <v>15</v>
      </c>
      <c r="F33" s="91" t="s">
        <v>27</v>
      </c>
      <c r="G33" s="1">
        <f t="shared" si="0"/>
        <v>0</v>
      </c>
      <c r="H33" s="49">
        <f t="shared" si="1"/>
        <v>0</v>
      </c>
      <c r="I33" s="1">
        <f>SUMIFS([1]فروردین!$AF$27:$AF$157,[1]فروردین!$D$27:$D$157,F33)</f>
        <v>108</v>
      </c>
      <c r="J33" s="1">
        <v>0</v>
      </c>
      <c r="K33" s="1">
        <v>0</v>
      </c>
      <c r="L33" s="1">
        <v>0</v>
      </c>
      <c r="M33" s="60">
        <f>(J33+J34+I34+I33+H33+H34+G34+G33+L33+L34)-D33</f>
        <v>40</v>
      </c>
      <c r="N33" s="928" t="s">
        <v>29</v>
      </c>
      <c r="O33" s="173">
        <f>SUMIFS([1]فروردین!$AD$2:$AD$366,[1]فروردین!$N$2:$N$366,$C$33,[1]فروردین!$D$2:$D$366,$F$33,[1]فروردین!$AA$2:$AA$366,O3)</f>
        <v>0</v>
      </c>
      <c r="P33" s="174">
        <f>SUMIFS([1]فروردین!$AD$2:$AD$366,[1]فروردین!$N$2:$N$366,$C$33,[1]فروردین!$D$2:$D$366,$F$33,[1]فروردین!$AA$2:$AA$366,P3)</f>
        <v>0</v>
      </c>
      <c r="Q33" s="174">
        <f>SUMIFS([1]فروردین!$AD$2:$AD$366,[1]فروردین!$N$2:$N$366,$C$33,[1]فروردین!$D$2:$D$366,$F$33,[1]فروردین!$AA$2:$AA$366,Q3)</f>
        <v>0</v>
      </c>
      <c r="R33" s="174">
        <f>SUMIFS([1]فروردین!$AD$2:$AD$366,[1]فروردین!$N$2:$N$366,$C$33,[1]فروردین!$D$2:$D$366,$F$33,[1]فروردین!$AA$2:$AA$366,R3)</f>
        <v>0</v>
      </c>
      <c r="S33" s="174">
        <f>SUMIFS([1]فروردین!$AD$2:$AD$366,[1]فروردین!$N$2:$N$366,$C$33,[1]فروردین!$D$2:$D$366,$F$33,[1]فروردین!$AA$2:$AA$366,S3)</f>
        <v>0</v>
      </c>
      <c r="T33" s="174">
        <f>SUMIFS([1]فروردین!$AD$2:$AD$366,[1]فروردین!$N$2:$N$366,$C$33,[1]فروردین!$D$2:$D$366,$F$33,[1]فروردین!$AA$2:$AA$366,T3)</f>
        <v>0</v>
      </c>
      <c r="U33" s="110">
        <f>SUMIFS([1]فروردین!$AD$2:$AD$366,[1]فروردین!$N$2:$N$366,$C$33,[1]فروردین!$D$2:$D$366,$F$33,[1]فروردین!$AA$2:$AA$366,U3)</f>
        <v>0</v>
      </c>
    </row>
    <row r="34" spans="1:21" ht="36" customHeight="1" thickBot="1" x14ac:dyDescent="0.3">
      <c r="A34" s="942"/>
      <c r="B34" s="976"/>
      <c r="C34" s="934"/>
      <c r="D34" s="934"/>
      <c r="E34" s="966"/>
      <c r="F34" s="24"/>
      <c r="G34" s="4">
        <f t="shared" si="0"/>
        <v>0</v>
      </c>
      <c r="H34" s="67">
        <f t="shared" si="1"/>
        <v>0</v>
      </c>
      <c r="I34" s="4">
        <f>SUMIFS([1]فروردین!$AF$27:$AF$157,[1]فروردین!$D$27:$D$157,F34)</f>
        <v>0</v>
      </c>
      <c r="J34" s="25">
        <v>0</v>
      </c>
      <c r="K34" s="4">
        <v>0</v>
      </c>
      <c r="L34" s="4">
        <v>0</v>
      </c>
      <c r="M34" s="65"/>
      <c r="N34" s="950"/>
      <c r="O34" s="167">
        <f>SUMIFS([1]فروردین!$AD$2:$AD$366,[1]فروردین!$N$2:$N$366,$C$33,[1]فروردین!$D$2:$D$366,$F$34,[1]فروردین!$AA$2:$AA$366,O3)</f>
        <v>0</v>
      </c>
      <c r="P34" s="175">
        <f>SUMIFS([1]فروردین!$AD$2:$AD$366,[1]فروردین!$N$2:$N$366,$C$33,[1]فروردین!$D$2:$D$366,$F$34,[1]فروردین!$AA$2:$AA$366,P3)</f>
        <v>0</v>
      </c>
      <c r="Q34" s="175">
        <f>SUMIFS([1]فروردین!$AD$2:$AD$366,[1]فروردین!$N$2:$N$366,$C$33,[1]فروردین!$D$2:$D$366,$F$34,[1]فروردین!$AA$2:$AA$366,Q3)</f>
        <v>0</v>
      </c>
      <c r="R34" s="175">
        <f>SUMIFS([1]فروردین!$AD$2:$AD$366,[1]فروردین!$N$2:$N$366,$C$33,[1]فروردین!$D$2:$D$366,$F$34,[1]فروردین!$AA$2:$AA$366,R3)</f>
        <v>0</v>
      </c>
      <c r="S34" s="175">
        <f>SUMIFS([1]فروردین!$AD$2:$AD$366,[1]فروردین!$N$2:$N$366,$C$33,[1]فروردین!$D$2:$D$366,$F$34,[1]فروردین!$AA$2:$AA$366,S3)</f>
        <v>0</v>
      </c>
      <c r="T34" s="175">
        <f>SUMIFS([1]فروردین!$AD$2:$AD$366,[1]فروردین!$N$2:$N$366,$C$33,[1]فروردین!$D$2:$D$366,$F$34,[1]فروردین!$AA$2:$AA$366,T3)</f>
        <v>0</v>
      </c>
      <c r="U34" s="114">
        <f>SUMIFS([1]فروردین!$AD$2:$AD$366,[1]فروردین!$N$2:$N$366,$C$33,[1]فروردین!$D$2:$D$366,$F$34,[1]فروردین!$AA$2:$AA$366,U3)</f>
        <v>0</v>
      </c>
    </row>
    <row r="35" spans="1:21" ht="36" customHeight="1" x14ac:dyDescent="0.25">
      <c r="A35" s="912">
        <v>17</v>
      </c>
      <c r="B35" s="980" t="s">
        <v>26</v>
      </c>
      <c r="C35" s="982">
        <v>7604</v>
      </c>
      <c r="D35" s="982">
        <v>68</v>
      </c>
      <c r="E35" s="977" t="s">
        <v>19</v>
      </c>
      <c r="F35" s="321"/>
      <c r="G35" s="9">
        <f t="shared" si="0"/>
        <v>0</v>
      </c>
      <c r="H35" s="46">
        <f t="shared" si="1"/>
        <v>0</v>
      </c>
      <c r="I35" s="9">
        <f>SUMIFS([1]فروردین!$AF$27:$AF$157,[1]فروردین!$D$27:$D$157,F35)</f>
        <v>0</v>
      </c>
      <c r="J35" s="77">
        <v>68</v>
      </c>
      <c r="K35" s="77">
        <v>0</v>
      </c>
      <c r="L35" s="77">
        <v>0</v>
      </c>
      <c r="M35" s="23">
        <f>(J35+J36+I35+I36+H36+H35+G35+G36)-D35</f>
        <v>0</v>
      </c>
      <c r="N35" s="979" t="s">
        <v>28</v>
      </c>
      <c r="O35" s="192"/>
      <c r="P35" s="193"/>
      <c r="Q35" s="193"/>
      <c r="R35" s="193"/>
      <c r="S35" s="193"/>
      <c r="T35" s="193"/>
      <c r="U35" s="155"/>
    </row>
    <row r="36" spans="1:21" ht="36" customHeight="1" thickBot="1" x14ac:dyDescent="0.3">
      <c r="A36" s="913"/>
      <c r="B36" s="981"/>
      <c r="C36" s="983"/>
      <c r="D36" s="983"/>
      <c r="E36" s="978"/>
      <c r="F36" s="320"/>
      <c r="G36" s="6">
        <f t="shared" si="0"/>
        <v>0</v>
      </c>
      <c r="H36" s="64">
        <f t="shared" si="1"/>
        <v>0</v>
      </c>
      <c r="I36" s="6">
        <f>SUMIFS([1]فروردین!$AF$27:$AF$157,[1]فروردین!$D$27:$D$157,F36)</f>
        <v>0</v>
      </c>
      <c r="J36" s="7">
        <v>0</v>
      </c>
      <c r="K36" s="6">
        <v>0</v>
      </c>
      <c r="L36" s="6">
        <v>0</v>
      </c>
      <c r="M36" s="26"/>
      <c r="N36" s="946"/>
      <c r="O36" s="287"/>
      <c r="P36" s="282"/>
      <c r="Q36" s="282"/>
      <c r="R36" s="282"/>
      <c r="S36" s="282"/>
      <c r="T36" s="282"/>
      <c r="U36" s="157"/>
    </row>
    <row r="37" spans="1:21" ht="36" customHeight="1" x14ac:dyDescent="0.25">
      <c r="A37" s="954">
        <v>18</v>
      </c>
      <c r="B37" s="972" t="s">
        <v>26</v>
      </c>
      <c r="C37" s="935">
        <v>7605</v>
      </c>
      <c r="D37" s="935">
        <v>68</v>
      </c>
      <c r="E37" s="968" t="s">
        <v>15</v>
      </c>
      <c r="F37" s="91" t="s">
        <v>27</v>
      </c>
      <c r="G37" s="93">
        <f t="shared" si="0"/>
        <v>0</v>
      </c>
      <c r="H37" s="92">
        <f t="shared" si="1"/>
        <v>0</v>
      </c>
      <c r="I37" s="1">
        <f>SUMIFS([1]فروردین!$AF$27:$AF$157,[1]فروردین!$D$27:$D$157,F37)</f>
        <v>108</v>
      </c>
      <c r="J37" s="93"/>
      <c r="K37" s="93">
        <v>0</v>
      </c>
      <c r="L37" s="314">
        <v>0</v>
      </c>
      <c r="M37" s="94">
        <f>(G37+H37+I37+J37+K37+L37)-D37</f>
        <v>40</v>
      </c>
      <c r="N37" s="971" t="s">
        <v>28</v>
      </c>
      <c r="O37" s="315">
        <f>SUMIFS([1]فروردین!$AD$2:$AD$366,[1]فروردین!$N$2:$N$366,$C$37,[1]فروردین!$D$2:$D$366,$F$37,[1]فروردین!$AA$2:$AA$366,O3)</f>
        <v>0</v>
      </c>
      <c r="P37" s="316">
        <f>SUMIFS([1]فروردین!$AD$2:$AD$366,[1]فروردین!$N$2:$N$366,$C$37,[1]فروردین!$D$2:$D$366,$F$37,[1]فروردین!$AA$2:$AA$366,P3)</f>
        <v>0</v>
      </c>
      <c r="Q37" s="316">
        <f>SUMIFS([1]فروردین!$AD$2:$AD$366,[1]فروردین!$N$2:$N$366,$C$37,[1]فروردین!$D$2:$D$366,$F$37,[1]فروردین!$AA$2:$AA$366,Q3)</f>
        <v>0</v>
      </c>
      <c r="R37" s="316">
        <f>SUMIFS([1]فروردین!$AD$2:$AD$366,[1]فروردین!$N$2:$N$366,$C$37,[1]فروردین!$D$2:$D$366,$F$37,[1]فروردین!$AA$2:$AA$366,R3)</f>
        <v>0</v>
      </c>
      <c r="S37" s="316">
        <f>SUMIFS([1]فروردین!$AD$2:$AD$366,[1]فروردین!$N$2:$N$366,$C$37,[1]فروردین!$D$2:$D$366,$F$37,[1]فروردین!$AA$2:$AA$366,S3)</f>
        <v>0</v>
      </c>
      <c r="T37" s="316">
        <f>SUMIFS([1]فروردین!$AD$2:$AD$366,[1]فروردین!$N$2:$N$366,$C$37,[1]فروردین!$D$2:$D$366,$F$37,[1]فروردین!$AA$2:$AA$366,T3)</f>
        <v>0</v>
      </c>
      <c r="U37" s="317">
        <f>SUMIFS([1]فروردین!$AD$2:$AD$366,[1]فروردین!$N$2:$N$366,$C$37,[1]فروردین!$D$2:$D$366,$F$37,[1]فروردین!$AA$2:$AA$366,U3)</f>
        <v>0</v>
      </c>
    </row>
    <row r="38" spans="1:21" ht="36" customHeight="1" thickBot="1" x14ac:dyDescent="0.3">
      <c r="A38" s="942"/>
      <c r="B38" s="973"/>
      <c r="C38" s="937"/>
      <c r="D38" s="937"/>
      <c r="E38" s="915"/>
      <c r="F38" s="124"/>
      <c r="G38" s="93">
        <f t="shared" si="0"/>
        <v>0</v>
      </c>
      <c r="H38" s="92">
        <f t="shared" si="1"/>
        <v>0</v>
      </c>
      <c r="I38" s="1">
        <f>SUMIFS([1]فروردین!$AF$27:$AF$157,[1]فروردین!$D$27:$D$157,F38)</f>
        <v>0</v>
      </c>
      <c r="J38" s="125">
        <v>0</v>
      </c>
      <c r="K38" s="126">
        <v>0</v>
      </c>
      <c r="L38" s="126">
        <v>0</v>
      </c>
      <c r="M38" s="154"/>
      <c r="N38" s="917"/>
      <c r="O38" s="190">
        <f>SUMIFS([1]فروردین!$AD$2:$AD$366,[1]فروردین!$N$2:$N$366,$C$37,[1]فروردین!$D$2:$D$366,$F$38,[1]فروردین!$AA$2:$AA$366,O3)</f>
        <v>0</v>
      </c>
      <c r="P38" s="191">
        <f>SUMIFS([1]فروردین!$AD$2:$AD$366,[1]فروردین!$N$2:$N$366,$C$37,[1]فروردین!$D$2:$D$366,$F$38,[1]فروردین!$AA$2:$AA$366,P3)</f>
        <v>0</v>
      </c>
      <c r="Q38" s="191">
        <f>SUMIFS([1]فروردین!$AD$2:$AD$366,[1]فروردین!$N$2:$N$366,$C$37,[1]فروردین!$D$2:$D$366,$F$38,[1]فروردین!$AA$2:$AA$366,Q3)</f>
        <v>0</v>
      </c>
      <c r="R38" s="191">
        <f>SUMIFS([1]فروردین!$AD$2:$AD$366,[1]فروردین!$N$2:$N$366,$C$37,[1]فروردین!$D$2:$D$366,$F$38,[1]فروردین!$AA$2:$AA$366,R3)</f>
        <v>0</v>
      </c>
      <c r="S38" s="191">
        <f>SUMIFS([1]فروردین!$AD$2:$AD$366,[1]فروردین!$N$2:$N$366,$C$37,[1]فروردین!$D$2:$D$366,$F$38,[1]فروردین!$AA$2:$AA$366,S3)</f>
        <v>0</v>
      </c>
      <c r="T38" s="191">
        <f>SUMIFS([1]فروردین!$AD$2:$AD$366,[1]فروردین!$N$2:$N$366,$C$37,[1]فروردین!$D$2:$D$366,$F$38,[1]فروردین!$AA$2:$AA$366,T3)</f>
        <v>0</v>
      </c>
      <c r="U38" s="115">
        <f>SUMIFS([1]فروردین!$AD$2:$AD$366,[1]فروردین!$N$2:$N$366,$C$37,[1]فروردین!$D$2:$D$366,$F$38,[1]فروردین!$AA$2:$AA$366,U3)</f>
        <v>0</v>
      </c>
    </row>
    <row r="39" spans="1:21" ht="36" customHeight="1" x14ac:dyDescent="0.25">
      <c r="A39" s="229"/>
      <c r="B39" s="974" t="s">
        <v>30</v>
      </c>
      <c r="C39" s="932">
        <v>7701</v>
      </c>
      <c r="D39" s="932">
        <v>62.5</v>
      </c>
      <c r="E39" s="932" t="s">
        <v>15</v>
      </c>
      <c r="F39" s="323"/>
      <c r="G39" s="9">
        <f t="shared" si="0"/>
        <v>0</v>
      </c>
      <c r="H39" s="46">
        <f t="shared" si="1"/>
        <v>0</v>
      </c>
      <c r="I39" s="1">
        <f>SUMIFS([1]فروردین!$AF$27:$AF$157,[1]فروردین!$D$27:$D$157,F39)</f>
        <v>0</v>
      </c>
      <c r="J39" s="9">
        <v>0</v>
      </c>
      <c r="K39" s="9">
        <v>0</v>
      </c>
      <c r="L39" s="9">
        <v>0</v>
      </c>
      <c r="M39" s="28"/>
      <c r="N39" s="945" t="s">
        <v>13</v>
      </c>
      <c r="O39" s="165">
        <f>SUMIFS([1]فروردین!$AD$2:$AD$366,[1]فروردین!$N$2:$N$366,$C$39,[1]فروردین!$D$2:$D$366,$F$39,[1]فروردین!$AA$2:$AA$366,O3)</f>
        <v>0</v>
      </c>
      <c r="P39" s="169">
        <f>SUMIFS([1]فروردین!$AD$2:$AD$366,[1]فروردین!$N$2:$N$366,$C$39,[1]فروردین!$D$2:$D$366,$F$39,[1]فروردین!$AA$2:$AA$366,P3)</f>
        <v>0</v>
      </c>
      <c r="Q39" s="169">
        <f>SUMIFS([1]فروردین!$AD$2:$AD$366,[1]فروردین!$N$2:$N$366,$C$39,[1]فروردین!$D$2:$D$366,$F$39,[1]فروردین!$AA$2:$AA$366,Q3)</f>
        <v>0</v>
      </c>
      <c r="R39" s="169">
        <f>SUMIFS([1]فروردین!$AD$2:$AD$366,[1]فروردین!$N$2:$N$366,$C$39,[1]فروردین!$D$2:$D$366,$F$39,[1]فروردین!$AA$2:$AA$366,R3)</f>
        <v>0</v>
      </c>
      <c r="S39" s="169">
        <f>SUMIFS([1]فروردین!$AD$2:$AD$366,[1]فروردین!$N$2:$N$366,$C$39,[1]فروردین!$D$2:$D$366,$F$39,[1]فروردین!$AA$2:$AA$366,S3)</f>
        <v>0</v>
      </c>
      <c r="T39" s="169">
        <f>SUMIFS([1]فروردین!$AD$2:$AD$366,[1]فروردین!$N$2:$N$366,$C$39,[1]فروردین!$D$2:$D$366,$F$39,[1]فروردین!$AA$2:$AA$366,T3)</f>
        <v>0</v>
      </c>
      <c r="U39" s="107">
        <f>SUMIFS([1]فروردین!$AD$2:$AD$366,[1]فروردین!$N$2:$N$366,$C$39,[1]فروردین!$D$2:$D$366,$F$39,[1]فروردین!$AA$2:$AA$366,U3)</f>
        <v>0</v>
      </c>
    </row>
    <row r="40" spans="1:21" ht="36" customHeight="1" x14ac:dyDescent="0.25">
      <c r="A40" s="214">
        <v>19</v>
      </c>
      <c r="B40" s="975"/>
      <c r="C40" s="933"/>
      <c r="D40" s="933"/>
      <c r="E40" s="933"/>
      <c r="F40" s="322"/>
      <c r="G40" s="3">
        <f t="shared" si="0"/>
        <v>0</v>
      </c>
      <c r="H40" s="47">
        <f t="shared" si="1"/>
        <v>0</v>
      </c>
      <c r="I40" s="1">
        <f>SUMIFS([1]فروردین!$AF$27:$AF$157,[1]فروردین!$D$27:$D$157,F40)</f>
        <v>0</v>
      </c>
      <c r="J40" s="25">
        <v>0</v>
      </c>
      <c r="K40" s="25">
        <v>0</v>
      </c>
      <c r="L40" s="70">
        <v>0</v>
      </c>
      <c r="M40" s="4">
        <f>(J39+J40+J41+I41+I40+I39+H39+H40+H41+G41+G40+G39)-D39</f>
        <v>-62.5</v>
      </c>
      <c r="N40" s="956"/>
      <c r="O40" s="166">
        <f>SUMIFS([1]فروردین!$AD$2:$AD$366,[1]فروردین!$N$2:$N$366,$C$39,[1]فروردین!$D$2:$D$366,$F$40,[1]فروردین!$AA$2:$AA$366,O3)</f>
        <v>0</v>
      </c>
      <c r="P40" s="168">
        <f>SUMIFS([1]فروردین!$AD$2:$AD$366,[1]فروردین!$N$2:$N$366,$C$39,[1]فروردین!$D$2:$D$366,$F$40,[1]فروردین!$AA$2:$AA$366,P3)</f>
        <v>0</v>
      </c>
      <c r="Q40" s="168">
        <f>SUMIFS([1]فروردین!$AD$2:$AD$366,[1]فروردین!$N$2:$N$366,$C$39,[1]فروردین!$D$2:$D$366,$F$40,[1]فروردین!$AA$2:$AA$366,Q3)</f>
        <v>0</v>
      </c>
      <c r="R40" s="168">
        <f>SUMIFS([1]فروردین!$AD$2:$AD$366,[1]فروردین!$N$2:$N$366,$C$39,[1]فروردین!$D$2:$D$366,$F$40,[1]فروردین!$AA$2:$AA$366,R3)</f>
        <v>0</v>
      </c>
      <c r="S40" s="168">
        <f>SUMIFS([1]فروردین!$AD$2:$AD$366,[1]فروردین!$N$2:$N$366,$C$39,[1]فروردین!$D$2:$D$366,$F$40,[1]فروردین!$AA$2:$AA$366,S3)</f>
        <v>0</v>
      </c>
      <c r="T40" s="168">
        <f>SUMIFS([1]فروردین!$AD$2:$AD$366,[1]فروردین!$N$2:$N$366,$C$39,[1]فروردین!$D$2:$D$366,$F$40,[1]فروردین!$AA$2:$AA$366,T3)</f>
        <v>0</v>
      </c>
      <c r="U40" s="108">
        <f>SUMIFS([1]فروردین!$AD$2:$AD$366,[1]فروردین!$N$2:$N$366,$C$39,[1]فروردین!$D$2:$D$366,$F$40,[1]فروردین!$AA$2:$AA$366,U3)</f>
        <v>0</v>
      </c>
    </row>
    <row r="41" spans="1:21" ht="36" customHeight="1" thickBot="1" x14ac:dyDescent="0.3">
      <c r="A41" s="214"/>
      <c r="B41" s="976"/>
      <c r="C41" s="934"/>
      <c r="D41" s="934"/>
      <c r="E41" s="934"/>
      <c r="F41" s="57"/>
      <c r="G41" s="4">
        <f t="shared" si="0"/>
        <v>0</v>
      </c>
      <c r="H41" s="67">
        <f t="shared" si="1"/>
        <v>0</v>
      </c>
      <c r="I41" s="4">
        <f>SUMIFS([1]فروردین!$AF$27:$AF$157,[1]فروردین!$D$27:$D$157,F41)</f>
        <v>0</v>
      </c>
      <c r="J41" s="25">
        <v>0</v>
      </c>
      <c r="K41" s="25">
        <v>0</v>
      </c>
      <c r="L41" s="25">
        <v>0</v>
      </c>
      <c r="M41" s="65"/>
      <c r="N41" s="950"/>
      <c r="O41" s="167">
        <f>SUMIFS([1]فروردین!$AD$2:$AD$366,[1]فروردین!$N$2:$N$366,$C$39,[1]فروردین!$D$2:$D$366,$F$41,[1]فروردین!$AA$2:$AA$366,O3)</f>
        <v>0</v>
      </c>
      <c r="P41" s="175">
        <f>SUMIFS([1]فروردین!$AD$2:$AD$366,[1]فروردین!$N$2:$N$366,$C$39,[1]فروردین!$D$2:$D$366,$F$41,[1]فروردین!$AA$2:$AA$366,P3)</f>
        <v>0</v>
      </c>
      <c r="Q41" s="175">
        <f>SUMIFS([1]فروردین!$AD$2:$AD$366,[1]فروردین!$N$2:$N$366,$C$39,[1]فروردین!$D$2:$D$366,$F$41,[1]فروردین!$AA$2:$AA$366,Q3)</f>
        <v>0</v>
      </c>
      <c r="R41" s="175">
        <f>SUMIFS([1]فروردین!$AD$2:$AD$366,[1]فروردین!$N$2:$N$366,$C$39,[1]فروردین!$D$2:$D$366,$F$41,[1]فروردین!$AA$2:$AA$366,R3)</f>
        <v>0</v>
      </c>
      <c r="S41" s="175">
        <f>SUMIFS([1]فروردین!$AD$2:$AD$366,[1]فروردین!$N$2:$N$366,$C$39,[1]فروردین!$D$2:$D$366,$F$41,[1]فروردین!$AA$2:$AA$366,S3)</f>
        <v>0</v>
      </c>
      <c r="T41" s="175">
        <f>SUMIFS([1]فروردین!$AD$2:$AD$366,[1]فروردین!$N$2:$N$366,$C$39,[1]فروردین!$D$2:$D$366,$F$41,[1]فروردین!$AA$2:$AA$366,T3)</f>
        <v>0</v>
      </c>
      <c r="U41" s="114">
        <f>SUMIFS([1]فروردین!$AD$2:$AD$366,[1]فروردین!$N$2:$N$366,$C$39,[1]فروردین!$D$2:$D$366,$F$41,[1]فروردین!$AA$2:$AA$366,U3)</f>
        <v>0</v>
      </c>
    </row>
    <row r="42" spans="1:21" ht="36" customHeight="1" thickBot="1" x14ac:dyDescent="0.3">
      <c r="A42" s="45">
        <v>20</v>
      </c>
      <c r="B42" s="41" t="s">
        <v>63</v>
      </c>
      <c r="C42" s="13">
        <v>8009</v>
      </c>
      <c r="D42" s="13">
        <v>62.5</v>
      </c>
      <c r="E42" s="13" t="s">
        <v>15</v>
      </c>
      <c r="F42" s="31"/>
      <c r="G42" s="14">
        <f t="shared" si="0"/>
        <v>0</v>
      </c>
      <c r="H42" s="48">
        <f t="shared" si="1"/>
        <v>0</v>
      </c>
      <c r="I42" s="14">
        <f>SUMIFS([1]فروردین!$AF$27:$AF$157,[1]فروردین!$D$27:$D$157,F42)</f>
        <v>0</v>
      </c>
      <c r="J42" s="14">
        <v>0</v>
      </c>
      <c r="K42" s="14">
        <v>0</v>
      </c>
      <c r="L42" s="14">
        <v>0</v>
      </c>
      <c r="M42" s="14">
        <f>SUM(G42:J42)-62</f>
        <v>-62</v>
      </c>
      <c r="N42" s="18" t="s">
        <v>31</v>
      </c>
      <c r="O42" s="181">
        <f>SUMIFS([1]فروردین!$AD$2:$AD$366,[1]فروردین!$N$2:$N$366,$C$42,[1]فروردین!$D$2:$D$366,$F$42,[1]فروردین!$AA$2:$AA$366,O3)</f>
        <v>0</v>
      </c>
      <c r="P42" s="182">
        <f>SUMIFS([1]فروردین!$AD$2:$AD$366,[1]فروردین!$N$2:$N$366,$C$42,[1]فروردین!$D$2:$D$366,$F$42,[1]فروردین!$AA$2:$AA$366,P3)</f>
        <v>0</v>
      </c>
      <c r="Q42" s="182">
        <f>SUMIFS([1]فروردین!$AD$2:$AD$366,[1]فروردین!$N$2:$N$366,$C$42,[1]فروردین!$D$2:$D$366,$F$42,[1]فروردین!$AA$2:$AA$366,Q3)</f>
        <v>0</v>
      </c>
      <c r="R42" s="182">
        <f>SUMIFS([1]فروردین!$AD$2:$AD$366,[1]فروردین!$N$2:$N$366,$C$42,[1]فروردین!$D$2:$D$366,$F$42,[1]فروردین!$AA$2:$AA$366,R3)</f>
        <v>0</v>
      </c>
      <c r="S42" s="182">
        <f>SUMIFS([1]فروردین!$AD$2:$AD$366,[1]فروردین!$N$2:$N$366,$C$42,[1]فروردین!$D$2:$D$366,$F$42,[1]فروردین!$AA$2:$AA$366,S3)</f>
        <v>0</v>
      </c>
      <c r="T42" s="182">
        <f>SUMIFS([1]فروردین!$AD$2:$AD$366,[1]فروردین!$N$2:$N$366,$C$42,[1]فروردین!$D$2:$D$366,$F$42,[1]فروردین!$AA$2:$AA$366,T3)</f>
        <v>0</v>
      </c>
      <c r="U42" s="156">
        <f>SUMIFS([1]فروردین!$AD$2:$AD$366,[1]فروردین!$N$2:$N$366,$C$42,[1]فروردین!$D$2:$D$366,$F$42,[1]فروردین!$AA$2:$AA$366,U3)</f>
        <v>0</v>
      </c>
    </row>
    <row r="43" spans="1:21" ht="36" customHeight="1" thickBot="1" x14ac:dyDescent="0.3">
      <c r="A43" s="214">
        <v>21</v>
      </c>
      <c r="B43" s="213" t="s">
        <v>32</v>
      </c>
      <c r="C43" s="246">
        <v>8002</v>
      </c>
      <c r="D43" s="246">
        <v>44</v>
      </c>
      <c r="E43" s="246" t="s">
        <v>15</v>
      </c>
      <c r="F43" s="54" t="s">
        <v>23</v>
      </c>
      <c r="G43" s="4">
        <f t="shared" si="0"/>
        <v>0</v>
      </c>
      <c r="H43" s="67">
        <f t="shared" si="1"/>
        <v>0</v>
      </c>
      <c r="I43" s="4">
        <f>SUMIFS([1]فروردین!$AF$27:$AF$157,[1]فروردین!$D$27:$D$157,F43)</f>
        <v>34.5</v>
      </c>
      <c r="J43" s="4">
        <v>0</v>
      </c>
      <c r="K43" s="4">
        <v>0</v>
      </c>
      <c r="L43" s="4">
        <v>0</v>
      </c>
      <c r="M43" s="4">
        <f>SUM(G43:L43)-(D43)</f>
        <v>-9.5</v>
      </c>
      <c r="N43" s="263" t="s">
        <v>37</v>
      </c>
      <c r="O43" s="278">
        <f>SUMIFS([1]فروردین!$AD$2:$AD$366,[1]فروردین!$N$2:$N$366,$C$43,[1]فروردین!$D$2:$D$366,$F$43,[1]فروردین!$AA$2:$AA$366,O3)</f>
        <v>0</v>
      </c>
      <c r="P43" s="279">
        <f>SUMIFS([1]فروردین!$AD$2:$AD$366,[1]فروردین!$N$2:$N$366,$C$43,[1]فروردین!$D$2:$D$366,$F$43,[1]فروردین!$AA$2:$AA$366,P3)</f>
        <v>0</v>
      </c>
      <c r="Q43" s="279">
        <f>SUMIFS([1]فروردین!$AD$2:$AD$366,[1]فروردین!$N$2:$N$366,$C$43,[1]فروردین!$D$2:$D$366,$F$43,[1]فروردین!$AA$2:$AA$366,Q3)</f>
        <v>0</v>
      </c>
      <c r="R43" s="279">
        <f>SUMIFS([1]فروردین!$AD$2:$AD$366,[1]فروردین!$N$2:$N$366,$C$43,[1]فروردین!$D$2:$D$366,$F$43,[1]فروردین!$AA$2:$AA$366,R3)</f>
        <v>0</v>
      </c>
      <c r="S43" s="279">
        <f>SUMIFS([1]فروردین!$AD$2:$AD$366,[1]فروردین!$N$2:$N$366,$C$43,[1]فروردین!$D$2:$D$366,$F$43,[1]فروردین!$AA$2:$AA$366,S3)</f>
        <v>0</v>
      </c>
      <c r="T43" s="279">
        <f>SUMIFS([1]فروردین!$AD$2:$AD$366,[1]فروردین!$N$2:$N$366,$C$43,[1]فروردین!$D$2:$D$366,$F$43,[1]فروردین!$AA$2:$AA$366,T3)</f>
        <v>0</v>
      </c>
      <c r="U43" s="281">
        <f>SUMIFS([1]فروردین!$AD$2:$AD$366,[1]فروردین!$N$2:$N$366,$C$43,[1]فروردین!$D$2:$D$366,$F$43,[1]فروردین!$AA$2:$AA$366,U3)</f>
        <v>0</v>
      </c>
    </row>
    <row r="44" spans="1:21" ht="36" customHeight="1" x14ac:dyDescent="0.25">
      <c r="A44" s="957">
        <v>22</v>
      </c>
      <c r="B44" s="961" t="s">
        <v>33</v>
      </c>
      <c r="C44" s="943" t="s">
        <v>33</v>
      </c>
      <c r="D44" s="932">
        <v>62.5</v>
      </c>
      <c r="E44" s="943"/>
      <c r="F44" s="32" t="s">
        <v>16</v>
      </c>
      <c r="G44" s="9">
        <f t="shared" si="0"/>
        <v>0</v>
      </c>
      <c r="H44" s="46">
        <f t="shared" si="1"/>
        <v>0</v>
      </c>
      <c r="I44" s="9">
        <f>SUMIFS([1]فروردین!$AF$27:$AF$157,[1]فروردین!$D$27:$D$157,F44)</f>
        <v>68</v>
      </c>
      <c r="J44" s="9">
        <v>0</v>
      </c>
      <c r="K44" s="9">
        <v>0</v>
      </c>
      <c r="L44" s="9">
        <v>0</v>
      </c>
      <c r="M44" s="9">
        <f>(SUM(G44:L44))-D44</f>
        <v>5.5</v>
      </c>
      <c r="N44" s="33" t="s">
        <v>29</v>
      </c>
      <c r="O44" s="165">
        <f>SUMIFS([1]فروردین!$AD$2:$AD$366,[1]فروردین!$N$2:$N$366,"مونتاژ",[1]فروردین!$D$2:$D$366,$F$44,[1]فروردین!$AA$2:$AA$366,O3)</f>
        <v>0</v>
      </c>
      <c r="P44" s="169">
        <f>SUMIFS([1]فروردین!$AD$2:$AD$366,[1]فروردین!$N$2:$N$366,"مونتاژ",[1]فروردین!$D$2:$D$366,$F$44,[1]فروردین!$AA$2:$AA$366,P3)</f>
        <v>0</v>
      </c>
      <c r="Q44" s="169">
        <f>SUMIFS([1]فروردین!$AD$2:$AD$366,[1]فروردین!$N$2:$N$366,"مونتاژ",[1]فروردین!$D$2:$D$366,$F$44,[1]فروردین!$AA$2:$AA$366,Q3)</f>
        <v>0</v>
      </c>
      <c r="R44" s="169">
        <f>SUMIFS([1]فروردین!$AD$2:$AD$366,[1]فروردین!$N$2:$N$366,"مونتاژ",[1]فروردین!$D$2:$D$366,$F$44,[1]فروردین!$AA$2:$AA$366,R3)</f>
        <v>0</v>
      </c>
      <c r="S44" s="169">
        <f>SUMIFS([1]فروردین!$AD$2:$AD$366,[1]فروردین!$N$2:$N$366,"مونتاژ",[1]فروردین!$D$2:$D$366,$F$44,[1]فروردین!$AA$2:$AA$366,S3)</f>
        <v>0</v>
      </c>
      <c r="T44" s="169">
        <f>SUMIFS([1]فروردین!$AD$2:$AD$366,[1]فروردین!$N$2:$N$366,"مونتاژ",[1]فروردین!$D$2:$D$366,$F$44,[1]فروردین!$AA$2:$AA$366,T3)</f>
        <v>0</v>
      </c>
      <c r="U44" s="107">
        <f>SUMIFS([1]فروردین!$AD$2:$AD$366,[1]فروردین!$N$2:$N$366,"مونتاژ",[1]فروردین!$D$2:$D$366,$F$44,[1]فروردین!$AA$2:$AA$366,U3)</f>
        <v>0</v>
      </c>
    </row>
    <row r="45" spans="1:21" ht="36" customHeight="1" x14ac:dyDescent="0.25">
      <c r="A45" s="958"/>
      <c r="B45" s="962"/>
      <c r="C45" s="965"/>
      <c r="D45" s="933"/>
      <c r="E45" s="965"/>
      <c r="F45" s="29"/>
      <c r="G45" s="3">
        <f t="shared" si="0"/>
        <v>0</v>
      </c>
      <c r="H45" s="47">
        <f t="shared" si="1"/>
        <v>0</v>
      </c>
      <c r="I45" s="1">
        <f>SUMIFS([1]فروردین!$AF$27:$AF$157,[1]فروردین!$D$27:$D$157,F45)</f>
        <v>0</v>
      </c>
      <c r="J45" s="3">
        <v>0</v>
      </c>
      <c r="K45" s="3">
        <v>0</v>
      </c>
      <c r="L45" s="3">
        <v>0</v>
      </c>
      <c r="M45" s="3">
        <f>(SUM(G45:L45))-D44</f>
        <v>-62.5</v>
      </c>
      <c r="N45" s="62"/>
      <c r="O45" s="166">
        <f>SUMIFS([1]فروردین!$AD$2:$AD$366,[1]فروردین!$N$2:$N$366,"مونتاژ",[1]فروردین!$D$2:$D$366,$F$45,[1]فروردین!$AA$2:$AA$366,O3)</f>
        <v>0</v>
      </c>
      <c r="P45" s="168">
        <f>SUMIFS([1]فروردین!$AD$2:$AD$366,[1]فروردین!$N$2:$N$366,"مونتاژ",[1]فروردین!$D$2:$D$366,$F$45,[1]فروردین!$AA$2:$AA$366,P3)</f>
        <v>0</v>
      </c>
      <c r="Q45" s="168">
        <f>SUMIFS([1]فروردین!$AD$2:$AD$366,[1]فروردین!$N$2:$N$366,"مونتاژ",[1]فروردین!$D$2:$D$366,$F$45,[1]فروردین!$AA$2:$AA$366,Q3)</f>
        <v>0</v>
      </c>
      <c r="R45" s="168">
        <f>SUMIFS([1]فروردین!$AD$2:$AD$366,[1]فروردین!$N$2:$N$366,"مونتاژ",[1]فروردین!$D$2:$D$366,$F$45,[1]فروردین!$AA$2:$AA$366,R3)</f>
        <v>0</v>
      </c>
      <c r="S45" s="168">
        <f>SUMIFS([1]فروردین!$AD$2:$AD$366,[1]فروردین!$N$2:$N$366,"مونتاژ",[1]فروردین!$D$2:$D$366,$F$45,[1]فروردین!$AA$2:$AA$366,S3)</f>
        <v>0</v>
      </c>
      <c r="T45" s="168">
        <f>SUMIFS([1]فروردین!$AD$2:$AD$366,[1]فروردین!$N$2:$N$366,"مونتاژ",[1]فروردین!$D$2:$D$366,$F$45,[1]فروردین!$AA$2:$AA$366,T3)</f>
        <v>0</v>
      </c>
      <c r="U45" s="108">
        <f>SUMIFS([1]فروردین!$AD$2:$AD$366,[1]فروردین!$N$2:$N$366,"مونتاژ",[1]فروردین!$D$2:$D$366,$F$45,[1]فروردین!$AA$2:$AA$366,U3)</f>
        <v>0</v>
      </c>
    </row>
    <row r="46" spans="1:21" ht="36" customHeight="1" x14ac:dyDescent="0.25">
      <c r="A46" s="959"/>
      <c r="B46" s="963"/>
      <c r="C46" s="966"/>
      <c r="D46" s="933"/>
      <c r="E46" s="966"/>
      <c r="F46" s="29" t="s">
        <v>54</v>
      </c>
      <c r="G46" s="3">
        <f t="shared" si="0"/>
        <v>0</v>
      </c>
      <c r="H46" s="47">
        <f t="shared" si="1"/>
        <v>0</v>
      </c>
      <c r="I46" s="1">
        <f>SUMIFS([1]فروردین!$AF$27:$AF$157,[1]فروردین!$D$27:$D$157,F46)</f>
        <v>44</v>
      </c>
      <c r="J46" s="3">
        <v>0</v>
      </c>
      <c r="K46" s="3">
        <v>0</v>
      </c>
      <c r="L46" s="3">
        <v>0</v>
      </c>
      <c r="M46" s="3">
        <f>(SUM(G46:L46))-62</f>
        <v>-18</v>
      </c>
      <c r="N46" s="58"/>
      <c r="O46" s="166">
        <f>SUMIFS([1]فروردین!$AD$2:$AD$366,[1]فروردین!$N$2:$N$366,"مونتاژ",[1]فروردین!$D$2:$D$366,$F$46,[1]فروردین!$AA$2:$AA$366,O3)</f>
        <v>0</v>
      </c>
      <c r="P46" s="168">
        <f>SUMIFS([1]فروردین!$AD$2:$AD$366,[1]فروردین!$N$2:$N$366,"مونتاژ",[1]فروردین!$D$2:$D$366,$F$46,[1]فروردین!$AA$2:$AA$366,P3)</f>
        <v>0</v>
      </c>
      <c r="Q46" s="168">
        <f>SUMIFS([1]فروردین!$AD$2:$AD$366,[1]فروردین!$N$2:$N$366,"مونتاژ",[1]فروردین!$D$2:$D$366,$F$46,[1]فروردین!$AA$2:$AA$366,Q3)</f>
        <v>0</v>
      </c>
      <c r="R46" s="168">
        <f>SUMIFS([1]فروردین!$AD$2:$AD$366,[1]فروردین!$N$2:$N$366,"مونتاژ",[1]فروردین!$D$2:$D$366,$F$46,[1]فروردین!$AA$2:$AA$366,R3)</f>
        <v>0</v>
      </c>
      <c r="S46" s="168">
        <f>SUMIFS([1]فروردین!$AD$2:$AD$366,[1]فروردین!$N$2:$N$366,"مونتاژ",[1]فروردین!$D$2:$D$366,$F$46,[1]فروردین!$AA$2:$AA$366,S3)</f>
        <v>0</v>
      </c>
      <c r="T46" s="168">
        <f>SUMIFS([1]فروردین!$AD$2:$AD$366,[1]فروردین!$N$2:$N$366,"مونتاژ",[1]فروردین!$D$2:$D$366,$F$46,[1]فروردین!$AA$2:$AA$366,T3)</f>
        <v>0</v>
      </c>
      <c r="U46" s="108">
        <f>SUMIFS([1]فروردین!$AD$2:$AD$366,[1]فروردین!$N$2:$N$366,"مونتاژ",[1]فروردین!$D$2:$D$366,$F$46,[1]فروردین!$AA$2:$AA$366,U3)</f>
        <v>0</v>
      </c>
    </row>
    <row r="47" spans="1:21" ht="36" customHeight="1" thickBot="1" x14ac:dyDescent="0.3">
      <c r="A47" s="960"/>
      <c r="B47" s="964"/>
      <c r="C47" s="944"/>
      <c r="D47" s="934"/>
      <c r="E47" s="944"/>
      <c r="F47" s="30"/>
      <c r="G47" s="6">
        <f t="shared" si="0"/>
        <v>0</v>
      </c>
      <c r="H47" s="64">
        <f t="shared" si="1"/>
        <v>0</v>
      </c>
      <c r="I47" s="6">
        <f>SUMIFS([1]فروردین!$AF$27:$AF$157,[1]فروردین!$D$27:$D$157,F47)</f>
        <v>0</v>
      </c>
      <c r="J47" s="7">
        <v>0</v>
      </c>
      <c r="K47" s="7">
        <v>0</v>
      </c>
      <c r="L47" s="7">
        <v>0</v>
      </c>
      <c r="M47" s="7">
        <f>SUM(G47:J47)-62</f>
        <v>-62</v>
      </c>
      <c r="N47" s="34"/>
      <c r="O47" s="171">
        <f>SUMIFS([1]فروردین!$AD$2:$AD$366,[1]فروردین!$N$2:$N$366,"مونتاژ",[1]فروردین!$D$2:$D$366,$F$47,[1]فروردین!$AA$2:$AA$366,O3)</f>
        <v>0</v>
      </c>
      <c r="P47" s="172">
        <f>SUMIFS([1]فروردین!$AD$2:$AD$366,[1]فروردین!$N$2:$N$366,"مونتاژ",[1]فروردین!$D$2:$D$366,$F$47,[1]فروردین!$AA$2:$AA$366,P3)</f>
        <v>0</v>
      </c>
      <c r="Q47" s="172">
        <f>SUMIFS([1]فروردین!$AD$2:$AD$366,[1]فروردین!$N$2:$N$366,"مونتاژ",[1]فروردین!$D$2:$D$366,$F$47,[1]فروردین!$AA$2:$AA$366,Q3)</f>
        <v>0</v>
      </c>
      <c r="R47" s="172">
        <f>SUMIFS([1]فروردین!$AD$2:$AD$366,[1]فروردین!$N$2:$N$366,"مونتاژ",[1]فروردین!$D$2:$D$366,$F$47,[1]فروردین!$AA$2:$AA$366,R3)</f>
        <v>0</v>
      </c>
      <c r="S47" s="172">
        <f>SUMIFS([1]فروردین!$AD$2:$AD$366,[1]فروردین!$N$2:$N$366,"مونتاژ",[1]فروردین!$D$2:$D$366,$F$47,[1]فروردین!$AA$2:$AA$366,S3)</f>
        <v>0</v>
      </c>
      <c r="T47" s="172">
        <f>SUMIFS([1]فروردین!$AD$2:$AD$366,[1]فروردین!$N$2:$N$366,"مونتاژ",[1]فروردین!$D$2:$D$366,$F$47,[1]فروردین!$AA$2:$AA$366,T3)</f>
        <v>0</v>
      </c>
      <c r="U47" s="109">
        <f>SUMIFS([1]فروردین!$AD$2:$AD$366,[1]فروردین!$N$2:$N$366,"مونتاژ",[1]فروردین!$D$2:$D$366,$F$47,[1]فروردین!$AA$2:$AA$366,U3)</f>
        <v>0</v>
      </c>
    </row>
    <row r="48" spans="1:21" ht="36" customHeight="1" x14ac:dyDescent="0.25">
      <c r="A48" s="967">
        <v>23</v>
      </c>
      <c r="B48" s="969" t="s">
        <v>33</v>
      </c>
      <c r="C48" s="970" t="s">
        <v>34</v>
      </c>
      <c r="D48" s="933">
        <v>62.5</v>
      </c>
      <c r="E48" s="932"/>
      <c r="F48" s="55" t="s">
        <v>16</v>
      </c>
      <c r="G48" s="1">
        <f t="shared" si="0"/>
        <v>0</v>
      </c>
      <c r="H48" s="49">
        <f t="shared" si="1"/>
        <v>0</v>
      </c>
      <c r="I48" s="1">
        <f>SUMIFS([1]فروردین!$AF$27:$AF$157,[1]فروردین!$D$27:$D$157,F48)</f>
        <v>68</v>
      </c>
      <c r="J48" s="1">
        <v>0</v>
      </c>
      <c r="K48" s="1">
        <v>0</v>
      </c>
      <c r="L48" s="1">
        <v>0</v>
      </c>
      <c r="M48" s="1">
        <f>SUM(G48:L48)-62</f>
        <v>6</v>
      </c>
      <c r="N48" s="56"/>
      <c r="O48" s="173">
        <f>SUMIFS([1]فروردین!$AD$2:$AD$366,[1]فروردین!$N$2:$N$366,"دمونتاژ",[1]فروردین!$D$2:$D$366,$F$48,[1]فروردین!$AA$2:$AA$366,O3)</f>
        <v>0</v>
      </c>
      <c r="P48" s="174">
        <f>SUMIFS([1]فروردین!$AD$2:$AD$366,[1]فروردین!$N$2:$N$366,"دمونتاژ",[1]فروردین!$D$2:$D$366,$F$48,[1]فروردین!$AA$2:$AA$366,P3)</f>
        <v>0</v>
      </c>
      <c r="Q48" s="174">
        <f>SUMIFS([1]فروردین!$AD$2:$AD$366,[1]فروردین!$N$2:$N$366,"دمونتاژ",[1]فروردین!$D$2:$D$366,$F$48,[1]فروردین!$AA$2:$AA$366,Q3)</f>
        <v>0</v>
      </c>
      <c r="R48" s="174">
        <f>SUMIFS([1]فروردین!$AD$2:$AD$366,[1]فروردین!$N$2:$N$366,"دمونتاژ",[1]فروردین!$D$2:$D$366,$F$48,[1]فروردین!$AA$2:$AA$366,R3)</f>
        <v>0</v>
      </c>
      <c r="S48" s="174">
        <f>SUMIFS([1]فروردین!$AD$2:$AD$366,[1]فروردین!$N$2:$N$366,"دمونتاژ",[1]فروردین!$D$2:$D$366,$F$48,[1]فروردین!$AA$2:$AA$366,S3)</f>
        <v>0</v>
      </c>
      <c r="T48" s="174">
        <f>SUMIFS([1]فروردین!$AD$2:$AD$366,[1]فروردین!$N$2:$N$366,"دمونتاژ",[1]فروردین!$D$2:$D$366,$F$48,[1]فروردین!$AA$2:$AA$366,T3)</f>
        <v>0</v>
      </c>
      <c r="U48" s="110">
        <f>SUMIFS([1]فروردین!$AD$2:$AD$366,[1]فروردین!$N$2:$N$366,"دمونتاژ",[1]فروردین!$D$2:$D$366,$F$48,[1]فروردین!$AA$2:$AA$366,U3)</f>
        <v>0</v>
      </c>
    </row>
    <row r="49" spans="1:21" ht="36" customHeight="1" x14ac:dyDescent="0.25">
      <c r="A49" s="967"/>
      <c r="B49" s="962"/>
      <c r="C49" s="965"/>
      <c r="D49" s="933"/>
      <c r="E49" s="933"/>
      <c r="F49" s="29"/>
      <c r="G49" s="3">
        <f t="shared" si="0"/>
        <v>0</v>
      </c>
      <c r="H49" s="47">
        <f t="shared" si="1"/>
        <v>0</v>
      </c>
      <c r="I49" s="1">
        <f>SUMIFS([1]فروردین!$AF$27:$AF$157,[1]فروردین!$D$27:$D$157,F49)</f>
        <v>0</v>
      </c>
      <c r="J49" s="3">
        <v>0</v>
      </c>
      <c r="K49" s="3">
        <v>0</v>
      </c>
      <c r="L49" s="3">
        <v>0</v>
      </c>
      <c r="M49" s="3">
        <f>SUM(G49:L49)-62</f>
        <v>-62</v>
      </c>
      <c r="N49" s="62"/>
      <c r="O49" s="166">
        <f>SUMIFS([1]فروردین!$AD$2:$AD$366,[1]فروردین!$N$2:$N$366,"دمونتاژ",[1]فروردین!$D$2:$D$366,$F$49,[1]فروردین!$AA$2:$AA$366,O3)</f>
        <v>0</v>
      </c>
      <c r="P49" s="168">
        <f>SUMIFS([1]فروردین!$AD$2:$AD$366,[1]فروردین!$N$2:$N$366,"دمونتاژ",[1]فروردین!$D$2:$D$366,$F$49,[1]فروردین!$AA$2:$AA$366,P3)</f>
        <v>0</v>
      </c>
      <c r="Q49" s="168">
        <f>SUMIFS([1]فروردین!$AD$2:$AD$366,[1]فروردین!$N$2:$N$366,"دمونتاژ",[1]فروردین!$D$2:$D$366,$F$49,[1]فروردین!$AA$2:$AA$366,Q3)</f>
        <v>0</v>
      </c>
      <c r="R49" s="168">
        <f>SUMIFS([1]فروردین!$AD$2:$AD$366,[1]فروردین!$N$2:$N$366,"دمونتاژ",[1]فروردین!$D$2:$D$366,$F$49,[1]فروردین!$AA$2:$AA$366,R3)</f>
        <v>0</v>
      </c>
      <c r="S49" s="168">
        <f>SUMIFS([1]فروردین!$AD$2:$AD$366,[1]فروردین!$N$2:$N$366,"دمونتاژ",[1]فروردین!$D$2:$D$366,$F$49,[1]فروردین!$AA$2:$AA$366,S3)</f>
        <v>0</v>
      </c>
      <c r="T49" s="168">
        <f>SUMIFS([1]فروردین!$AD$2:$AD$366,[1]فروردین!$N$2:$N$366,"دمونتاژ",[1]فروردین!$D$2:$D$366,$F$49,[1]فروردین!$AA$2:$AA$366,T3)</f>
        <v>0</v>
      </c>
      <c r="U49" s="108">
        <f>SUMIFS([1]فروردین!$AD$2:$AD$366,[1]فروردین!$N$2:$N$366,"دمونتاژ",[1]فروردین!$D$2:$D$366,$F$49,[1]فروردین!$AA$2:$AA$366,U3)</f>
        <v>0</v>
      </c>
    </row>
    <row r="50" spans="1:21" ht="36" customHeight="1" x14ac:dyDescent="0.25">
      <c r="A50" s="967"/>
      <c r="B50" s="962"/>
      <c r="C50" s="965"/>
      <c r="D50" s="933"/>
      <c r="E50" s="933"/>
      <c r="F50" s="29" t="s">
        <v>54</v>
      </c>
      <c r="G50" s="3">
        <f t="shared" si="0"/>
        <v>0</v>
      </c>
      <c r="H50" s="47">
        <f t="shared" si="1"/>
        <v>0</v>
      </c>
      <c r="I50" s="1">
        <f>SUMIFS([1]فروردین!$AF$27:$AF$157,[1]فروردین!$D$27:$D$157,F50)</f>
        <v>44</v>
      </c>
      <c r="J50" s="3">
        <v>0</v>
      </c>
      <c r="K50" s="3">
        <v>0</v>
      </c>
      <c r="L50" s="3">
        <v>0</v>
      </c>
      <c r="M50" s="3">
        <f>SUM(G50:L50)-62</f>
        <v>-18</v>
      </c>
      <c r="N50" s="62"/>
      <c r="O50" s="166">
        <f>SUMIFS([1]فروردین!$AD$2:$AD$366,[1]فروردین!$N$2:$N$366,"دمونتاژ",[1]فروردین!$D$2:$D$366,$F$50,[1]فروردین!$AA$2:$AA$366,O3)</f>
        <v>0</v>
      </c>
      <c r="P50" s="168">
        <f>SUMIFS([1]فروردین!$AD$2:$AD$366,[1]فروردین!$N$2:$N$366,"دمونتاژ",[1]فروردین!$D$2:$D$366,$F$50,[1]فروردین!$AA$2:$AA$366,P3)</f>
        <v>0</v>
      </c>
      <c r="Q50" s="168">
        <f>SUMIFS([1]فروردین!$AD$2:$AD$366,[1]فروردین!$N$2:$N$366,"دمونتاژ",[1]فروردین!$D$2:$D$366,$F$50,[1]فروردین!$AA$2:$AA$366,Q3)</f>
        <v>0</v>
      </c>
      <c r="R50" s="168">
        <f>SUMIFS([1]فروردین!$AD$2:$AD$366,[1]فروردین!$N$2:$N$366,"دمونتاژ",[1]فروردین!$D$2:$D$366,$F$50,[1]فروردین!$AA$2:$AA$366,R3)</f>
        <v>0</v>
      </c>
      <c r="S50" s="168">
        <f>SUMIFS([1]فروردین!$AD$2:$AD$366,[1]فروردین!$N$2:$N$366,"دمونتاژ",[1]فروردین!$D$2:$D$366,$F$50,[1]فروردین!$AA$2:$AA$366,S3)</f>
        <v>0</v>
      </c>
      <c r="T50" s="168">
        <f>SUMIFS([1]فروردین!$AD$2:$AD$366,[1]فروردین!$N$2:$N$366,"دمونتاژ",[1]فروردین!$D$2:$D$366,$F$50,[1]فروردین!$AA$2:$AA$366,T3)</f>
        <v>0</v>
      </c>
      <c r="U50" s="108">
        <f>SUMIFS([1]فروردین!$AD$2:$AD$366,[1]فروردین!$N$2:$N$366,"دمونتاژ",[1]فروردین!$D$2:$D$366,$F$50,[1]فروردین!$AA$2:$AA$366,U3)</f>
        <v>0</v>
      </c>
    </row>
    <row r="51" spans="1:21" ht="36" customHeight="1" thickBot="1" x14ac:dyDescent="0.3">
      <c r="A51" s="967"/>
      <c r="B51" s="963"/>
      <c r="C51" s="966"/>
      <c r="D51" s="934"/>
      <c r="E51" s="934"/>
      <c r="F51" s="245"/>
      <c r="G51" s="4">
        <f t="shared" si="0"/>
        <v>0</v>
      </c>
      <c r="H51" s="49">
        <f t="shared" si="1"/>
        <v>0</v>
      </c>
      <c r="I51" s="1">
        <f>SUMIFS([1]فروردین!$AF$27:$AF$157,[1]فروردین!$D$27:$D$157,F51)</f>
        <v>0</v>
      </c>
      <c r="J51" s="25">
        <v>0</v>
      </c>
      <c r="K51" s="25">
        <v>0</v>
      </c>
      <c r="L51" s="25">
        <v>0</v>
      </c>
      <c r="M51" s="25">
        <f>SUM(G51:L51)-62</f>
        <v>-62</v>
      </c>
      <c r="N51" s="58"/>
      <c r="O51" s="171">
        <f>SUMIFS([1]فروردین!$AD$2:$AD$366,[1]فروردین!$N$2:$N$366,"دمونتاژ",[1]فروردین!$D$2:$D$366,$F$51,[1]فروردین!$AA$2:$AA$366,O3)</f>
        <v>0</v>
      </c>
      <c r="P51" s="172">
        <f>SUMIFS([1]فروردین!$AD$2:$AD$366,[1]فروردین!$N$2:$N$366,"دمونتاژ",[1]فروردین!$D$2:$D$366,$F$51,[1]فروردین!$AA$2:$AA$366,P3)</f>
        <v>0</v>
      </c>
      <c r="Q51" s="172">
        <f>SUMIFS([1]فروردین!$AD$2:$AD$366,[1]فروردین!$N$2:$N$366,"دمونتاژ",[1]فروردین!$D$2:$D$366,$F$51,[1]فروردین!$AA$2:$AA$366,Q3)</f>
        <v>0</v>
      </c>
      <c r="R51" s="172">
        <f>SUMIFS([1]فروردین!$AD$2:$AD$366,[1]فروردین!$N$2:$N$366,"دمونتاژ",[1]فروردین!$D$2:$D$366,$F$51,[1]فروردین!$AA$2:$AA$366,R3)</f>
        <v>0</v>
      </c>
      <c r="S51" s="172">
        <f>SUMIFS([1]فروردین!$AD$2:$AD$366,[1]فروردین!$N$2:$N$366,"دمونتاژ",[1]فروردین!$D$2:$D$366,$F$51,[1]فروردین!$AA$2:$AA$366,S3)</f>
        <v>0</v>
      </c>
      <c r="T51" s="172">
        <f>SUMIFS([1]فروردین!$AD$2:$AD$366,[1]فروردین!$N$2:$N$366,"دمونتاژ",[1]فروردین!$D$2:$D$366,$F$51,[1]فروردین!$AA$2:$AA$366,T3)</f>
        <v>0</v>
      </c>
      <c r="U51" s="109">
        <f>SUMIFS([1]فروردین!$AD$2:$AD$366,[1]فروردین!$N$2:$N$366,"دمونتاژ",[1]فروردین!$D$2:$D$366,$F$51,[1]فروردین!$AA$2:$AA$366,U3)</f>
        <v>0</v>
      </c>
    </row>
    <row r="52" spans="1:21" ht="42.75" customHeight="1" thickBot="1" x14ac:dyDescent="0.3">
      <c r="A52" s="951" t="s">
        <v>49</v>
      </c>
      <c r="B52" s="952"/>
      <c r="C52" s="952"/>
      <c r="D52" s="952"/>
      <c r="E52" s="952"/>
      <c r="F52" s="953"/>
      <c r="G52" s="148">
        <f>SUM(G4:G50)-G43</f>
        <v>0</v>
      </c>
      <c r="H52" s="148">
        <f>SUM(H4:H51)</f>
        <v>0</v>
      </c>
      <c r="I52" s="148">
        <f t="shared" ref="I52:L52" si="2">SUM(I4:I51)</f>
        <v>1194.3333333333333</v>
      </c>
      <c r="J52" s="148">
        <f t="shared" si="2"/>
        <v>130</v>
      </c>
      <c r="K52" s="148">
        <f t="shared" si="2"/>
        <v>0</v>
      </c>
      <c r="L52" s="148">
        <f t="shared" si="2"/>
        <v>0</v>
      </c>
      <c r="M52" s="149">
        <f>SUMIFS(M4:M51,F4:F51,"*")</f>
        <v>148.83333333333331</v>
      </c>
      <c r="N52" s="306"/>
      <c r="O52" s="197">
        <f>SUM(O4:O51)</f>
        <v>0</v>
      </c>
      <c r="P52" s="198">
        <f t="shared" ref="P52:U52" si="3">SUM(P4:P51)</f>
        <v>0</v>
      </c>
      <c r="Q52" s="198">
        <f t="shared" si="3"/>
        <v>0</v>
      </c>
      <c r="R52" s="198">
        <f t="shared" si="3"/>
        <v>0</v>
      </c>
      <c r="S52" s="198">
        <f t="shared" si="3"/>
        <v>0</v>
      </c>
      <c r="T52" s="198">
        <f t="shared" si="3"/>
        <v>0</v>
      </c>
      <c r="U52" s="150">
        <f t="shared" si="3"/>
        <v>0</v>
      </c>
    </row>
  </sheetData>
  <mergeCells count="81">
    <mergeCell ref="B31:B32"/>
    <mergeCell ref="C31:C32"/>
    <mergeCell ref="D31:D32"/>
    <mergeCell ref="B33:B34"/>
    <mergeCell ref="C33:C34"/>
    <mergeCell ref="D33:D34"/>
    <mergeCell ref="B23:B25"/>
    <mergeCell ref="C23:C25"/>
    <mergeCell ref="D23:D25"/>
    <mergeCell ref="A16:A18"/>
    <mergeCell ref="A20:A22"/>
    <mergeCell ref="A23:A24"/>
    <mergeCell ref="B20:B22"/>
    <mergeCell ref="E20:E22"/>
    <mergeCell ref="D20:D22"/>
    <mergeCell ref="C20:C22"/>
    <mergeCell ref="B16:B18"/>
    <mergeCell ref="C16:C18"/>
    <mergeCell ref="D16:D18"/>
    <mergeCell ref="E16:E18"/>
    <mergeCell ref="D4:D6"/>
    <mergeCell ref="E4:E6"/>
    <mergeCell ref="B7:B9"/>
    <mergeCell ref="C7:C9"/>
    <mergeCell ref="D7:D9"/>
    <mergeCell ref="E7:E9"/>
    <mergeCell ref="A31:A32"/>
    <mergeCell ref="E31:E32"/>
    <mergeCell ref="N31:N32"/>
    <mergeCell ref="A1:L2"/>
    <mergeCell ref="O1:U2"/>
    <mergeCell ref="N4:N6"/>
    <mergeCell ref="N16:N18"/>
    <mergeCell ref="N20:N22"/>
    <mergeCell ref="E23:E25"/>
    <mergeCell ref="N23:N25"/>
    <mergeCell ref="B4:B6"/>
    <mergeCell ref="C4:C6"/>
    <mergeCell ref="E26:E28"/>
    <mergeCell ref="N26:N28"/>
    <mergeCell ref="A29:A30"/>
    <mergeCell ref="E29:E30"/>
    <mergeCell ref="N29:N30"/>
    <mergeCell ref="D26:D28"/>
    <mergeCell ref="C26:C28"/>
    <mergeCell ref="B26:B28"/>
    <mergeCell ref="A26:A28"/>
    <mergeCell ref="B29:B30"/>
    <mergeCell ref="C29:C30"/>
    <mergeCell ref="D29:D30"/>
    <mergeCell ref="A33:A34"/>
    <mergeCell ref="E33:E34"/>
    <mergeCell ref="N33:N34"/>
    <mergeCell ref="A35:A36"/>
    <mergeCell ref="E35:E36"/>
    <mergeCell ref="N35:N36"/>
    <mergeCell ref="B35:B36"/>
    <mergeCell ref="C35:C36"/>
    <mergeCell ref="D35:D36"/>
    <mergeCell ref="N37:N38"/>
    <mergeCell ref="N39:N41"/>
    <mergeCell ref="A44:A47"/>
    <mergeCell ref="B44:B47"/>
    <mergeCell ref="C44:C47"/>
    <mergeCell ref="D44:D47"/>
    <mergeCell ref="E44:E47"/>
    <mergeCell ref="B37:B38"/>
    <mergeCell ref="C37:C38"/>
    <mergeCell ref="D37:D38"/>
    <mergeCell ref="B39:B41"/>
    <mergeCell ref="C39:C41"/>
    <mergeCell ref="D39:D41"/>
    <mergeCell ref="E39:E41"/>
    <mergeCell ref="D48:D51"/>
    <mergeCell ref="E48:E51"/>
    <mergeCell ref="A52:F52"/>
    <mergeCell ref="A37:A38"/>
    <mergeCell ref="E37:E38"/>
    <mergeCell ref="A48:A51"/>
    <mergeCell ref="B48:B51"/>
    <mergeCell ref="C48:C51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:M51" formulaRange="1"/>
  </ignoredError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1D15-072C-4C7E-B22D-2E4498585E42}">
  <sheetPr>
    <pageSetUpPr fitToPage="1"/>
  </sheetPr>
  <dimension ref="A1:U52"/>
  <sheetViews>
    <sheetView rightToLeft="1" view="pageLayout" zoomScaleNormal="100" workbookViewId="0">
      <selection activeCell="N11" sqref="N11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20" width="6.42578125" style="52" hidden="1" customWidth="1"/>
    <col min="21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2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4</v>
      </c>
      <c r="O2" s="925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137" t="s">
        <v>0</v>
      </c>
      <c r="B3" s="138" t="s">
        <v>64</v>
      </c>
      <c r="C3" s="132" t="s">
        <v>1</v>
      </c>
      <c r="D3" s="132" t="s">
        <v>2</v>
      </c>
      <c r="E3" s="132" t="s">
        <v>3</v>
      </c>
      <c r="F3" s="133" t="s">
        <v>4</v>
      </c>
      <c r="G3" s="134" t="s">
        <v>5</v>
      </c>
      <c r="H3" s="135" t="s">
        <v>35</v>
      </c>
      <c r="I3" s="136" t="s">
        <v>6</v>
      </c>
      <c r="J3" s="134" t="s">
        <v>7</v>
      </c>
      <c r="K3" s="134" t="s">
        <v>8</v>
      </c>
      <c r="L3" s="134" t="s">
        <v>9</v>
      </c>
      <c r="M3" s="134" t="s">
        <v>10</v>
      </c>
      <c r="N3" s="311" t="s">
        <v>11</v>
      </c>
      <c r="O3" s="158" t="s">
        <v>72</v>
      </c>
      <c r="P3" s="158" t="s">
        <v>73</v>
      </c>
      <c r="Q3" s="158" t="s">
        <v>74</v>
      </c>
      <c r="R3" s="158" t="s">
        <v>75</v>
      </c>
      <c r="S3" s="158" t="s">
        <v>76</v>
      </c>
      <c r="T3" s="158" t="s">
        <v>77</v>
      </c>
      <c r="U3" s="119" t="s">
        <v>78</v>
      </c>
    </row>
    <row r="4" spans="1:21" ht="36" customHeight="1" x14ac:dyDescent="0.25">
      <c r="A4" s="68"/>
      <c r="B4" s="974" t="s">
        <v>14</v>
      </c>
      <c r="C4" s="932">
        <v>7101</v>
      </c>
      <c r="D4" s="990">
        <v>62.5</v>
      </c>
      <c r="E4" s="932" t="s">
        <v>15</v>
      </c>
      <c r="F4" s="253"/>
      <c r="G4" s="1">
        <f>SUM(O4:T4)</f>
        <v>0</v>
      </c>
      <c r="H4" s="49">
        <f>U4</f>
        <v>0</v>
      </c>
      <c r="I4" s="1">
        <v>0</v>
      </c>
      <c r="J4" s="1">
        <v>0</v>
      </c>
      <c r="K4" s="1">
        <v>0</v>
      </c>
      <c r="L4" s="1">
        <v>0</v>
      </c>
      <c r="M4" s="65"/>
      <c r="N4" s="928" t="s">
        <v>43</v>
      </c>
      <c r="O4" s="165">
        <f>SUMIFS([1]فروردین!$AD$2:$AD$366,[1]فروردین!$N$2:$N$366,7101,[1]فروردین!$D$2:$D$366,$F$4,[1]فروردین!$AA$2:$AA$366,O3)</f>
        <v>0</v>
      </c>
      <c r="P4" s="169">
        <f>SUMIFS([1]فروردین!$AD$2:$AD$366,[1]فروردین!$N$2:$N$366,7101,[1]فروردین!$D$2:$D$366,$F$4,[1]فروردین!$AA$2:$AA$366,P3)</f>
        <v>0</v>
      </c>
      <c r="Q4" s="169">
        <f>SUMIFS([1]فروردین!$AD$2:$AD$366,[1]فروردین!$N$2:$N$366,7101,[1]فروردین!$D$2:$D$366,$F$4,[1]فروردین!$AA$2:$AA$366,Q3)</f>
        <v>0</v>
      </c>
      <c r="R4" s="169">
        <f>SUMIFS([1]فروردین!$AD$2:$AD$366,[1]فروردین!$N$2:$N$366,7101,[1]فروردین!$D$2:$D$366,$F$4,[1]فروردین!$AA$2:$AA$366,R3)</f>
        <v>0</v>
      </c>
      <c r="S4" s="169">
        <f>SUMIFS([1]فروردین!$AD$2:$AD$366,[1]فروردین!$N$2:$N$366,7101,[1]فروردین!$D$2:$D$366,$F$4,[1]فروردین!$AA$2:$AA$366,S3)</f>
        <v>0</v>
      </c>
      <c r="T4" s="169">
        <f>SUMIFS([1]فروردین!$AD$2:$AD$366,[1]فروردین!$N$2:$N$366,7101,[1]فروردین!$D$2:$D$366,$F$4,[1]فروردین!$AA$2:$AA$366,T3)</f>
        <v>0</v>
      </c>
      <c r="U4" s="107">
        <f>SUMIFS([1]فروردین!$AD$2:$AD$366,[1]فروردین!$N$2:$N$366,7101,[1]فروردین!$D$2:$D$366,$F$4,[1]فروردین!$AA$2:$AA$366,U3)</f>
        <v>0</v>
      </c>
    </row>
    <row r="5" spans="1:21" ht="36" customHeight="1" x14ac:dyDescent="0.25">
      <c r="A5" s="261">
        <v>1</v>
      </c>
      <c r="B5" s="975"/>
      <c r="C5" s="933"/>
      <c r="D5" s="991"/>
      <c r="E5" s="933"/>
      <c r="F5" s="259" t="s">
        <v>55</v>
      </c>
      <c r="G5" s="3">
        <f t="shared" ref="G5:G51" si="0">SUM(O5:T5)</f>
        <v>0</v>
      </c>
      <c r="H5" s="47">
        <f t="shared" ref="H5:H51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SUM(G4:G6)+SUM(H4:H6)+SUM(I4:I6)+SUM(L4:L6)+SUM(K4:K6)-D4</f>
        <v>-62.5</v>
      </c>
      <c r="N5" s="929"/>
      <c r="O5" s="166">
        <f>SUMIFS([1]فروردین!$AD$2:$AD$366,[1]فروردین!$N$2:$N$366,7101,[1]فروردین!$D$2:$D$366,$F$5,[1]فروردین!$AA$2:$AA$366,O3)</f>
        <v>0</v>
      </c>
      <c r="P5" s="168">
        <f>SUMIFS([1]فروردین!$AD$2:$AD$366,[1]فروردین!$N$2:$N$366,7101,[1]فروردین!$D$2:$D$366,$F$5,[1]فروردین!$AA$2:$AA$366,P3)</f>
        <v>0</v>
      </c>
      <c r="Q5" s="168">
        <f>SUMIFS([1]فروردین!$AD$2:$AD$366,[1]فروردین!$N$2:$N$366,7101,[1]فروردین!$D$2:$D$366,$F$5,[1]فروردین!$AA$2:$AA$366,Q3)</f>
        <v>0</v>
      </c>
      <c r="R5" s="168">
        <f>SUMIFS([1]فروردین!$AD$2:$AD$366,[1]فروردین!$N$2:$N$366,7101,[1]فروردین!$D$2:$D$366,$F$5,[1]فروردین!$AA$2:$AA$366,R3)</f>
        <v>0</v>
      </c>
      <c r="S5" s="168">
        <f>SUMIFS([1]فروردین!$AD$2:$AD$366,[1]فروردین!$N$2:$N$366,7101,[1]فروردین!$D$2:$D$366,$F$5,[1]فروردین!$AA$2:$AA$366,S3)</f>
        <v>0</v>
      </c>
      <c r="T5" s="168">
        <f>SUMIFS([1]فروردین!$AD$2:$AD$366,[1]فروردین!$N$2:$N$366,7101,[1]فروردین!$D$2:$D$366,$F$5,[1]فروردین!$AA$2:$AA$366,T3)</f>
        <v>0</v>
      </c>
      <c r="U5" s="108">
        <f>SUMIFS([1]فروردین!$AD$2:$AD$366,[1]فروردین!$N$2:$N$366,7101,[1]فروردین!$D$2:$D$366,$F$5,[1]فروردین!$AA$2:$AA$366,U3)</f>
        <v>0</v>
      </c>
    </row>
    <row r="6" spans="1:21" ht="36" customHeight="1" thickBot="1" x14ac:dyDescent="0.3">
      <c r="A6" s="268"/>
      <c r="B6" s="976"/>
      <c r="C6" s="934"/>
      <c r="D6" s="992"/>
      <c r="E6" s="934"/>
      <c r="F6" s="5"/>
      <c r="G6" s="1">
        <f t="shared" si="0"/>
        <v>0</v>
      </c>
      <c r="H6" s="49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167">
        <f>SUMIFS([1]فروردین!$AD$2:$AD$366,[1]فروردین!$N$2:$N$366,7101,[1]فروردین!$D$2:$D$366,$F$6,[1]فروردین!$AA$2:$AA$366,O3)</f>
        <v>0</v>
      </c>
      <c r="P6" s="175">
        <f>SUMIFS([1]فروردین!$AD$2:$AD$366,[1]فروردین!$N$2:$N$366,7101,[1]فروردین!$D$2:$D$366,$F$6,[1]فروردین!$AA$2:$AA$366,P3)</f>
        <v>0</v>
      </c>
      <c r="Q6" s="175">
        <f>SUMIFS([1]فروردین!$AD$2:$AD$366,[1]فروردین!$N$2:$N$366,7101,[1]فروردین!$D$2:$D$366,$F$6,[1]فروردین!$AA$2:$AA$366,Q3)</f>
        <v>0</v>
      </c>
      <c r="R6" s="175">
        <f>SUMIFS([1]فروردین!$AD$2:$AD$366,[1]فروردین!$N$2:$N$366,7101,[1]فروردین!$D$2:$D$366,$F$6,[1]فروردین!$AA$2:$AA$366,R3)</f>
        <v>0</v>
      </c>
      <c r="S6" s="175">
        <f>SUMIFS([1]فروردین!$AD$2:$AD$366,[1]فروردین!$N$2:$N$366,7101,[1]فروردین!$D$2:$D$366,$F$6,[1]فروردین!$AA$2:$AA$366,S3)</f>
        <v>0</v>
      </c>
      <c r="T6" s="175">
        <f>SUMIFS([1]فروردین!$AD$2:$AD$366,[1]فروردین!$N$2:$N$366,7101,[1]فروردین!$D$2:$D$366,$F$6,[1]فروردین!$AA$2:$AA$366,T3)</f>
        <v>0</v>
      </c>
      <c r="U6" s="114">
        <f>SUMIFS([1]فروردین!$AD$2:$AD$366,[1]فروردین!$N$2:$N$366,7101,[1]فروردین!$D$2:$D$366,$F$6,[1]فروردین!$AA$2:$AA$366,U3)</f>
        <v>0</v>
      </c>
    </row>
    <row r="7" spans="1:21" ht="36" customHeight="1" x14ac:dyDescent="0.25">
      <c r="A7" s="229"/>
      <c r="B7" s="974" t="s">
        <v>14</v>
      </c>
      <c r="C7" s="932">
        <v>7102</v>
      </c>
      <c r="D7" s="990">
        <v>62.5</v>
      </c>
      <c r="E7" s="932" t="s">
        <v>15</v>
      </c>
      <c r="F7" s="244"/>
      <c r="G7" s="9">
        <f t="shared" si="0"/>
        <v>0</v>
      </c>
      <c r="H7" s="46">
        <f t="shared" si="1"/>
        <v>0</v>
      </c>
      <c r="I7" s="9">
        <v>0</v>
      </c>
      <c r="J7" s="9">
        <v>0</v>
      </c>
      <c r="K7" s="9">
        <v>0</v>
      </c>
      <c r="L7" s="9">
        <v>0</v>
      </c>
      <c r="M7" s="10"/>
      <c r="N7" s="250" t="s">
        <v>40</v>
      </c>
      <c r="O7" s="165">
        <f>SUMIFS([1]فروردین!$AD$2:$AD$366,[1]فروردین!$N$2:$N$366,7102,[1]فروردین!$D$2:$D$366,$F$7,[1]فروردین!$AA$2:$AA$366,O3)</f>
        <v>0</v>
      </c>
      <c r="P7" s="169">
        <f>SUMIFS([1]فروردین!$AD$2:$AD$366,[1]فروردین!$N$2:$N$366,7102,[1]فروردین!$D$2:$D$366,$F$7,[1]فروردین!$AA$2:$AA$366,P3)</f>
        <v>0</v>
      </c>
      <c r="Q7" s="169">
        <f>SUMIFS([1]فروردین!$AD$2:$AD$366,[1]فروردین!$N$2:$N$366,7102,[1]فروردین!$D$2:$D$366,$F$7,[1]فروردین!$AA$2:$AA$366,Q3)</f>
        <v>0</v>
      </c>
      <c r="R7" s="169">
        <f>SUMIFS([1]فروردین!$AD$2:$AD$366,[1]فروردین!$N$2:$N$366,7102,[1]فروردین!$D$2:$D$366,$F$7,[1]فروردین!$AA$2:$AA$366,R3)</f>
        <v>0</v>
      </c>
      <c r="S7" s="169">
        <f>SUMIFS([1]فروردین!$AD$2:$AD$366,[1]فروردین!$N$2:$N$366,7102,[1]فروردین!$D$2:$D$366,$F$7,[1]فروردین!$AA$2:$AA$366,S3)</f>
        <v>0</v>
      </c>
      <c r="T7" s="169">
        <f>SUMIFS([1]فروردین!$AD$2:$AD$366,[1]فروردین!$N$2:$N$366,7102,[1]فروردین!$D$2:$D$366,$F$7,[1]فروردین!$AA$2:$AA$366,T3)</f>
        <v>0</v>
      </c>
      <c r="U7" s="107">
        <f>SUMIFS([1]فروردین!$AD$2:$AD$366,[1]فروردین!$N$2:$N$366,7102,[1]فروردین!$D$2:$D$366,$F$7,[1]فروردین!$AA$2:$AA$366,U3)</f>
        <v>0</v>
      </c>
    </row>
    <row r="8" spans="1:21" ht="36" customHeight="1" x14ac:dyDescent="0.25">
      <c r="A8" s="214">
        <v>2</v>
      </c>
      <c r="B8" s="975"/>
      <c r="C8" s="933"/>
      <c r="D8" s="991"/>
      <c r="E8" s="933"/>
      <c r="F8" s="259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SUM(G7:G9)+SUM(H7:H9)+SUM(I7:I9)+SUM(J7:J9)+SUM(K7:K9)+SUM(L7:L9)-D7</f>
        <v>-62.5</v>
      </c>
      <c r="N8" s="251" t="s">
        <v>13</v>
      </c>
      <c r="O8" s="166">
        <f>SUMIFS([1]فروردین!$AD$2:$AD$366,[1]فروردین!$N$2:$N$366,7102,[1]فروردین!$D$2:$D$366,$F$8,[1]فروردین!$AA$2:$AA$366,O3)</f>
        <v>0</v>
      </c>
      <c r="P8" s="168">
        <f>SUMIFS([1]فروردین!$AD$2:$AD$366,[1]فروردین!$N$2:$N$366,7102,[1]فروردین!$D$2:$D$366,$F$8,[1]فروردین!$AA$2:$AA$366,P3)</f>
        <v>0</v>
      </c>
      <c r="Q8" s="168">
        <f>SUMIFS([1]فروردین!$AD$2:$AD$366,[1]فروردین!$N$2:$N$366,7102,[1]فروردین!$D$2:$D$366,$F$8,[1]فروردین!$AA$2:$AA$366,Q3)</f>
        <v>0</v>
      </c>
      <c r="R8" s="168">
        <f>SUMIFS([1]فروردین!$AD$2:$AD$366,[1]فروردین!$N$2:$N$366,7102,[1]فروردین!$D$2:$D$366,$F$8,[1]فروردین!$AA$2:$AA$366,R3)</f>
        <v>0</v>
      </c>
      <c r="S8" s="168">
        <f>SUMIFS([1]فروردین!$AD$2:$AD$366,[1]فروردین!$N$2:$N$366,7102,[1]فروردین!$D$2:$D$366,$F$8,[1]فروردین!$AA$2:$AA$366,S3)</f>
        <v>0</v>
      </c>
      <c r="T8" s="168">
        <f>SUMIFS([1]فروردین!$AD$2:$AD$366,[1]فروردین!$N$2:$N$366,7102,[1]فروردین!$D$2:$D$366,$F$8,[1]فروردین!$AA$2:$AA$366,T3)</f>
        <v>0</v>
      </c>
      <c r="U8" s="108">
        <f>SUMIFS([1]فروردین!$AD$2:$AD$366,[1]فروردین!$N$2:$N$366,7102,[1]فروردین!$D$2:$D$366,$F$8,[1]فروردین!$AA$2:$AA$366,U3)</f>
        <v>0</v>
      </c>
    </row>
    <row r="9" spans="1:21" ht="36" customHeight="1" thickBot="1" x14ac:dyDescent="0.3">
      <c r="A9" s="230"/>
      <c r="B9" s="976"/>
      <c r="C9" s="934"/>
      <c r="D9" s="992"/>
      <c r="E9" s="934"/>
      <c r="F9" s="5"/>
      <c r="G9" s="1">
        <f t="shared" si="0"/>
        <v>0</v>
      </c>
      <c r="H9" s="49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252"/>
      <c r="O9" s="167">
        <f>SUMIFS([1]فروردین!$AD$2:$AD$366,[1]فروردین!$N$2:$N$366,7102,[1]فروردین!$D$2:$D$366,$F$9,[1]فروردین!$AA$2:$AA$366,O3)</f>
        <v>0</v>
      </c>
      <c r="P9" s="175">
        <f>SUMIFS([1]فروردین!$AD$2:$AD$366,[1]فروردین!$N$2:$N$366,7102,[1]فروردین!$D$2:$D$366,$F$9,[1]فروردین!$AA$2:$AA$366,P3)</f>
        <v>0</v>
      </c>
      <c r="Q9" s="175">
        <f>SUMIFS([1]فروردین!$AD$2:$AD$366,[1]فروردین!$N$2:$N$366,7102,[1]فروردین!$D$2:$D$366,$F$9,[1]فروردین!$AA$2:$AA$366,Q3)</f>
        <v>0</v>
      </c>
      <c r="R9" s="175">
        <f>SUMIFS([1]فروردین!$AD$2:$AD$366,[1]فروردین!$N$2:$N$366,7102,[1]فروردین!$D$2:$D$366,$F$9,[1]فروردین!$AA$2:$AA$366,R3)</f>
        <v>0</v>
      </c>
      <c r="S9" s="175">
        <f>SUMIFS([1]فروردین!$AD$2:$AD$366,[1]فروردین!$N$2:$N$366,7102,[1]فروردین!$D$2:$D$366,$F$9,[1]فروردین!$AA$2:$AA$366,S3)</f>
        <v>0</v>
      </c>
      <c r="T9" s="175">
        <f>SUMIFS([1]فروردین!$AD$2:$AD$366,[1]فروردین!$N$2:$N$366,7102,[1]فروردین!$D$2:$D$366,$F$9,[1]فروردین!$AA$2:$AA$366,T3)</f>
        <v>0</v>
      </c>
      <c r="U9" s="114">
        <f>SUMIFS([1]فروردین!$AD$2:$AD$366,[1]فروردین!$N$2:$N$366,7102,[1]فروردین!$D$2:$D$366,$F$9,[1]فروردین!$AA$2:$AA$366,U3)</f>
        <v>0</v>
      </c>
    </row>
    <row r="10" spans="1:21" ht="36" customHeight="1" thickBot="1" x14ac:dyDescent="0.3">
      <c r="A10" s="230">
        <v>3</v>
      </c>
      <c r="B10" s="216" t="s">
        <v>14</v>
      </c>
      <c r="C10" s="246">
        <v>7103</v>
      </c>
      <c r="D10" s="2">
        <v>62.5</v>
      </c>
      <c r="E10" s="246" t="s">
        <v>15</v>
      </c>
      <c r="F10" s="246"/>
      <c r="G10" s="9">
        <f t="shared" si="0"/>
        <v>0</v>
      </c>
      <c r="H10" s="46">
        <f t="shared" si="1"/>
        <v>0</v>
      </c>
      <c r="I10" s="4">
        <v>0</v>
      </c>
      <c r="J10" s="4">
        <v>0</v>
      </c>
      <c r="K10" s="4">
        <v>0</v>
      </c>
      <c r="L10" s="4">
        <v>0</v>
      </c>
      <c r="M10" s="4">
        <f>SUM(G10:L10)-64</f>
        <v>-64</v>
      </c>
      <c r="N10" s="251" t="s">
        <v>40</v>
      </c>
      <c r="O10" s="176">
        <f>SUMIFS([1]فروردین!$AD$2:$AD$366,[1]فروردین!$N$2:$N$366,7103,[1]فروردین!$D$2:$D$366,$F$10,[1]فروردین!$AA$2:$AA$366,O3)</f>
        <v>0</v>
      </c>
      <c r="P10" s="177">
        <f>SUMIFS([1]فروردین!$AD$2:$AD$366,[1]فروردین!$N$2:$N$366,7103,[1]فروردین!$D$2:$D$366,$F$10,[1]فروردین!$AA$2:$AA$366,P3)</f>
        <v>0</v>
      </c>
      <c r="Q10" s="177">
        <f>SUMIFS([1]فروردین!$AD$2:$AD$366,[1]فروردین!$N$2:$N$366,7103,[1]فروردین!$D$2:$D$366,$F$10,[1]فروردین!$AA$2:$AA$366,Q3)</f>
        <v>0</v>
      </c>
      <c r="R10" s="177">
        <f>SUMIFS([1]فروردین!$AD$2:$AD$366,[1]فروردین!$N$2:$N$366,7103,[1]فروردین!$D$2:$D$366,$F$10,[1]فروردین!$AA$2:$AA$366,R3)</f>
        <v>0</v>
      </c>
      <c r="S10" s="177">
        <f>SUMIFS([1]فروردین!$AD$2:$AD$366,[1]فروردین!$N$2:$N$366,7103,[1]فروردین!$D$2:$D$366,$F$10,[1]فروردین!$AA$2:$AA$366,S3)</f>
        <v>0</v>
      </c>
      <c r="T10" s="177">
        <f>SUMIFS([1]فروردین!$AD$2:$AD$366,[1]فروردین!$N$2:$N$366,7103,[1]فروردین!$D$2:$D$366,$F$10,[1]فروردین!$AA$2:$AA$366,T3)</f>
        <v>0</v>
      </c>
      <c r="U10" s="113">
        <f>SUMIFS([1]فروردین!$AD$2:$AD$366,[1]فروردین!$N$2:$N$366,7103,[1]فروردین!$D$2:$D$366,$F$10,[1]فروردین!$AA$2:$AA$366,U3)</f>
        <v>0</v>
      </c>
    </row>
    <row r="11" spans="1:21" ht="36" customHeight="1" thickBot="1" x14ac:dyDescent="0.3">
      <c r="A11" s="214">
        <v>4</v>
      </c>
      <c r="B11" s="78" t="s">
        <v>18</v>
      </c>
      <c r="C11" s="265">
        <v>7201</v>
      </c>
      <c r="D11" s="265">
        <v>62.5</v>
      </c>
      <c r="E11" s="265" t="s">
        <v>19</v>
      </c>
      <c r="F11" s="140"/>
      <c r="G11" s="21">
        <f t="shared" si="0"/>
        <v>0</v>
      </c>
      <c r="H11" s="63">
        <f t="shared" si="1"/>
        <v>0</v>
      </c>
      <c r="I11" s="141">
        <v>0</v>
      </c>
      <c r="J11" s="141">
        <v>62</v>
      </c>
      <c r="K11" s="141">
        <v>0</v>
      </c>
      <c r="L11" s="141">
        <v>0</v>
      </c>
      <c r="M11" s="141">
        <f>SUM(G11:J11)-62</f>
        <v>0</v>
      </c>
      <c r="N11" s="142" t="s">
        <v>41</v>
      </c>
      <c r="O11" s="200"/>
      <c r="P11" s="201"/>
      <c r="Q11" s="201"/>
      <c r="R11" s="201"/>
      <c r="S11" s="201"/>
      <c r="T11" s="201"/>
      <c r="U11" s="111"/>
    </row>
    <row r="12" spans="1:21" ht="36" customHeight="1" thickBot="1" x14ac:dyDescent="0.3">
      <c r="A12" s="45">
        <v>5</v>
      </c>
      <c r="B12" s="12" t="s">
        <v>18</v>
      </c>
      <c r="C12" s="13">
        <v>7202</v>
      </c>
      <c r="D12" s="13">
        <v>62.5</v>
      </c>
      <c r="E12" s="13" t="s">
        <v>15</v>
      </c>
      <c r="F12" s="16" t="s">
        <v>20</v>
      </c>
      <c r="G12" s="14">
        <f t="shared" si="0"/>
        <v>0</v>
      </c>
      <c r="H12" s="48">
        <f t="shared" si="1"/>
        <v>0</v>
      </c>
      <c r="I12" s="14">
        <v>3</v>
      </c>
      <c r="J12" s="14">
        <v>0</v>
      </c>
      <c r="K12" s="14">
        <v>0</v>
      </c>
      <c r="L12" s="14">
        <v>0</v>
      </c>
      <c r="M12" s="14">
        <f>SUM(G12:L12)-62</f>
        <v>-59</v>
      </c>
      <c r="N12" s="271" t="s">
        <v>44</v>
      </c>
      <c r="O12" s="179">
        <f>SUMIFS([1]فروردین!$AD$2:$AD$366,[1]فروردین!$N$2:$N$366,$C$12,[1]فروردین!$D$2:$D$366,$F$12,[1]فروردین!$AA$2:$AA$366,O3)</f>
        <v>0</v>
      </c>
      <c r="P12" s="186">
        <f>SUMIFS([1]فروردین!$AD$2:$AD$366,[1]فروردین!$N$2:$N$366,$C$12,[1]فروردین!$D$2:$D$366,$F$12,[1]فروردین!$AA$2:$AA$366,P3)</f>
        <v>0</v>
      </c>
      <c r="Q12" s="186">
        <f>SUMIFS([1]فروردین!$AD$2:$AD$366,[1]فروردین!$N$2:$N$366,$C$12,[1]فروردین!$D$2:$D$366,$F$12,[1]فروردین!$AA$2:$AA$366,Q3)</f>
        <v>0</v>
      </c>
      <c r="R12" s="186">
        <f>SUMIFS([1]فروردین!$AD$2:$AD$366,[1]فروردین!$N$2:$N$366,$C$12,[1]فروردین!$D$2:$D$366,$F$12,[1]فروردین!$AA$2:$AA$366,R3)</f>
        <v>0</v>
      </c>
      <c r="S12" s="186">
        <f>SUMIFS([1]فروردین!$AD$2:$AD$366,[1]فروردین!$N$2:$N$366,$C$12,[1]فروردین!$D$2:$D$366,$F$12,[1]فروردین!$AA$2:$AA$366,S3)</f>
        <v>0</v>
      </c>
      <c r="T12" s="186">
        <f>SUMIFS([1]فروردین!$AD$2:$AD$366,[1]فروردین!$N$2:$N$366,$C$12,[1]فروردین!$D$2:$D$366,$F$12,[1]فروردین!$AA$2:$AA$366,T3)</f>
        <v>0</v>
      </c>
      <c r="U12" s="118">
        <f>SUMIFS([1]فروردین!$AD$2:$AD$366,[1]فروردین!$N$2:$N$366,$C$12,[1]فروردین!$D$2:$D$366,$F$12,[1]فروردین!$AA$2:$AA$366,U3)</f>
        <v>0</v>
      </c>
    </row>
    <row r="13" spans="1:21" ht="36" customHeight="1" thickBot="1" x14ac:dyDescent="0.3">
      <c r="A13" s="229">
        <v>6</v>
      </c>
      <c r="B13" s="213" t="s">
        <v>18</v>
      </c>
      <c r="C13" s="246">
        <v>7203</v>
      </c>
      <c r="D13" s="246">
        <v>62.5</v>
      </c>
      <c r="E13" s="246" t="s">
        <v>15</v>
      </c>
      <c r="F13" s="16"/>
      <c r="G13" s="4">
        <f t="shared" si="0"/>
        <v>0</v>
      </c>
      <c r="H13" s="67">
        <f t="shared" si="1"/>
        <v>0</v>
      </c>
      <c r="I13" s="4">
        <v>0</v>
      </c>
      <c r="J13" s="4">
        <v>0</v>
      </c>
      <c r="K13" s="4">
        <v>0</v>
      </c>
      <c r="L13" s="4">
        <v>0</v>
      </c>
      <c r="M13" s="4">
        <f>(G13+H13+I13+J13+K13)-D13</f>
        <v>-62.5</v>
      </c>
      <c r="N13" s="251"/>
      <c r="O13" s="180">
        <f>SUMIFS([1]فروردین!$AD$2:$AD$366,[1]فروردین!$N$2:$N$366,$C$13,[1]فروردین!$D$2:$D$366,$F$13,[1]فروردین!$AA$2:$AA$366,O3)</f>
        <v>0</v>
      </c>
      <c r="P13" s="185">
        <f>SUMIFS([1]فروردین!$AD$2:$AD$366,[1]فروردین!$N$2:$N$366,$C$13,[1]فروردین!$D$2:$D$366,$F$13,[1]فروردین!$AA$2:$AA$366,P3)</f>
        <v>0</v>
      </c>
      <c r="Q13" s="185">
        <f>SUMIFS([1]فروردین!$AD$2:$AD$366,[1]فروردین!$N$2:$N$366,$C$13,[1]فروردین!$D$2:$D$366,$F$13,[1]فروردین!$AA$2:$AA$366,Q3)</f>
        <v>0</v>
      </c>
      <c r="R13" s="185">
        <f>SUMIFS([1]فروردین!$AD$2:$AD$366,[1]فروردین!$N$2:$N$366,$C$13,[1]فروردین!$D$2:$D$366,$F$13,[1]فروردین!$AA$2:$AA$366,R3)</f>
        <v>0</v>
      </c>
      <c r="S13" s="185">
        <f>SUMIFS([1]فروردین!$AD$2:$AD$366,[1]فروردین!$N$2:$N$366,$C$13,[1]فروردین!$D$2:$D$366,$F$13,[1]فروردین!$AA$2:$AA$366,S3)</f>
        <v>0</v>
      </c>
      <c r="T13" s="185">
        <f>SUMIFS([1]فروردین!$AD$2:$AD$366,[1]فروردین!$N$2:$N$366,$C$13,[1]فروردین!$D$2:$D$366,$F$13,[1]فروردین!$AA$2:$AA$366,T3)</f>
        <v>0</v>
      </c>
      <c r="U13" s="112">
        <f>SUMIFS([1]فروردین!$AD$2:$AD$366,[1]فروردین!$N$2:$N$366,$C$13,[1]فروردین!$D$2:$D$366,$F$13,[1]فروردین!$AA$2:$AA$366,U3)</f>
        <v>0</v>
      </c>
    </row>
    <row r="14" spans="1:21" ht="36" customHeight="1" thickBot="1" x14ac:dyDescent="0.3">
      <c r="A14" s="45">
        <v>7</v>
      </c>
      <c r="B14" s="12" t="s">
        <v>18</v>
      </c>
      <c r="C14" s="13">
        <v>7204</v>
      </c>
      <c r="D14" s="13">
        <v>62.5</v>
      </c>
      <c r="E14" s="13" t="s">
        <v>15</v>
      </c>
      <c r="F14" s="16"/>
      <c r="G14" s="14">
        <f t="shared" si="0"/>
        <v>0</v>
      </c>
      <c r="H14" s="48">
        <f t="shared" si="1"/>
        <v>0</v>
      </c>
      <c r="I14" s="14">
        <v>0</v>
      </c>
      <c r="J14" s="14">
        <v>0</v>
      </c>
      <c r="K14" s="14">
        <v>0</v>
      </c>
      <c r="L14" s="14">
        <v>0</v>
      </c>
      <c r="M14" s="14">
        <f>SUM(G14:J14)-62</f>
        <v>-62</v>
      </c>
      <c r="N14" s="61"/>
      <c r="O14" s="176">
        <f>SUMIFS([1]فروردین!$AD$2:$AD$366,[1]فروردین!$N$2:$N$366,$C$14,[1]فروردین!$D$2:$D$366,$F$14,[1]فروردین!$AA$2:$AA$366,O3)</f>
        <v>0</v>
      </c>
      <c r="P14" s="177">
        <f>SUMIFS([1]فروردین!$AD$2:$AD$366,[1]فروردین!$N$2:$N$366,$C$14,[1]فروردین!$D$2:$D$366,$F$14,[1]فروردین!$AA$2:$AA$366,P3)</f>
        <v>0</v>
      </c>
      <c r="Q14" s="177">
        <f>SUMIFS([1]فروردین!$AD$2:$AD$366,[1]فروردین!$N$2:$N$366,$C$14,[1]فروردین!$D$2:$D$366,$F$14,[1]فروردین!$AA$2:$AA$366,Q3)</f>
        <v>0</v>
      </c>
      <c r="R14" s="177">
        <f>SUMIFS([1]فروردین!$AD$2:$AD$366,[1]فروردین!$N$2:$N$366,$C$14,[1]فروردین!$D$2:$D$366,$F$14,[1]فروردین!$AA$2:$AA$366,R3)</f>
        <v>0</v>
      </c>
      <c r="S14" s="177">
        <f>SUMIFS([1]فروردین!$AD$2:$AD$366,[1]فروردین!$N$2:$N$366,$C$14,[1]فروردین!$D$2:$D$366,$F$14,[1]فروردین!$AA$2:$AA$366,S3)</f>
        <v>0</v>
      </c>
      <c r="T14" s="177">
        <f>SUMIFS([1]فروردین!$AD$2:$AD$366,[1]فروردین!$N$2:$N$366,$C$14,[1]فروردین!$D$2:$D$366,$F$14,[1]فروردین!$AA$2:$AA$366,T3)</f>
        <v>0</v>
      </c>
      <c r="U14" s="113">
        <f>SUMIFS([1]فروردین!$AD$2:$AD$366,[1]فروردین!$N$2:$N$366,$C$14,[1]فروردین!$D$2:$D$366,$F$14,[1]فروردین!$AA$2:$AA$366,U3)</f>
        <v>0</v>
      </c>
    </row>
    <row r="15" spans="1:21" ht="36" customHeight="1" thickBot="1" x14ac:dyDescent="0.3">
      <c r="A15" s="45">
        <v>8</v>
      </c>
      <c r="B15" s="12" t="s">
        <v>21</v>
      </c>
      <c r="C15" s="13">
        <v>7301</v>
      </c>
      <c r="D15" s="13">
        <v>62.5</v>
      </c>
      <c r="E15" s="13" t="s">
        <v>15</v>
      </c>
      <c r="F15" s="19" t="s">
        <v>22</v>
      </c>
      <c r="G15" s="14">
        <f t="shared" si="0"/>
        <v>0</v>
      </c>
      <c r="H15" s="48">
        <f t="shared" si="1"/>
        <v>0</v>
      </c>
      <c r="I15" s="14">
        <v>7</v>
      </c>
      <c r="J15" s="14">
        <v>0</v>
      </c>
      <c r="K15" s="14">
        <v>0</v>
      </c>
      <c r="L15" s="14">
        <v>0</v>
      </c>
      <c r="M15" s="14">
        <f>SUM(G15:L15)-D15</f>
        <v>-55.5</v>
      </c>
      <c r="N15" s="15" t="s">
        <v>29</v>
      </c>
      <c r="O15" s="180">
        <f>SUMIFS([1]فروردین!$AD$2:$AD$366,[1]فروردین!$N$2:$N$366,$C$15,[1]فروردین!$D$2:$D$366,$F$15,[1]فروردین!$AA$2:$AA$366,O3)</f>
        <v>0</v>
      </c>
      <c r="P15" s="185">
        <f>SUMIFS([1]فروردین!$AD$2:$AD$366,[1]فروردین!$N$2:$N$366,$C$15,[1]فروردین!$D$2:$D$366,$F$15,[1]فروردین!$AA$2:$AA$366,P3)</f>
        <v>0</v>
      </c>
      <c r="Q15" s="185">
        <f>SUMIFS([1]فروردین!$AD$2:$AD$366,[1]فروردین!$N$2:$N$366,$C$15,[1]فروردین!$D$2:$D$366,$F$15,[1]فروردین!$AA$2:$AA$366,Q3)</f>
        <v>0</v>
      </c>
      <c r="R15" s="185">
        <f>SUMIFS([1]فروردین!$AD$2:$AD$366,[1]فروردین!$N$2:$N$366,$C$15,[1]فروردین!$D$2:$D$366,$F$15,[1]فروردین!$AA$2:$AA$366,R3)</f>
        <v>0</v>
      </c>
      <c r="S15" s="185">
        <f>SUMIFS([1]فروردین!$AD$2:$AD$366,[1]فروردین!$N$2:$N$366,$C$15,[1]فروردین!$D$2:$D$366,$F$15,[1]فروردین!$AA$2:$AA$366,S3)</f>
        <v>0</v>
      </c>
      <c r="T15" s="185">
        <f>SUMIFS([1]فروردین!$AD$2:$AD$366,[1]فروردین!$N$2:$N$366,$C$15,[1]فروردین!$D$2:$D$366,$F$15,[1]فروردین!$AA$2:$AA$366,T3)</f>
        <v>0</v>
      </c>
      <c r="U15" s="112">
        <f>SUMIFS([1]فروردین!$AD$2:$AD$366,[1]فروردین!$N$2:$N$366,$C$15,[1]فروردین!$D$2:$D$366,$F$15,[1]فروردین!$AA$2:$AA$366,U3)</f>
        <v>0</v>
      </c>
    </row>
    <row r="16" spans="1:21" ht="46.5" customHeight="1" x14ac:dyDescent="0.25">
      <c r="A16" s="214"/>
      <c r="B16" s="974" t="s">
        <v>21</v>
      </c>
      <c r="C16" s="932">
        <v>7302</v>
      </c>
      <c r="D16" s="932">
        <v>62.5</v>
      </c>
      <c r="E16" s="932" t="s">
        <v>15</v>
      </c>
      <c r="F16" s="27"/>
      <c r="G16" s="1">
        <f t="shared" si="0"/>
        <v>0</v>
      </c>
      <c r="H16" s="49">
        <f t="shared" si="1"/>
        <v>0</v>
      </c>
      <c r="I16" s="1">
        <v>0</v>
      </c>
      <c r="J16" s="1">
        <v>0</v>
      </c>
      <c r="K16" s="1">
        <v>0</v>
      </c>
      <c r="L16" s="1">
        <v>0</v>
      </c>
      <c r="M16" s="4"/>
      <c r="N16" s="928" t="s">
        <v>44</v>
      </c>
      <c r="O16" s="165">
        <f>SUMIFS([1]فروردین!$AD$2:$AD$366,[1]فروردین!$N$2:$N$366,$C$16,[1]فروردین!$D$2:$D$366,$F$16,[1]فروردین!$AA$2:$AA$366,O3)</f>
        <v>0</v>
      </c>
      <c r="P16" s="169">
        <f>SUMIFS([1]فروردین!$AD$2:$AD$366,[1]فروردین!$N$2:$N$366,$C$16,[1]فروردین!$D$2:$D$366,$F$16,[1]فروردین!$AA$2:$AA$366,P3)</f>
        <v>0</v>
      </c>
      <c r="Q16" s="169">
        <f>SUMIFS([1]فروردین!$AD$2:$AD$366,[1]فروردین!$N$2:$N$366,$C$16,[1]فروردین!$D$2:$D$366,$F$16,[1]فروردین!$AA$2:$AA$366,Q3)</f>
        <v>0</v>
      </c>
      <c r="R16" s="169">
        <f>SUMIFS([1]فروردین!$AD$2:$AD$366,[1]فروردین!$N$2:$N$366,$C$16,[1]فروردین!$D$2:$D$366,$F$16,[1]فروردین!$AA$2:$AA$366,R3)</f>
        <v>0</v>
      </c>
      <c r="S16" s="169">
        <f>SUMIFS([1]فروردین!$AD$2:$AD$366,[1]فروردین!$N$2:$N$366,$C$16,[1]فروردین!$D$2:$D$366,$F$16,[1]فروردین!$AA$2:$AA$366,S3)</f>
        <v>0</v>
      </c>
      <c r="T16" s="169">
        <f>SUMIFS([1]فروردین!$AD$2:$AD$366,[1]فروردین!$N$2:$N$366,$C$16,[1]فروردین!$D$2:$D$366,$F$16,[1]فروردین!$AA$2:$AA$366,T3)</f>
        <v>0</v>
      </c>
      <c r="U16" s="107">
        <f>SUMIFS([1]فروردین!$AD$2:$AD$366,[1]فروردین!$N$2:$N$366,$C$16,[1]فروردین!$D$2:$D$366,$F$16,[1]فروردین!$AA$2:$AA$366,U3)</f>
        <v>0</v>
      </c>
    </row>
    <row r="17" spans="1:21" ht="46.5" customHeight="1" x14ac:dyDescent="0.25">
      <c r="A17" s="214">
        <v>9</v>
      </c>
      <c r="B17" s="975"/>
      <c r="C17" s="933"/>
      <c r="D17" s="933"/>
      <c r="E17" s="933"/>
      <c r="F17" s="22" t="s">
        <v>17</v>
      </c>
      <c r="G17" s="3">
        <f t="shared" si="0"/>
        <v>0</v>
      </c>
      <c r="H17" s="47">
        <f t="shared" si="1"/>
        <v>0</v>
      </c>
      <c r="I17" s="3">
        <v>6</v>
      </c>
      <c r="J17" s="3">
        <v>0</v>
      </c>
      <c r="K17" s="3">
        <v>0</v>
      </c>
      <c r="L17" s="3">
        <v>0</v>
      </c>
      <c r="M17" s="4">
        <f>SUM(G16:L18)-D16</f>
        <v>-56.5</v>
      </c>
      <c r="N17" s="929"/>
      <c r="O17" s="166">
        <f>SUMIFS([1]فروردین!$AD$2:$AD$366,[1]فروردین!$N$2:$N$366,$C$16,[1]فروردین!$D$2:$D$366,$F$17,[1]فروردین!$AA$2:$AA$366,O3)</f>
        <v>0</v>
      </c>
      <c r="P17" s="168">
        <f>SUMIFS([1]فروردین!$AD$2:$AD$366,[1]فروردین!$N$2:$N$366,$C$16,[1]فروردین!$D$2:$D$366,$F$17,[1]فروردین!$AA$2:$AA$366,P3)</f>
        <v>0</v>
      </c>
      <c r="Q17" s="168">
        <f>SUMIFS([1]فروردین!$AD$2:$AD$366,[1]فروردین!$N$2:$N$366,$C$16,[1]فروردین!$D$2:$D$366,$F$17,[1]فروردین!$AA$2:$AA$366,Q3)</f>
        <v>0</v>
      </c>
      <c r="R17" s="168">
        <f>SUMIFS([1]فروردین!$AD$2:$AD$366,[1]فروردین!$N$2:$N$366,$C$16,[1]فروردین!$D$2:$D$366,$F$17,[1]فروردین!$AA$2:$AA$366,R3)</f>
        <v>0</v>
      </c>
      <c r="S17" s="168">
        <f>SUMIFS([1]فروردین!$AD$2:$AD$366,[1]فروردین!$N$2:$N$366,$C$16,[1]فروردین!$D$2:$D$366,$F$17,[1]فروردین!$AA$2:$AA$366,S3)</f>
        <v>0</v>
      </c>
      <c r="T17" s="168">
        <f>SUMIFS([1]فروردین!$AD$2:$AD$366,[1]فروردین!$N$2:$N$366,$C$16,[1]فروردین!$D$2:$D$366,$F$17,[1]فروردین!$AA$2:$AA$366,T3)</f>
        <v>0</v>
      </c>
      <c r="U17" s="108">
        <f>SUMIFS([1]فروردین!$AD$2:$AD$366,[1]فروردین!$N$2:$N$366,$C$16,[1]فروردین!$D$2:$D$366,$F$17,[1]فروردین!$AA$2:$AA$366,U3)</f>
        <v>0</v>
      </c>
    </row>
    <row r="18" spans="1:21" ht="46.5" customHeight="1" thickBot="1" x14ac:dyDescent="0.3">
      <c r="A18" s="230"/>
      <c r="B18" s="976"/>
      <c r="C18" s="934"/>
      <c r="D18" s="934"/>
      <c r="E18" s="934"/>
      <c r="F18" s="5"/>
      <c r="G18" s="1">
        <f t="shared" si="0"/>
        <v>0</v>
      </c>
      <c r="H18" s="49">
        <f t="shared" si="1"/>
        <v>0</v>
      </c>
      <c r="I18" s="7">
        <v>0</v>
      </c>
      <c r="J18" s="7">
        <v>0</v>
      </c>
      <c r="K18" s="6">
        <v>0</v>
      </c>
      <c r="L18" s="6">
        <v>0</v>
      </c>
      <c r="M18" s="6"/>
      <c r="N18" s="930"/>
      <c r="O18" s="167">
        <f>SUMIFS([1]فروردین!$AD$2:$AD$366,[1]فروردین!$N$2:$N$366,$C$16,[1]فروردین!$D$2:$D$366,$F$18,[1]فروردین!$AA$2:$AA$366,O3)</f>
        <v>0</v>
      </c>
      <c r="P18" s="175">
        <f>SUMIFS([1]فروردین!$AD$2:$AD$366,[1]فروردین!$N$2:$N$366,$C$16,[1]فروردین!$D$2:$D$366,$F$18,[1]فروردین!$AA$2:$AA$366,P3)</f>
        <v>0</v>
      </c>
      <c r="Q18" s="175">
        <f>SUMIFS([1]فروردین!$AD$2:$AD$366,[1]فروردین!$N$2:$N$366,$C$16,[1]فروردین!$D$2:$D$366,$F$18,[1]فروردین!$AA$2:$AA$366,Q3)</f>
        <v>0</v>
      </c>
      <c r="R18" s="175">
        <f>SUMIFS([1]فروردین!$AD$2:$AD$366,[1]فروردین!$N$2:$N$366,$C$16,[1]فروردین!$D$2:$D$366,$F$18,[1]فروردین!$AA$2:$AA$366,R3)</f>
        <v>0</v>
      </c>
      <c r="S18" s="175">
        <f>SUMIFS([1]فروردین!$AD$2:$AD$366,[1]فروردین!$N$2:$N$366,$C$16,[1]فروردین!$D$2:$D$366,$F$18,[1]فروردین!$AA$2:$AA$366,S3)</f>
        <v>0</v>
      </c>
      <c r="T18" s="175">
        <f>SUMIFS([1]فروردین!$AD$2:$AD$366,[1]فروردین!$N$2:$N$366,$C$16,[1]فروردین!$D$2:$D$366,$F$18,[1]فروردین!$AA$2:$AA$366,T3)</f>
        <v>0</v>
      </c>
      <c r="U18" s="114">
        <f>SUMIFS([1]فروردین!$AD$2:$AD$366,[1]فروردین!$N$2:$N$366,$C$16,[1]فروردین!$D$2:$D$366,$F$18,[1]فروردین!$AA$2:$AA$366,U3)</f>
        <v>0</v>
      </c>
    </row>
    <row r="19" spans="1:21" ht="36" customHeight="1" thickBot="1" x14ac:dyDescent="0.3">
      <c r="A19" s="147">
        <v>10</v>
      </c>
      <c r="B19" s="143" t="s">
        <v>21</v>
      </c>
      <c r="C19" s="269">
        <v>7303</v>
      </c>
      <c r="D19" s="269">
        <v>44</v>
      </c>
      <c r="E19" s="269" t="s">
        <v>19</v>
      </c>
      <c r="F19" s="144" t="s">
        <v>23</v>
      </c>
      <c r="G19" s="85">
        <f t="shared" si="0"/>
        <v>0</v>
      </c>
      <c r="H19" s="86">
        <f t="shared" si="1"/>
        <v>0</v>
      </c>
      <c r="I19" s="89">
        <v>14.5</v>
      </c>
      <c r="J19" s="89">
        <v>0</v>
      </c>
      <c r="K19" s="89">
        <v>0</v>
      </c>
      <c r="L19" s="89">
        <v>0</v>
      </c>
      <c r="M19" s="89">
        <f>SUM(G19:L19)-44</f>
        <v>-29.5</v>
      </c>
      <c r="N19" s="305" t="s">
        <v>29</v>
      </c>
      <c r="O19" s="179">
        <f>SUMIFS([1]فروردین!$AD$2:$AD$366,[1]فروردین!$N$2:$N$366,$C$19,[1]فروردین!$D$2:$D$366,$F$19,[1]فروردین!$AA$2:$AA$366,O3)</f>
        <v>0</v>
      </c>
      <c r="P19" s="186">
        <f>SUMIFS([1]فروردین!$AD$2:$AD$366,[1]فروردین!$N$2:$N$366,$C$19,[1]فروردین!$D$2:$D$366,$F$19,[1]فروردین!$AA$2:$AA$366,P3)</f>
        <v>0</v>
      </c>
      <c r="Q19" s="186">
        <f>SUMIFS([1]فروردین!$AD$2:$AD$366,[1]فروردین!$N$2:$N$366,$C$19,[1]فروردین!$D$2:$D$366,$F$19,[1]فروردین!$AA$2:$AA$366,Q3)</f>
        <v>0</v>
      </c>
      <c r="R19" s="186">
        <f>SUMIFS([1]فروردین!$AD$2:$AD$366,[1]فروردین!$N$2:$N$366,$C$19,[1]فروردین!$D$2:$D$366,$F$19,[1]فروردین!$AA$2:$AA$366,R3)</f>
        <v>0</v>
      </c>
      <c r="S19" s="186">
        <f>SUMIFS([1]فروردین!$AD$2:$AD$366,[1]فروردین!$N$2:$N$366,$C$19,[1]فروردین!$D$2:$D$366,$F$19,[1]فروردین!$AA$2:$AA$366,S3)</f>
        <v>0</v>
      </c>
      <c r="T19" s="186">
        <f>SUMIFS([1]فروردین!$AD$2:$AD$366,[1]فروردین!$N$2:$N$366,$C$19,[1]فروردین!$D$2:$D$366,$F$19,[1]فروردین!$AA$2:$AA$366,T3)</f>
        <v>0</v>
      </c>
      <c r="U19" s="118">
        <f>SUMIFS([1]فروردین!$AD$2:$AD$366,[1]فروردین!$N$2:$N$366,$C$19,[1]فروردین!$D$2:$D$366,$F$19,[1]فروردین!$AA$2:$AA$366,U3)</f>
        <v>0</v>
      </c>
    </row>
    <row r="20" spans="1:21" ht="48" customHeight="1" x14ac:dyDescent="0.25">
      <c r="A20" s="229"/>
      <c r="B20" s="974" t="s">
        <v>24</v>
      </c>
      <c r="C20" s="932">
        <v>7401</v>
      </c>
      <c r="D20" s="932">
        <v>62.5</v>
      </c>
      <c r="E20" s="932" t="s">
        <v>15</v>
      </c>
      <c r="F20" s="20" t="s">
        <v>16</v>
      </c>
      <c r="G20" s="9">
        <f t="shared" si="0"/>
        <v>0</v>
      </c>
      <c r="H20" s="46">
        <f t="shared" si="1"/>
        <v>0</v>
      </c>
      <c r="I20" s="9">
        <v>0</v>
      </c>
      <c r="J20" s="9">
        <v>0</v>
      </c>
      <c r="K20" s="9">
        <v>0</v>
      </c>
      <c r="L20" s="9">
        <v>0</v>
      </c>
      <c r="M20" s="21"/>
      <c r="N20" s="931" t="s">
        <v>53</v>
      </c>
      <c r="O20" s="165">
        <f>SUMIFS([1]فروردین!$AD$2:$AD$366,[1]فروردین!$N$2:$N$366,$C$20,[1]فروردین!$D$2:$D$366,$F$20,[1]فروردین!$AA$2:$AA$366,O3)</f>
        <v>0</v>
      </c>
      <c r="P20" s="169">
        <f>SUMIFS([1]فروردین!$AD$2:$AD$366,[1]فروردین!$N$2:$N$366,$C$20,[1]فروردین!$D$2:$D$366,$F$20,[1]فروردین!$AA$2:$AA$366,P3)</f>
        <v>0</v>
      </c>
      <c r="Q20" s="169">
        <f>SUMIFS([1]فروردین!$AD$2:$AD$366,[1]فروردین!$N$2:$N$366,$C$20,[1]فروردین!$D$2:$D$366,$F$20,[1]فروردین!$AA$2:$AA$366,Q3)</f>
        <v>0</v>
      </c>
      <c r="R20" s="169">
        <f>SUMIFS([1]فروردین!$AD$2:$AD$366,[1]فروردین!$N$2:$N$366,$C$20,[1]فروردین!$D$2:$D$366,$F$20,[1]فروردین!$AA$2:$AA$366,R3)</f>
        <v>0</v>
      </c>
      <c r="S20" s="169">
        <f>SUMIFS([1]فروردین!$AD$2:$AD$366,[1]فروردین!$N$2:$N$366,$C$20,[1]فروردین!$D$2:$D$366,$F$20,[1]فروردین!$AA$2:$AA$366,S3)</f>
        <v>0</v>
      </c>
      <c r="T20" s="169">
        <f>SUMIFS([1]فروردین!$AD$2:$AD$366,[1]فروردین!$N$2:$N$366,$C$20,[1]فروردین!$D$2:$D$366,$F$20,[1]فروردین!$AA$2:$AA$366,T3)</f>
        <v>0</v>
      </c>
      <c r="U20" s="107">
        <f>SUMIFS([1]فروردین!$AD$2:$AD$366,[1]فروردین!$N$2:$N$366,$C$20,[1]فروردین!$D$2:$D$366,$F$20,[1]فروردین!$AA$2:$AA$366,U3)</f>
        <v>0</v>
      </c>
    </row>
    <row r="21" spans="1:21" ht="48" customHeight="1" x14ac:dyDescent="0.25">
      <c r="A21" s="214">
        <v>11</v>
      </c>
      <c r="B21" s="975"/>
      <c r="C21" s="933"/>
      <c r="D21" s="933"/>
      <c r="E21" s="933"/>
      <c r="F21" s="22" t="s">
        <v>54</v>
      </c>
      <c r="G21" s="3">
        <f t="shared" si="0"/>
        <v>0</v>
      </c>
      <c r="H21" s="47">
        <f t="shared" si="1"/>
        <v>0</v>
      </c>
      <c r="I21" s="3">
        <v>0</v>
      </c>
      <c r="J21" s="3">
        <v>0</v>
      </c>
      <c r="K21" s="3">
        <v>0</v>
      </c>
      <c r="L21" s="3">
        <v>0</v>
      </c>
      <c r="M21" s="1">
        <f>SUM(G20:L22)-D20</f>
        <v>-62.5</v>
      </c>
      <c r="N21" s="929"/>
      <c r="O21" s="166">
        <f>SUMIFS([1]فروردین!$AD$2:$AD$366,[1]فروردین!$N$2:$N$366,$C$20,[1]فروردین!$D$2:$D$366,$F$21,[1]فروردین!$AA$2:$AA$366,O3)</f>
        <v>0</v>
      </c>
      <c r="P21" s="168">
        <f>SUMIFS([1]فروردین!$AD$2:$AD$366,[1]فروردین!$N$2:$N$366,$C$20,[1]فروردین!$D$2:$D$366,$F$21,[1]فروردین!$AA$2:$AA$366,P3)</f>
        <v>0</v>
      </c>
      <c r="Q21" s="168">
        <f>SUMIFS([1]فروردین!$AD$2:$AD$366,[1]فروردین!$N$2:$N$366,$C$20,[1]فروردین!$D$2:$D$366,$F$21,[1]فروردین!$AA$2:$AA$366,Q3)</f>
        <v>0</v>
      </c>
      <c r="R21" s="168">
        <f>SUMIFS([1]فروردین!$AD$2:$AD$366,[1]فروردین!$N$2:$N$366,$C$20,[1]فروردین!$D$2:$D$366,$F$21,[1]فروردین!$AA$2:$AA$366,R3)</f>
        <v>0</v>
      </c>
      <c r="S21" s="168">
        <f>SUMIFS([1]فروردین!$AD$2:$AD$366,[1]فروردین!$N$2:$N$366,$C$20,[1]فروردین!$D$2:$D$366,$F$21,[1]فروردین!$AA$2:$AA$366,S3)</f>
        <v>0</v>
      </c>
      <c r="T21" s="168">
        <f>SUMIFS([1]فروردین!$AD$2:$AD$366,[1]فروردین!$N$2:$N$366,$C$20,[1]فروردین!$D$2:$D$366,$F$21,[1]فروردین!$AA$2:$AA$366,T3)</f>
        <v>0</v>
      </c>
      <c r="U21" s="108">
        <f>SUMIFS([1]فروردین!$AD$2:$AD$366,[1]فروردین!$N$2:$N$366,$C$20,[1]فروردین!$D$2:$D$366,$F$21,[1]فروردین!$AA$2:$AA$366,U3)</f>
        <v>0</v>
      </c>
    </row>
    <row r="22" spans="1:21" ht="48" customHeight="1" thickBot="1" x14ac:dyDescent="0.3">
      <c r="A22" s="230"/>
      <c r="B22" s="976"/>
      <c r="C22" s="934"/>
      <c r="D22" s="934"/>
      <c r="E22" s="934"/>
      <c r="F22" s="5"/>
      <c r="G22" s="1">
        <f t="shared" si="0"/>
        <v>0</v>
      </c>
      <c r="H22" s="49">
        <f t="shared" si="1"/>
        <v>0</v>
      </c>
      <c r="I22" s="7">
        <v>0</v>
      </c>
      <c r="J22" s="7">
        <v>0</v>
      </c>
      <c r="K22" s="6">
        <v>0</v>
      </c>
      <c r="L22" s="6">
        <v>0</v>
      </c>
      <c r="M22" s="6"/>
      <c r="N22" s="930"/>
      <c r="O22" s="171">
        <f>SUMIFS([1]فروردین!$AD$2:$AD$366,[1]فروردین!$N$2:$N$366,$C$22,[1]فروردین!$D$2:$D$366,$F$22,[1]فروردین!$AA$2:$AA$366,O3)</f>
        <v>0</v>
      </c>
      <c r="P22" s="172">
        <f>SUMIFS([1]فروردین!$AD$2:$AD$366,[1]فروردین!$N$2:$N$366,$C$22,[1]فروردین!$D$2:$D$366,$F$22,[1]فروردین!$AA$2:$AA$366,P3)</f>
        <v>0</v>
      </c>
      <c r="Q22" s="172">
        <f>SUMIFS([1]فروردین!$AD$2:$AD$366,[1]فروردین!$N$2:$N$366,$C$22,[1]فروردین!$D$2:$D$366,$F$22,[1]فروردین!$AA$2:$AA$366,Q3)</f>
        <v>0</v>
      </c>
      <c r="R22" s="172">
        <f>SUMIFS([1]فروردین!$AD$2:$AD$366,[1]فروردین!$N$2:$N$366,$C$22,[1]فروردین!$D$2:$D$366,$F$22,[1]فروردین!$AA$2:$AA$366,R3)</f>
        <v>0</v>
      </c>
      <c r="S22" s="172">
        <f>SUMIFS([1]فروردین!$AD$2:$AD$366,[1]فروردین!$N$2:$N$366,$C$22,[1]فروردین!$D$2:$D$366,$F$22,[1]فروردین!$AA$2:$AA$366,S3)</f>
        <v>0</v>
      </c>
      <c r="T22" s="172">
        <f>SUMIFS([1]فروردین!$AD$2:$AD$366,[1]فروردین!$N$2:$N$366,$C$22,[1]فروردین!$D$2:$D$366,$F$22,[1]فروردین!$AA$2:$AA$366,T3)</f>
        <v>0</v>
      </c>
      <c r="U22" s="109">
        <f>SUMIFS([1]فروردین!$AD$2:$AD$366,[1]فروردین!$N$2:$N$366,$C$22,[1]فروردین!$D$2:$D$366,$F$22,[1]فروردین!$AA$2:$AA$366,U3)</f>
        <v>0</v>
      </c>
    </row>
    <row r="23" spans="1:21" ht="36" customHeight="1" x14ac:dyDescent="0.25">
      <c r="A23" s="214"/>
      <c r="B23" s="974" t="s">
        <v>25</v>
      </c>
      <c r="C23" s="932">
        <v>7501</v>
      </c>
      <c r="D23" s="932">
        <v>62.5</v>
      </c>
      <c r="E23" s="932" t="s">
        <v>19</v>
      </c>
      <c r="F23" s="20"/>
      <c r="G23" s="9">
        <f t="shared" si="0"/>
        <v>0</v>
      </c>
      <c r="H23" s="46">
        <f t="shared" si="1"/>
        <v>0</v>
      </c>
      <c r="I23" s="9">
        <v>0</v>
      </c>
      <c r="J23" s="9">
        <v>0</v>
      </c>
      <c r="K23" s="9">
        <v>0</v>
      </c>
      <c r="L23" s="9">
        <v>0</v>
      </c>
      <c r="M23" s="21"/>
      <c r="N23" s="931" t="s">
        <v>28</v>
      </c>
      <c r="O23" s="173">
        <f>SUMIFS([1]فروردین!$AD$2:$AD$366,[1]فروردین!$N$2:$N$366,$C$23,[1]فروردین!$D$2:$D$366,$F$23,[1]فروردین!$AA$2:$AA$366,O3)</f>
        <v>0</v>
      </c>
      <c r="P23" s="174">
        <f>SUMIFS([1]فروردین!$AD$2:$AD$366,[1]فروردین!$N$2:$N$366,$C$23,[1]فروردین!$D$2:$D$366,$F$23,[1]فروردین!$AA$2:$AA$366,P3)</f>
        <v>0</v>
      </c>
      <c r="Q23" s="174">
        <f>SUMIFS([1]فروردین!$AD$2:$AD$366,[1]فروردین!$N$2:$N$366,$C$23,[1]فروردین!$D$2:$D$366,$F$23,[1]فروردین!$AA$2:$AA$366,Q3)</f>
        <v>0</v>
      </c>
      <c r="R23" s="174">
        <f>SUMIFS([1]فروردین!$AD$2:$AD$366,[1]فروردین!$N$2:$N$366,$C$23,[1]فروردین!$D$2:$D$366,$F$23,[1]فروردین!$AA$2:$AA$366,R3)</f>
        <v>0</v>
      </c>
      <c r="S23" s="174">
        <f>SUMIFS([1]فروردین!$AD$2:$AD$366,[1]فروردین!$N$2:$N$366,$C$23,[1]فروردین!$D$2:$D$366,$F$23,[1]فروردین!$AA$2:$AA$366,S3)</f>
        <v>0</v>
      </c>
      <c r="T23" s="174">
        <f>SUMIFS([1]فروردین!$AD$2:$AD$366,[1]فروردین!$N$2:$N$366,$C$23,[1]فروردین!$D$2:$D$366,$F$23,[1]فروردین!$AA$2:$AA$366,T3)</f>
        <v>0</v>
      </c>
      <c r="U23" s="110">
        <f>SUMIFS([1]فروردین!$AD$2:$AD$366,[1]فروردین!$N$2:$N$366,$C$23,[1]فروردین!$D$2:$D$366,$F$23,[1]فروردین!$AA$2:$AA$366,U3)</f>
        <v>0</v>
      </c>
    </row>
    <row r="24" spans="1:21" ht="36" customHeight="1" x14ac:dyDescent="0.25">
      <c r="A24" s="214">
        <v>12</v>
      </c>
      <c r="B24" s="975"/>
      <c r="C24" s="933"/>
      <c r="D24" s="933"/>
      <c r="E24" s="933"/>
      <c r="F24" s="22" t="s">
        <v>36</v>
      </c>
      <c r="G24" s="3">
        <f t="shared" si="0"/>
        <v>0</v>
      </c>
      <c r="H24" s="47">
        <f t="shared" si="1"/>
        <v>0</v>
      </c>
      <c r="I24" s="3">
        <v>0</v>
      </c>
      <c r="J24" s="3">
        <v>0</v>
      </c>
      <c r="K24" s="3">
        <v>0</v>
      </c>
      <c r="L24" s="3">
        <v>0</v>
      </c>
      <c r="M24" s="4">
        <f>SUM(G23:L25)-D23</f>
        <v>-62.5</v>
      </c>
      <c r="N24" s="929"/>
      <c r="O24" s="166">
        <f>SUMIFS([1]فروردین!$AD$2:$AD$366,[1]فروردین!$N$2:$N$366,$C$23,[1]فروردین!$D$2:$D$366,$F$24,[1]فروردین!$AA$2:$AA$366,O3)</f>
        <v>0</v>
      </c>
      <c r="P24" s="168">
        <f>SUMIFS([1]فروردین!$AD$2:$AD$366,[1]فروردین!$N$2:$N$366,$C$23,[1]فروردین!$D$2:$D$366,$F$24,[1]فروردین!$AA$2:$AA$366,P3)</f>
        <v>0</v>
      </c>
      <c r="Q24" s="168">
        <f>SUMIFS([1]فروردین!$AD$2:$AD$366,[1]فروردین!$N$2:$N$366,$C$23,[1]فروردین!$D$2:$D$366,$F$24,[1]فروردین!$AA$2:$AA$366,Q3)</f>
        <v>0</v>
      </c>
      <c r="R24" s="168">
        <f>SUMIFS([1]فروردین!$AD$2:$AD$366,[1]فروردین!$N$2:$N$366,$C$23,[1]فروردین!$D$2:$D$366,$F$24,[1]فروردین!$AA$2:$AA$366,R3)</f>
        <v>0</v>
      </c>
      <c r="S24" s="168">
        <f>SUMIFS([1]فروردین!$AD$2:$AD$366,[1]فروردین!$N$2:$N$366,$C$23,[1]فروردین!$D$2:$D$366,$F$24,[1]فروردین!$AA$2:$AA$366,S3)</f>
        <v>0</v>
      </c>
      <c r="T24" s="168">
        <f>SUMIFS([1]فروردین!$AD$2:$AD$366,[1]فروردین!$N$2:$N$366,$C$23,[1]فروردین!$D$2:$D$366,$F$24,[1]فروردین!$AA$2:$AA$366,T3)</f>
        <v>0</v>
      </c>
      <c r="U24" s="108">
        <f>SUMIFS([1]فروردین!$AD$2:$AD$366,[1]فروردین!$N$2:$N$366,$C$23,[1]فروردین!$D$2:$D$366,$F$24,[1]فروردین!$AA$2:$AA$366,U3)</f>
        <v>0</v>
      </c>
    </row>
    <row r="25" spans="1:21" ht="36" customHeight="1" thickBot="1" x14ac:dyDescent="0.3">
      <c r="A25" s="230"/>
      <c r="B25" s="976"/>
      <c r="C25" s="934"/>
      <c r="D25" s="934"/>
      <c r="E25" s="934"/>
      <c r="F25" s="5"/>
      <c r="G25" s="1">
        <f t="shared" si="0"/>
        <v>0</v>
      </c>
      <c r="H25" s="49">
        <f t="shared" si="1"/>
        <v>0</v>
      </c>
      <c r="I25" s="7">
        <v>0</v>
      </c>
      <c r="J25" s="7">
        <v>0</v>
      </c>
      <c r="K25" s="6">
        <v>0</v>
      </c>
      <c r="L25" s="6">
        <v>0</v>
      </c>
      <c r="M25" s="6"/>
      <c r="N25" s="930"/>
      <c r="O25" s="167">
        <f>SUMIFS([1]فروردین!$AD$2:$AD$366,[1]فروردین!$N$2:$N$366,$C$23,[1]فروردین!$D$2:$D$366,$F$25,[1]فروردین!$AA$2:$AA$366,O3)</f>
        <v>0</v>
      </c>
      <c r="P25" s="175">
        <f>SUMIFS([1]فروردین!$AD$2:$AD$366,[1]فروردین!$N$2:$N$366,$C$23,[1]فروردین!$D$2:$D$366,$F$25,[1]فروردین!$AA$2:$AA$366,P3)</f>
        <v>0</v>
      </c>
      <c r="Q25" s="175">
        <f>SUMIFS([1]فروردین!$AD$2:$AD$366,[1]فروردین!$N$2:$N$366,$C$23,[1]فروردین!$D$2:$D$366,$F$25,[1]فروردین!$AA$2:$AA$366,Q3)</f>
        <v>0</v>
      </c>
      <c r="R25" s="175">
        <f>SUMIFS([1]فروردین!$AD$2:$AD$366,[1]فروردین!$N$2:$N$366,$C$23,[1]فروردین!$D$2:$D$366,$F$25,[1]فروردین!$AA$2:$AA$366,R3)</f>
        <v>0</v>
      </c>
      <c r="S25" s="175">
        <f>SUMIFS([1]فروردین!$AD$2:$AD$366,[1]فروردین!$N$2:$N$366,$C$23,[1]فروردین!$D$2:$D$366,$F$25,[1]فروردین!$AA$2:$AA$366,S3)</f>
        <v>0</v>
      </c>
      <c r="T25" s="175">
        <f>SUMIFS([1]فروردین!$AD$2:$AD$366,[1]فروردین!$N$2:$N$366,$C$23,[1]فروردین!$D$2:$D$366,$F$25,[1]فروردین!$AA$2:$AA$366,T3)</f>
        <v>0</v>
      </c>
      <c r="U25" s="114">
        <f>SUMIFS([1]فروردین!$AD$2:$AD$366,[1]فروردین!$N$2:$N$366,$C$23,[1]فروردین!$D$2:$D$366,$F$25,[1]فروردین!$AA$2:$AA$366,U3)</f>
        <v>0</v>
      </c>
    </row>
    <row r="26" spans="1:21" ht="36" customHeight="1" x14ac:dyDescent="0.25">
      <c r="A26" s="214"/>
      <c r="B26" s="972" t="s">
        <v>25</v>
      </c>
      <c r="C26" s="935">
        <v>7502</v>
      </c>
      <c r="D26" s="932">
        <v>62.5</v>
      </c>
      <c r="E26" s="935" t="s">
        <v>50</v>
      </c>
      <c r="F26" s="20"/>
      <c r="G26" s="9">
        <f t="shared" si="0"/>
        <v>0</v>
      </c>
      <c r="H26" s="46">
        <f t="shared" si="1"/>
        <v>0</v>
      </c>
      <c r="I26" s="85">
        <v>0</v>
      </c>
      <c r="J26" s="85">
        <v>0</v>
      </c>
      <c r="K26" s="85">
        <v>0</v>
      </c>
      <c r="L26" s="85">
        <v>0</v>
      </c>
      <c r="M26" s="21"/>
      <c r="N26" s="938" t="s">
        <v>42</v>
      </c>
      <c r="O26" s="165">
        <f>SUMIFS([1]فروردین!$AD$2:$AD$366,[1]فروردین!$N$2:$N$366,$C$26,[1]فروردین!$D$2:$D$366,$F$26,[1]فروردین!$AA$2:$AA$366,O3)</f>
        <v>0</v>
      </c>
      <c r="P26" s="169">
        <f>SUMIFS([1]فروردین!$AD$2:$AD$366,[1]فروردین!$N$2:$N$366,$C$26,[1]فروردین!$D$2:$D$366,$F$26,[1]فروردین!$AA$2:$AA$366,P3)</f>
        <v>0</v>
      </c>
      <c r="Q26" s="169">
        <f>SUMIFS([1]فروردین!$AD$2:$AD$366,[1]فروردین!$N$2:$N$366,$C$26,[1]فروردین!$D$2:$D$366,$F$26,[1]فروردین!$AA$2:$AA$366,Q3)</f>
        <v>0</v>
      </c>
      <c r="R26" s="169">
        <f>SUMIFS([1]فروردین!$AD$2:$AD$366,[1]فروردین!$N$2:$N$366,$C$26,[1]فروردین!$D$2:$D$366,$F$26,[1]فروردین!$AA$2:$AA$366,R3)</f>
        <v>0</v>
      </c>
      <c r="S26" s="169">
        <f>SUMIFS([1]فروردین!$AD$2:$AD$366,[1]فروردین!$N$2:$N$366,$C$26,[1]فروردین!$D$2:$D$366,$F$26,[1]فروردین!$AA$2:$AA$366,S3)</f>
        <v>0</v>
      </c>
      <c r="T26" s="169">
        <f>SUMIFS([1]فروردین!$AD$2:$AD$366,[1]فروردین!$N$2:$N$366,$C$26,[1]فروردین!$D$2:$D$366,$F$26,[1]فروردین!$AA$2:$AA$366,T3)</f>
        <v>0</v>
      </c>
      <c r="U26" s="107">
        <f>SUMIFS([1]فروردین!$AD$2:$AD$366,[1]فروردین!$N$2:$N$366,$C$26,[1]فروردین!$D$2:$D$366,$F$26,[1]فروردین!$AA$2:$AA$366,U3)</f>
        <v>0</v>
      </c>
    </row>
    <row r="27" spans="1:21" ht="36" customHeight="1" x14ac:dyDescent="0.25">
      <c r="A27" s="214">
        <v>13</v>
      </c>
      <c r="B27" s="984"/>
      <c r="C27" s="936"/>
      <c r="D27" s="933"/>
      <c r="E27" s="936"/>
      <c r="F27" s="22" t="s">
        <v>36</v>
      </c>
      <c r="G27" s="3">
        <f t="shared" si="0"/>
        <v>0</v>
      </c>
      <c r="H27" s="47">
        <f t="shared" si="1"/>
        <v>0</v>
      </c>
      <c r="I27" s="3">
        <v>0</v>
      </c>
      <c r="J27" s="3">
        <v>0</v>
      </c>
      <c r="K27" s="3">
        <v>0</v>
      </c>
      <c r="L27" s="3">
        <v>0</v>
      </c>
      <c r="M27" s="4">
        <f>SUM(G26:L28)-D26</f>
        <v>-62.5</v>
      </c>
      <c r="N27" s="929"/>
      <c r="O27" s="166">
        <f>SUMIFS([1]فروردین!$AD$2:$AD$366,[1]فروردین!$N$2:$N$366,$C$26,[1]فروردین!$D$2:$D$366,$F$27,[1]فروردین!$AA$2:$AA$366,O3)</f>
        <v>0</v>
      </c>
      <c r="P27" s="168">
        <f>SUMIFS([1]فروردین!$AD$2:$AD$366,[1]فروردین!$N$2:$N$366,$C$26,[1]فروردین!$D$2:$D$366,$F$27,[1]فروردین!$AA$2:$AA$366,P3)</f>
        <v>0</v>
      </c>
      <c r="Q27" s="168">
        <f>SUMIFS([1]فروردین!$AD$2:$AD$366,[1]فروردین!$N$2:$N$366,$C$26,[1]فروردین!$D$2:$D$366,$F$27,[1]فروردین!$AA$2:$AA$366,Q3)</f>
        <v>0</v>
      </c>
      <c r="R27" s="168">
        <f>SUMIFS([1]فروردین!$AD$2:$AD$366,[1]فروردین!$N$2:$N$366,$C$26,[1]فروردین!$D$2:$D$366,$F$27,[1]فروردین!$AA$2:$AA$366,R3)</f>
        <v>0</v>
      </c>
      <c r="S27" s="168">
        <f>SUMIFS([1]فروردین!$AD$2:$AD$366,[1]فروردین!$N$2:$N$366,$C$26,[1]فروردین!$D$2:$D$366,$F$27,[1]فروردین!$AA$2:$AA$366,S3)</f>
        <v>0</v>
      </c>
      <c r="T27" s="168">
        <f>SUMIFS([1]فروردین!$AD$2:$AD$366,[1]فروردین!$N$2:$N$366,$C$26,[1]فروردین!$D$2:$D$366,$F$27,[1]فروردین!$AA$2:$AA$366,T3)</f>
        <v>0</v>
      </c>
      <c r="U27" s="108">
        <f>SUMIFS([1]فروردین!$AD$2:$AD$366,[1]فروردین!$N$2:$N$366,$C$26,[1]فروردین!$D$2:$D$366,$F$27,[1]فروردین!$AA$2:$AA$366,U3)</f>
        <v>0</v>
      </c>
    </row>
    <row r="28" spans="1:21" ht="36" customHeight="1" thickBot="1" x14ac:dyDescent="0.3">
      <c r="A28" s="230"/>
      <c r="B28" s="973"/>
      <c r="C28" s="937"/>
      <c r="D28" s="934"/>
      <c r="E28" s="937"/>
      <c r="F28" s="5"/>
      <c r="G28" s="6">
        <f t="shared" si="0"/>
        <v>0</v>
      </c>
      <c r="H28" s="64">
        <f t="shared" si="1"/>
        <v>0</v>
      </c>
      <c r="I28" s="7">
        <v>0</v>
      </c>
      <c r="J28" s="7">
        <v>0</v>
      </c>
      <c r="K28" s="6">
        <v>0</v>
      </c>
      <c r="L28" s="6">
        <v>0</v>
      </c>
      <c r="M28" s="6"/>
      <c r="N28" s="930"/>
      <c r="O28" s="167">
        <f>SUMIFS([1]فروردین!$AD$2:$AD$366,[1]فروردین!$N$2:$N$366,$C$26,[1]فروردین!$D$2:$D$366,$F$28,[1]فروردین!$AA$2:$AA$366,O3)</f>
        <v>0</v>
      </c>
      <c r="P28" s="175">
        <f>SUMIFS([1]فروردین!$AD$2:$AD$366,[1]فروردین!$N$2:$N$366,$C$26,[1]فروردین!$D$2:$D$366,$F$28,[1]فروردین!$AA$2:$AA$366,P3)</f>
        <v>0</v>
      </c>
      <c r="Q28" s="175">
        <f>SUMIFS([1]فروردین!$AD$2:$AD$366,[1]فروردین!$N$2:$N$366,$C$26,[1]فروردین!$D$2:$D$366,$F$28,[1]فروردین!$AA$2:$AA$366,Q3)</f>
        <v>0</v>
      </c>
      <c r="R28" s="175">
        <f>SUMIFS([1]فروردین!$AD$2:$AD$366,[1]فروردین!$N$2:$N$366,$C$26,[1]فروردین!$D$2:$D$366,$F$28,[1]فروردین!$AA$2:$AA$366,R3)</f>
        <v>0</v>
      </c>
      <c r="S28" s="175">
        <f>SUMIFS([1]فروردین!$AD$2:$AD$366,[1]فروردین!$N$2:$N$366,$C$26,[1]فروردین!$D$2:$D$366,$F$28,[1]فروردین!$AA$2:$AA$366,S3)</f>
        <v>0</v>
      </c>
      <c r="T28" s="175">
        <f>SUMIFS([1]فروردین!$AD$2:$AD$366,[1]فروردین!$N$2:$N$366,$C$26,[1]فروردین!$D$2:$D$366,$F$28,[1]فروردین!$AA$2:$AA$366,T3)</f>
        <v>0</v>
      </c>
      <c r="U28" s="114">
        <f>SUMIFS([1]فروردین!$AD$2:$AD$366,[1]فروردین!$N$2:$N$366,$C$26,[1]فروردین!$D$2:$D$366,$F$28,[1]فروردین!$AA$2:$AA$366,U3)</f>
        <v>0</v>
      </c>
    </row>
    <row r="29" spans="1:21" ht="42" customHeight="1" x14ac:dyDescent="0.25">
      <c r="A29" s="939">
        <v>14</v>
      </c>
      <c r="B29" s="972" t="s">
        <v>26</v>
      </c>
      <c r="C29" s="935">
        <v>7601</v>
      </c>
      <c r="D29" s="935">
        <v>68</v>
      </c>
      <c r="E29" s="914" t="s">
        <v>15</v>
      </c>
      <c r="F29" s="84" t="s">
        <v>27</v>
      </c>
      <c r="G29" s="85">
        <f t="shared" si="0"/>
        <v>0</v>
      </c>
      <c r="H29" s="86">
        <f t="shared" si="1"/>
        <v>0</v>
      </c>
      <c r="I29" s="85">
        <v>16</v>
      </c>
      <c r="J29" s="85">
        <v>0</v>
      </c>
      <c r="K29" s="85">
        <v>0</v>
      </c>
      <c r="L29" s="85">
        <v>0</v>
      </c>
      <c r="M29" s="87">
        <f>(J29+J30+I30+I29+H29+H30+G30+G29+L29+K29)-D29</f>
        <v>-52</v>
      </c>
      <c r="N29" s="941" t="s">
        <v>29</v>
      </c>
      <c r="O29" s="187">
        <f>SUMIFS([1]فروردین!$AD$2:$AD$366,[1]فروردین!$N$2:$N$366,$C$29,[1]فروردین!$D$2:$D$366,$F$29,[1]فروردین!$AA$2:$AA$366,O3)</f>
        <v>0</v>
      </c>
      <c r="P29" s="188">
        <f>SUMIFS([1]فروردین!$AD$2:$AD$366,[1]فروردین!$N$2:$N$366,$C$29,[1]فروردین!$D$2:$D$366,$F$29,[1]فروردین!$AA$2:$AA$366,P3)</f>
        <v>0</v>
      </c>
      <c r="Q29" s="188">
        <f>SUMIFS([1]فروردین!$AD$2:$AD$366,[1]فروردین!$N$2:$N$366,$C$29,[1]فروردین!$D$2:$D$366,$F$29,[1]فروردین!$AA$2:$AA$366,Q3)</f>
        <v>0</v>
      </c>
      <c r="R29" s="188">
        <f>SUMIFS([1]فروردین!$AD$2:$AD$366,[1]فروردین!$N$2:$N$366,$C$29,[1]فروردین!$D$2:$D$366,$F$29,[1]فروردین!$AA$2:$AA$366,R3)</f>
        <v>0</v>
      </c>
      <c r="S29" s="188">
        <f>SUMIFS([1]فروردین!$AD$2:$AD$366,[1]فروردین!$N$2:$N$366,$C$29,[1]فروردین!$D$2:$D$366,$F$29,[1]فروردین!$AA$2:$AA$366,S3)</f>
        <v>0</v>
      </c>
      <c r="T29" s="188">
        <f>SUMIFS([1]فروردین!$AD$2:$AD$366,[1]فروردین!$N$2:$N$366,$C$29,[1]فروردین!$D$2:$D$366,$F$29,[1]فروردین!$AA$2:$AA$366,T3)</f>
        <v>0</v>
      </c>
      <c r="U29" s="128">
        <f>SUMIFS([1]فروردین!$AD$2:$AD$366,[1]فروردین!$N$2:$N$366,$C$29,[1]فروردین!$D$2:$D$366,$F$29,[1]فروردین!$AA$2:$AA$366,U3)</f>
        <v>0</v>
      </c>
    </row>
    <row r="30" spans="1:21" ht="42" customHeight="1" thickBot="1" x14ac:dyDescent="0.3">
      <c r="A30" s="940"/>
      <c r="B30" s="973"/>
      <c r="C30" s="937"/>
      <c r="D30" s="937"/>
      <c r="E30" s="915"/>
      <c r="F30" s="124"/>
      <c r="G30" s="93">
        <f t="shared" si="0"/>
        <v>0</v>
      </c>
      <c r="H30" s="92">
        <f t="shared" si="1"/>
        <v>0</v>
      </c>
      <c r="I30" s="125">
        <v>0</v>
      </c>
      <c r="J30" s="125">
        <v>0</v>
      </c>
      <c r="K30" s="126">
        <v>0</v>
      </c>
      <c r="L30" s="126">
        <v>0</v>
      </c>
      <c r="M30" s="127"/>
      <c r="N30" s="917"/>
      <c r="O30" s="274">
        <f>SUMIFS([1]فروردین!$AD$2:$AD$366,[1]فروردین!$N$2:$N$366,$C$29,[1]فروردین!$D$2:$D$366,$F$30,[1]فروردین!$AA$2:$AA$366,O3)</f>
        <v>0</v>
      </c>
      <c r="P30" s="275">
        <f>SUMIFS([1]فروردین!$AD$2:$AD$366,[1]فروردین!$N$2:$N$366,$C$29,[1]فروردین!$D$2:$D$366,$F$30,[1]فروردین!$AA$2:$AA$366,P3)</f>
        <v>0</v>
      </c>
      <c r="Q30" s="275">
        <f>SUMIFS([1]فروردین!$AD$2:$AD$366,[1]فروردین!$N$2:$N$366,$C$29,[1]فروردین!$D$2:$D$366,$F$30,[1]فروردین!$AA$2:$AA$366,Q3)</f>
        <v>0</v>
      </c>
      <c r="R30" s="275">
        <f>SUMIFS([1]فروردین!$AD$2:$AD$366,[1]فروردین!$N$2:$N$366,$C$29,[1]فروردین!$D$2:$D$366,$F$30,[1]فروردین!$AA$2:$AA$366,R3)</f>
        <v>0</v>
      </c>
      <c r="S30" s="275">
        <f>SUMIFS([1]فروردین!$AD$2:$AD$366,[1]فروردین!$N$2:$N$366,$C$29,[1]فروردین!$D$2:$D$366,$F$30,[1]فروردین!$AA$2:$AA$366,S3)</f>
        <v>0</v>
      </c>
      <c r="T30" s="275">
        <f>SUMIFS([1]فروردین!$AD$2:$AD$366,[1]فروردین!$N$2:$N$366,$C$29,[1]فروردین!$D$2:$D$366,$F$30,[1]فروردین!$AA$2:$AA$366,T3)</f>
        <v>0</v>
      </c>
      <c r="U30" s="121">
        <f>SUMIFS([1]فروردین!$AD$2:$AD$366,[1]فروردین!$N$2:$N$366,$C$29,[1]فروردین!$D$2:$D$366,$F$30,[1]فروردین!$AA$2:$AA$366,U3)</f>
        <v>0</v>
      </c>
    </row>
    <row r="31" spans="1:21" ht="42" customHeight="1" x14ac:dyDescent="0.25">
      <c r="A31" s="912">
        <v>15</v>
      </c>
      <c r="B31" s="972" t="s">
        <v>26</v>
      </c>
      <c r="C31" s="935">
        <v>7602</v>
      </c>
      <c r="D31" s="935">
        <v>68</v>
      </c>
      <c r="E31" s="914" t="s">
        <v>15</v>
      </c>
      <c r="F31" s="84" t="s">
        <v>27</v>
      </c>
      <c r="G31" s="9">
        <f t="shared" si="0"/>
        <v>0</v>
      </c>
      <c r="H31" s="46">
        <f t="shared" si="1"/>
        <v>0</v>
      </c>
      <c r="I31" s="85">
        <v>16</v>
      </c>
      <c r="J31" s="85">
        <v>0</v>
      </c>
      <c r="K31" s="85">
        <v>0</v>
      </c>
      <c r="L31" s="85">
        <v>0</v>
      </c>
      <c r="M31" s="87">
        <f>(J31+J32+I32+I31+H31+H32+G32+G31)-D31</f>
        <v>-52</v>
      </c>
      <c r="N31" s="916" t="s">
        <v>29</v>
      </c>
      <c r="O31" s="165">
        <f>SUMIFS([1]فروردین!$AD$2:$AD$366,[1]فروردین!$N$2:$N$366,$C$31,[1]فروردین!$D$2:$D$366,$F$31,[1]فروردین!$AA$2:$AA$366,O3)</f>
        <v>0</v>
      </c>
      <c r="P31" s="169">
        <f>SUMIFS([1]فروردین!$AD$2:$AD$366,[1]فروردین!$N$2:$N$366,$C$31,[1]فروردین!$D$2:$D$366,$F$31,[1]فروردین!$AA$2:$AA$366,P3)</f>
        <v>0</v>
      </c>
      <c r="Q31" s="169">
        <f>SUMIFS([1]فروردین!$AD$2:$AD$366,[1]فروردین!$N$2:$N$366,$C$31,[1]فروردین!$D$2:$D$366,$F$31,[1]فروردین!$AA$2:$AA$366,Q3)</f>
        <v>0</v>
      </c>
      <c r="R31" s="169">
        <f>SUMIFS([1]فروردین!$AD$2:$AD$366,[1]فروردین!$N$2:$N$366,$C$31,[1]فروردین!$D$2:$D$366,$F$31,[1]فروردین!$AA$2:$AA$366,R3)</f>
        <v>0</v>
      </c>
      <c r="S31" s="169">
        <f>SUMIFS([1]فروردین!$AD$2:$AD$366,[1]فروردین!$N$2:$N$366,$C$31,[1]فروردین!$D$2:$D$366,$F$31,[1]فروردین!$AA$2:$AA$366,S3)</f>
        <v>0</v>
      </c>
      <c r="T31" s="169">
        <f>SUMIFS([1]فروردین!$AD$2:$AD$366,[1]فروردین!$N$2:$N$366,$C$31,[1]فروردین!$D$2:$D$366,$F$31,[1]فروردین!$AA$2:$AA$366,T3)</f>
        <v>0</v>
      </c>
      <c r="U31" s="107">
        <f>SUMIFS([1]فروردین!$AD$2:$AD$366,[1]فروردین!$N$2:$N$366,$C$31,[1]فروردین!$D$2:$D$366,$F$31,[1]فروردین!$AA$2:$AA$366,U3)</f>
        <v>0</v>
      </c>
    </row>
    <row r="32" spans="1:21" ht="42" customHeight="1" thickBot="1" x14ac:dyDescent="0.3">
      <c r="A32" s="913"/>
      <c r="B32" s="973"/>
      <c r="C32" s="937"/>
      <c r="D32" s="937"/>
      <c r="E32" s="915"/>
      <c r="F32" s="124"/>
      <c r="G32" s="6">
        <f t="shared" si="0"/>
        <v>0</v>
      </c>
      <c r="H32" s="64">
        <f t="shared" si="1"/>
        <v>0</v>
      </c>
      <c r="I32" s="125">
        <v>0</v>
      </c>
      <c r="J32" s="125">
        <v>0</v>
      </c>
      <c r="K32" s="126">
        <v>0</v>
      </c>
      <c r="L32" s="126">
        <v>0</v>
      </c>
      <c r="M32" s="127"/>
      <c r="N32" s="917"/>
      <c r="O32" s="167">
        <f>SUMIFS([1]فروردین!$AD$2:$AD$366,[1]فروردین!$N$2:$N$366,$C$31,[1]فروردین!$D$2:$D$366,$F$32,[1]فروردین!$AA$2:$AA$366,O3)</f>
        <v>0</v>
      </c>
      <c r="P32" s="175">
        <f>SUMIFS([1]فروردین!$AD$2:$AD$366,[1]فروردین!$N$2:$N$366,$C$31,[1]فروردین!$D$2:$D$366,$F$32,[1]فروردین!$AA$2:$AA$366,P3)</f>
        <v>0</v>
      </c>
      <c r="Q32" s="175">
        <f>SUMIFS([1]فروردین!$AD$2:$AD$366,[1]فروردین!$N$2:$N$366,$C$31,[1]فروردین!$D$2:$D$366,$F$32,[1]فروردین!$AA$2:$AA$366,Q3)</f>
        <v>0</v>
      </c>
      <c r="R32" s="175">
        <f>SUMIFS([1]فروردین!$AD$2:$AD$366,[1]فروردین!$N$2:$N$366,$C$31,[1]فروردین!$D$2:$D$366,$F$32,[1]فروردین!$AA$2:$AA$366,R3)</f>
        <v>0</v>
      </c>
      <c r="S32" s="175">
        <f>SUMIFS([1]فروردین!$AD$2:$AD$366,[1]فروردین!$N$2:$N$366,$C$31,[1]فروردین!$D$2:$D$366,$F$32,[1]فروردین!$AA$2:$AA$366,S3)</f>
        <v>0</v>
      </c>
      <c r="T32" s="175">
        <f>SUMIFS([1]فروردین!$AD$2:$AD$366,[1]فروردین!$N$2:$N$366,$C$31,[1]فروردین!$D$2:$D$366,$F$32,[1]فروردین!$AA$2:$AA$366,T3)</f>
        <v>0</v>
      </c>
      <c r="U32" s="114">
        <f>SUMIFS([1]فروردین!$AD$2:$AD$366,[1]فروردین!$N$2:$N$366,$C$31,[1]فروردین!$D$2:$D$366,$F$32,[1]فروردین!$AA$2:$AA$366,U3)</f>
        <v>0</v>
      </c>
    </row>
    <row r="33" spans="1:21" ht="36" customHeight="1" x14ac:dyDescent="0.25">
      <c r="A33" s="912">
        <v>16</v>
      </c>
      <c r="B33" s="974" t="s">
        <v>26</v>
      </c>
      <c r="C33" s="932">
        <v>7603</v>
      </c>
      <c r="D33" s="932">
        <v>68</v>
      </c>
      <c r="E33" s="943" t="s">
        <v>15</v>
      </c>
      <c r="F33" s="84" t="s">
        <v>27</v>
      </c>
      <c r="G33" s="9">
        <f t="shared" si="0"/>
        <v>0</v>
      </c>
      <c r="H33" s="46">
        <f t="shared" si="1"/>
        <v>0</v>
      </c>
      <c r="I33" s="9">
        <v>0</v>
      </c>
      <c r="J33" s="9">
        <v>0</v>
      </c>
      <c r="K33" s="9">
        <v>0</v>
      </c>
      <c r="L33" s="9">
        <v>0</v>
      </c>
      <c r="M33" s="23">
        <f>(J33+J34+I34+I33+H33+H34+G34+G33+L33+L34)-D33</f>
        <v>-68</v>
      </c>
      <c r="N33" s="945" t="s">
        <v>29</v>
      </c>
      <c r="O33" s="165">
        <f>SUMIFS([1]فروردین!$AD$2:$AD$366,[1]فروردین!$N$2:$N$366,$C$33,[1]فروردین!$D$2:$D$366,$F$33,[1]فروردین!$AA$2:$AA$366,O3)</f>
        <v>0</v>
      </c>
      <c r="P33" s="169">
        <f>SUMIFS([1]فروردین!$AD$2:$AD$366,[1]فروردین!$N$2:$N$366,$C$33,[1]فروردین!$D$2:$D$366,$F$33,[1]فروردین!$AA$2:$AA$366,P3)</f>
        <v>0</v>
      </c>
      <c r="Q33" s="169">
        <f>SUMIFS([1]فروردین!$AD$2:$AD$366,[1]فروردین!$N$2:$N$366,$C$33,[1]فروردین!$D$2:$D$366,$F$33,[1]فروردین!$AA$2:$AA$366,Q3)</f>
        <v>0</v>
      </c>
      <c r="R33" s="169">
        <f>SUMIFS([1]فروردین!$AD$2:$AD$366,[1]فروردین!$N$2:$N$366,$C$33,[1]فروردین!$D$2:$D$366,$F$33,[1]فروردین!$AA$2:$AA$366,R3)</f>
        <v>0</v>
      </c>
      <c r="S33" s="169">
        <f>SUMIFS([1]فروردین!$AD$2:$AD$366,[1]فروردین!$N$2:$N$366,$C$33,[1]فروردین!$D$2:$D$366,$F$33,[1]فروردین!$AA$2:$AA$366,S3)</f>
        <v>0</v>
      </c>
      <c r="T33" s="169">
        <f>SUMIFS([1]فروردین!$AD$2:$AD$366,[1]فروردین!$N$2:$N$366,$C$33,[1]فروردین!$D$2:$D$366,$F$33,[1]فروردین!$AA$2:$AA$366,T3)</f>
        <v>0</v>
      </c>
      <c r="U33" s="107">
        <f>SUMIFS([1]فروردین!$AD$2:$AD$366,[1]فروردین!$N$2:$N$366,$C$33,[1]فروردین!$D$2:$D$366,$F$33,[1]فروردین!$AA$2:$AA$366,U3)</f>
        <v>0</v>
      </c>
    </row>
    <row r="34" spans="1:21" ht="36" customHeight="1" thickBot="1" x14ac:dyDescent="0.3">
      <c r="A34" s="942"/>
      <c r="B34" s="976"/>
      <c r="C34" s="934"/>
      <c r="D34" s="934"/>
      <c r="E34" s="944"/>
      <c r="F34" s="5"/>
      <c r="G34" s="1">
        <f t="shared" si="0"/>
        <v>0</v>
      </c>
      <c r="H34" s="49">
        <f t="shared" si="1"/>
        <v>0</v>
      </c>
      <c r="I34" s="7">
        <v>0</v>
      </c>
      <c r="J34" s="7">
        <v>0</v>
      </c>
      <c r="K34" s="6">
        <v>0</v>
      </c>
      <c r="L34" s="6">
        <v>0</v>
      </c>
      <c r="M34" s="8"/>
      <c r="N34" s="946"/>
      <c r="O34" s="171">
        <f>SUMIFS([1]فروردین!$AD$2:$AD$366,[1]فروردین!$N$2:$N$366,$C$33,[1]فروردین!$D$2:$D$366,$F$34,[1]فروردین!$AA$2:$AA$366,O3)</f>
        <v>0</v>
      </c>
      <c r="P34" s="172">
        <f>SUMIFS([1]فروردین!$AD$2:$AD$366,[1]فروردین!$N$2:$N$366,$C$33,[1]فروردین!$D$2:$D$366,$F$34,[1]فروردین!$AA$2:$AA$366,P3)</f>
        <v>0</v>
      </c>
      <c r="Q34" s="172">
        <f>SUMIFS([1]فروردین!$AD$2:$AD$366,[1]فروردین!$N$2:$N$366,$C$33,[1]فروردین!$D$2:$D$366,$F$34,[1]فروردین!$AA$2:$AA$366,Q3)</f>
        <v>0</v>
      </c>
      <c r="R34" s="172">
        <f>SUMIFS([1]فروردین!$AD$2:$AD$366,[1]فروردین!$N$2:$N$366,$C$33,[1]فروردین!$D$2:$D$366,$F$34,[1]فروردین!$AA$2:$AA$366,R3)</f>
        <v>0</v>
      </c>
      <c r="S34" s="172">
        <f>SUMIFS([1]فروردین!$AD$2:$AD$366,[1]فروردین!$N$2:$N$366,$C$33,[1]فروردین!$D$2:$D$366,$F$34,[1]فروردین!$AA$2:$AA$366,S3)</f>
        <v>0</v>
      </c>
      <c r="T34" s="172">
        <f>SUMIFS([1]فروردین!$AD$2:$AD$366,[1]فروردین!$N$2:$N$366,$C$33,[1]فروردین!$D$2:$D$366,$F$34,[1]فروردین!$AA$2:$AA$366,T3)</f>
        <v>0</v>
      </c>
      <c r="U34" s="109">
        <f>SUMIFS([1]فروردین!$AD$2:$AD$366,[1]فروردین!$N$2:$N$366,$C$33,[1]فروردین!$D$2:$D$366,$F$34,[1]فروردین!$AA$2:$AA$366,U3)</f>
        <v>0</v>
      </c>
    </row>
    <row r="35" spans="1:21" ht="36" customHeight="1" x14ac:dyDescent="0.25">
      <c r="A35" s="912">
        <v>17</v>
      </c>
      <c r="B35" s="980" t="s">
        <v>26</v>
      </c>
      <c r="C35" s="982">
        <v>7604</v>
      </c>
      <c r="D35" s="982">
        <v>68</v>
      </c>
      <c r="E35" s="947" t="s">
        <v>19</v>
      </c>
      <c r="F35" s="79"/>
      <c r="G35" s="9">
        <f t="shared" si="0"/>
        <v>0</v>
      </c>
      <c r="H35" s="46">
        <f t="shared" si="1"/>
        <v>0</v>
      </c>
      <c r="I35" s="80">
        <v>0</v>
      </c>
      <c r="J35" s="80">
        <v>68</v>
      </c>
      <c r="K35" s="80">
        <v>0</v>
      </c>
      <c r="L35" s="80">
        <v>0</v>
      </c>
      <c r="M35" s="60">
        <f>(J35+J36+I35+I36+H36+H35+G35+G36)-D35</f>
        <v>0</v>
      </c>
      <c r="N35" s="949" t="s">
        <v>28</v>
      </c>
      <c r="O35" s="203"/>
      <c r="P35" s="204"/>
      <c r="Q35" s="204"/>
      <c r="R35" s="204"/>
      <c r="S35" s="204"/>
      <c r="T35" s="204"/>
      <c r="U35" s="116"/>
    </row>
    <row r="36" spans="1:21" ht="36" customHeight="1" thickBot="1" x14ac:dyDescent="0.3">
      <c r="A36" s="913"/>
      <c r="B36" s="981"/>
      <c r="C36" s="983"/>
      <c r="D36" s="983"/>
      <c r="E36" s="948"/>
      <c r="F36" s="24"/>
      <c r="G36" s="1">
        <f t="shared" si="0"/>
        <v>0</v>
      </c>
      <c r="H36" s="49">
        <f t="shared" si="1"/>
        <v>0</v>
      </c>
      <c r="I36" s="25">
        <v>0</v>
      </c>
      <c r="J36" s="25">
        <v>0</v>
      </c>
      <c r="K36" s="4">
        <v>0</v>
      </c>
      <c r="L36" s="4">
        <v>0</v>
      </c>
      <c r="M36" s="60"/>
      <c r="N36" s="950"/>
      <c r="O36" s="200"/>
      <c r="P36" s="194"/>
      <c r="Q36" s="194"/>
      <c r="R36" s="194"/>
      <c r="S36" s="194"/>
      <c r="T36" s="194"/>
      <c r="U36" s="117"/>
    </row>
    <row r="37" spans="1:21" ht="36" customHeight="1" x14ac:dyDescent="0.25">
      <c r="A37" s="954">
        <v>18</v>
      </c>
      <c r="B37" s="972" t="s">
        <v>26</v>
      </c>
      <c r="C37" s="935">
        <v>7605</v>
      </c>
      <c r="D37" s="935">
        <v>68</v>
      </c>
      <c r="E37" s="914" t="s">
        <v>15</v>
      </c>
      <c r="F37" s="84" t="s">
        <v>27</v>
      </c>
      <c r="G37" s="85">
        <f t="shared" si="0"/>
        <v>0</v>
      </c>
      <c r="H37" s="86">
        <f t="shared" si="1"/>
        <v>0</v>
      </c>
      <c r="I37" s="85">
        <v>16</v>
      </c>
      <c r="J37" s="85">
        <v>68</v>
      </c>
      <c r="K37" s="85">
        <v>0</v>
      </c>
      <c r="L37" s="153">
        <v>0</v>
      </c>
      <c r="M37" s="87">
        <f>(G37+H37+I37+J37+K37+L37)-D37</f>
        <v>16</v>
      </c>
      <c r="N37" s="955" t="s">
        <v>28</v>
      </c>
      <c r="O37" s="187">
        <f>SUMIFS([1]فروردین!$AD$2:$AD$366,[1]فروردین!$N$2:$N$366,$C$37,[1]فروردین!$D$2:$D$366,$F$37,[1]فروردین!$AA$2:$AA$366,O3)</f>
        <v>0</v>
      </c>
      <c r="P37" s="188">
        <f>SUMIFS([1]فروردین!$AD$2:$AD$366,[1]فروردین!$N$2:$N$366,$C$37,[1]فروردین!$D$2:$D$366,$F$37,[1]فروردین!$AA$2:$AA$366,P3)</f>
        <v>0</v>
      </c>
      <c r="Q37" s="188">
        <f>SUMIFS([1]فروردین!$AD$2:$AD$366,[1]فروردین!$N$2:$N$366,$C$37,[1]فروردین!$D$2:$D$366,$F$37,[1]فروردین!$AA$2:$AA$366,Q3)</f>
        <v>0</v>
      </c>
      <c r="R37" s="188">
        <f>SUMIFS([1]فروردین!$AD$2:$AD$366,[1]فروردین!$N$2:$N$366,$C$37,[1]فروردین!$D$2:$D$366,$F$37,[1]فروردین!$AA$2:$AA$366,R3)</f>
        <v>0</v>
      </c>
      <c r="S37" s="188">
        <f>SUMIFS([1]فروردین!$AD$2:$AD$366,[1]فروردین!$N$2:$N$366,$C$37,[1]فروردین!$D$2:$D$366,$F$37,[1]فروردین!$AA$2:$AA$366,S3)</f>
        <v>0</v>
      </c>
      <c r="T37" s="188">
        <f>SUMIFS([1]فروردین!$AD$2:$AD$366,[1]فروردین!$N$2:$N$366,$C$37,[1]فروردین!$D$2:$D$366,$F$37,[1]فروردین!$AA$2:$AA$366,T3)</f>
        <v>0</v>
      </c>
      <c r="U37" s="128">
        <f>SUMIFS([1]فروردین!$AD$2:$AD$366,[1]فروردین!$N$2:$N$366,$C$37,[1]فروردین!$D$2:$D$366,$F$37,[1]فروردین!$AA$2:$AA$366,U3)</f>
        <v>0</v>
      </c>
    </row>
    <row r="38" spans="1:21" ht="36" customHeight="1" thickBot="1" x14ac:dyDescent="0.3">
      <c r="A38" s="942"/>
      <c r="B38" s="973"/>
      <c r="C38" s="937"/>
      <c r="D38" s="937"/>
      <c r="E38" s="915"/>
      <c r="F38" s="124"/>
      <c r="G38" s="93">
        <f t="shared" si="0"/>
        <v>0</v>
      </c>
      <c r="H38" s="92">
        <f t="shared" si="1"/>
        <v>0</v>
      </c>
      <c r="I38" s="125">
        <v>0</v>
      </c>
      <c r="J38" s="125">
        <v>0</v>
      </c>
      <c r="K38" s="126">
        <v>0</v>
      </c>
      <c r="L38" s="126">
        <v>0</v>
      </c>
      <c r="M38" s="154"/>
      <c r="N38" s="917"/>
      <c r="O38" s="190">
        <f>SUMIFS([1]فروردین!$AD$2:$AD$366,[1]فروردین!$N$2:$N$366,$C$37,[1]فروردین!$D$2:$D$366,$F$38,[1]فروردین!$AA$2:$AA$366,O3)</f>
        <v>0</v>
      </c>
      <c r="P38" s="191">
        <f>SUMIFS([1]فروردین!$AD$2:$AD$366,[1]فروردین!$N$2:$N$366,$C$37,[1]فروردین!$D$2:$D$366,$F$38,[1]فروردین!$AA$2:$AA$366,P3)</f>
        <v>0</v>
      </c>
      <c r="Q38" s="191">
        <f>SUMIFS([1]فروردین!$AD$2:$AD$366,[1]فروردین!$N$2:$N$366,$C$37,[1]فروردین!$D$2:$D$366,$F$38,[1]فروردین!$AA$2:$AA$366,Q3)</f>
        <v>0</v>
      </c>
      <c r="R38" s="191">
        <f>SUMIFS([1]فروردین!$AD$2:$AD$366,[1]فروردین!$N$2:$N$366,$C$37,[1]فروردین!$D$2:$D$366,$F$38,[1]فروردین!$AA$2:$AA$366,R3)</f>
        <v>0</v>
      </c>
      <c r="S38" s="191">
        <f>SUMIFS([1]فروردین!$AD$2:$AD$366,[1]فروردین!$N$2:$N$366,$C$37,[1]فروردین!$D$2:$D$366,$F$38,[1]فروردین!$AA$2:$AA$366,S3)</f>
        <v>0</v>
      </c>
      <c r="T38" s="191">
        <f>SUMIFS([1]فروردین!$AD$2:$AD$366,[1]فروردین!$N$2:$N$366,$C$37,[1]فروردین!$D$2:$D$366,$F$38,[1]فروردین!$AA$2:$AA$366,T3)</f>
        <v>0</v>
      </c>
      <c r="U38" s="115">
        <f>SUMIFS([1]فروردین!$AD$2:$AD$366,[1]فروردین!$N$2:$N$366,$C$37,[1]فروردین!$D$2:$D$366,$F$38,[1]فروردین!$AA$2:$AA$366,U3)</f>
        <v>0</v>
      </c>
    </row>
    <row r="39" spans="1:21" ht="36" customHeight="1" x14ac:dyDescent="0.25">
      <c r="A39" s="229"/>
      <c r="B39" s="974" t="s">
        <v>30</v>
      </c>
      <c r="C39" s="932">
        <v>7701</v>
      </c>
      <c r="D39" s="932">
        <v>62.5</v>
      </c>
      <c r="E39" s="932" t="s">
        <v>15</v>
      </c>
      <c r="F39" s="20"/>
      <c r="G39" s="9">
        <f t="shared" si="0"/>
        <v>0</v>
      </c>
      <c r="H39" s="46">
        <f t="shared" si="1"/>
        <v>0</v>
      </c>
      <c r="I39" s="9">
        <v>0</v>
      </c>
      <c r="J39" s="9">
        <v>0</v>
      </c>
      <c r="K39" s="9">
        <v>0</v>
      </c>
      <c r="L39" s="9">
        <v>0</v>
      </c>
      <c r="M39" s="28"/>
      <c r="N39" s="945" t="s">
        <v>13</v>
      </c>
      <c r="O39" s="165">
        <f>SUMIFS([1]فروردین!$AD$2:$AD$366,[1]فروردین!$N$2:$N$366,$C$39,[1]فروردین!$D$2:$D$366,$F$39,[1]فروردین!$AA$2:$AA$366,O3)</f>
        <v>0</v>
      </c>
      <c r="P39" s="169">
        <f>SUMIFS([1]فروردین!$AD$2:$AD$366,[1]فروردین!$N$2:$N$366,$C$39,[1]فروردین!$D$2:$D$366,$F$39,[1]فروردین!$AA$2:$AA$366,P3)</f>
        <v>0</v>
      </c>
      <c r="Q39" s="169">
        <f>SUMIFS([1]فروردین!$AD$2:$AD$366,[1]فروردین!$N$2:$N$366,$C$39,[1]فروردین!$D$2:$D$366,$F$39,[1]فروردین!$AA$2:$AA$366,Q3)</f>
        <v>0</v>
      </c>
      <c r="R39" s="169">
        <f>SUMIFS([1]فروردین!$AD$2:$AD$366,[1]فروردین!$N$2:$N$366,$C$39,[1]فروردین!$D$2:$D$366,$F$39,[1]فروردین!$AA$2:$AA$366,R3)</f>
        <v>0</v>
      </c>
      <c r="S39" s="169">
        <f>SUMIFS([1]فروردین!$AD$2:$AD$366,[1]فروردین!$N$2:$N$366,$C$39,[1]فروردین!$D$2:$D$366,$F$39,[1]فروردین!$AA$2:$AA$366,S3)</f>
        <v>0</v>
      </c>
      <c r="T39" s="169">
        <f>SUMIFS([1]فروردین!$AD$2:$AD$366,[1]فروردین!$N$2:$N$366,$C$39,[1]فروردین!$D$2:$D$366,$F$39,[1]فروردین!$AA$2:$AA$366,T3)</f>
        <v>0</v>
      </c>
      <c r="U39" s="107">
        <f>SUMIFS([1]فروردین!$AD$2:$AD$366,[1]فروردین!$N$2:$N$366,$C$39,[1]فروردین!$D$2:$D$366,$F$39,[1]فروردین!$AA$2:$AA$366,U3)</f>
        <v>0</v>
      </c>
    </row>
    <row r="40" spans="1:21" ht="36" customHeight="1" x14ac:dyDescent="0.25">
      <c r="A40" s="214">
        <v>19</v>
      </c>
      <c r="B40" s="975"/>
      <c r="C40" s="933"/>
      <c r="D40" s="933"/>
      <c r="E40" s="933"/>
      <c r="F40" s="29"/>
      <c r="G40" s="3">
        <f t="shared" si="0"/>
        <v>0</v>
      </c>
      <c r="H40" s="47">
        <f t="shared" si="1"/>
        <v>0</v>
      </c>
      <c r="I40" s="3">
        <v>0</v>
      </c>
      <c r="J40" s="25">
        <v>0</v>
      </c>
      <c r="K40" s="25">
        <v>0</v>
      </c>
      <c r="L40" s="70">
        <v>0</v>
      </c>
      <c r="M40" s="4">
        <f>(J39+J40+J41+I41+I40+I39+H39+H40+H41+G41+G40+G39)-D39</f>
        <v>-62.5</v>
      </c>
      <c r="N40" s="956"/>
      <c r="O40" s="166">
        <f>SUMIFS([1]فروردین!$AD$2:$AD$366,[1]فروردین!$N$2:$N$366,$C$39,[1]فروردین!$D$2:$D$366,$F$40,[1]فروردین!$AA$2:$AA$366,O3)</f>
        <v>0</v>
      </c>
      <c r="P40" s="168">
        <f>SUMIFS([1]فروردین!$AD$2:$AD$366,[1]فروردین!$N$2:$N$366,$C$39,[1]فروردین!$D$2:$D$366,$F$40,[1]فروردین!$AA$2:$AA$366,P3)</f>
        <v>0</v>
      </c>
      <c r="Q40" s="168">
        <f>SUMIFS([1]فروردین!$AD$2:$AD$366,[1]فروردین!$N$2:$N$366,$C$39,[1]فروردین!$D$2:$D$366,$F$40,[1]فروردین!$AA$2:$AA$366,Q3)</f>
        <v>0</v>
      </c>
      <c r="R40" s="168">
        <f>SUMIFS([1]فروردین!$AD$2:$AD$366,[1]فروردین!$N$2:$N$366,$C$39,[1]فروردین!$D$2:$D$366,$F$40,[1]فروردین!$AA$2:$AA$366,R3)</f>
        <v>0</v>
      </c>
      <c r="S40" s="168">
        <f>SUMIFS([1]فروردین!$AD$2:$AD$366,[1]فروردین!$N$2:$N$366,$C$39,[1]فروردین!$D$2:$D$366,$F$40,[1]فروردین!$AA$2:$AA$366,S3)</f>
        <v>0</v>
      </c>
      <c r="T40" s="168">
        <f>SUMIFS([1]فروردین!$AD$2:$AD$366,[1]فروردین!$N$2:$N$366,$C$39,[1]فروردین!$D$2:$D$366,$F$40,[1]فروردین!$AA$2:$AA$366,T3)</f>
        <v>0</v>
      </c>
      <c r="U40" s="108">
        <f>SUMIFS([1]فروردین!$AD$2:$AD$366,[1]فروردین!$N$2:$N$366,$C$39,[1]فروردین!$D$2:$D$366,$F$40,[1]فروردین!$AA$2:$AA$366,U3)</f>
        <v>0</v>
      </c>
    </row>
    <row r="41" spans="1:21" ht="36" customHeight="1" thickBot="1" x14ac:dyDescent="0.3">
      <c r="A41" s="230"/>
      <c r="B41" s="976"/>
      <c r="C41" s="934"/>
      <c r="D41" s="934"/>
      <c r="E41" s="934"/>
      <c r="F41" s="30"/>
      <c r="G41" s="1">
        <f t="shared" si="0"/>
        <v>0</v>
      </c>
      <c r="H41" s="49">
        <f t="shared" si="1"/>
        <v>0</v>
      </c>
      <c r="I41" s="7">
        <v>0</v>
      </c>
      <c r="J41" s="7">
        <v>0</v>
      </c>
      <c r="K41" s="7">
        <v>0</v>
      </c>
      <c r="L41" s="7">
        <v>0</v>
      </c>
      <c r="M41" s="8"/>
      <c r="N41" s="946"/>
      <c r="O41" s="167">
        <f>SUMIFS([1]فروردین!$AD$2:$AD$366,[1]فروردین!$N$2:$N$366,$C$39,[1]فروردین!$D$2:$D$366,$F$41,[1]فروردین!$AA$2:$AA$366,O3)</f>
        <v>0</v>
      </c>
      <c r="P41" s="175">
        <f>SUMIFS([1]فروردین!$AD$2:$AD$366,[1]فروردین!$N$2:$N$366,$C$39,[1]فروردین!$D$2:$D$366,$F$41,[1]فروردین!$AA$2:$AA$366,P3)</f>
        <v>0</v>
      </c>
      <c r="Q41" s="175">
        <f>SUMIFS([1]فروردین!$AD$2:$AD$366,[1]فروردین!$N$2:$N$366,$C$39,[1]فروردین!$D$2:$D$366,$F$41,[1]فروردین!$AA$2:$AA$366,Q3)</f>
        <v>0</v>
      </c>
      <c r="R41" s="175">
        <f>SUMIFS([1]فروردین!$AD$2:$AD$366,[1]فروردین!$N$2:$N$366,$C$39,[1]فروردین!$D$2:$D$366,$F$41,[1]فروردین!$AA$2:$AA$366,R3)</f>
        <v>0</v>
      </c>
      <c r="S41" s="175">
        <f>SUMIFS([1]فروردین!$AD$2:$AD$366,[1]فروردین!$N$2:$N$366,$C$39,[1]فروردین!$D$2:$D$366,$F$41,[1]فروردین!$AA$2:$AA$366,S3)</f>
        <v>0</v>
      </c>
      <c r="T41" s="175">
        <f>SUMIFS([1]فروردین!$AD$2:$AD$366,[1]فروردین!$N$2:$N$366,$C$39,[1]فروردین!$D$2:$D$366,$F$41,[1]فروردین!$AA$2:$AA$366,T3)</f>
        <v>0</v>
      </c>
      <c r="U41" s="114">
        <f>SUMIFS([1]فروردین!$AD$2:$AD$366,[1]فروردین!$N$2:$N$366,$C$39,[1]فروردین!$D$2:$D$366,$F$41,[1]فروردین!$AA$2:$AA$366,U3)</f>
        <v>0</v>
      </c>
    </row>
    <row r="42" spans="1:21" ht="36" customHeight="1" thickBot="1" x14ac:dyDescent="0.3">
      <c r="A42" s="230">
        <v>20</v>
      </c>
      <c r="B42" s="216" t="s">
        <v>63</v>
      </c>
      <c r="C42" s="246">
        <v>8009</v>
      </c>
      <c r="D42" s="246">
        <v>62.5</v>
      </c>
      <c r="E42" s="246" t="s">
        <v>15</v>
      </c>
      <c r="F42" s="54"/>
      <c r="G42" s="9">
        <f t="shared" si="0"/>
        <v>0</v>
      </c>
      <c r="H42" s="46">
        <f t="shared" si="1"/>
        <v>0</v>
      </c>
      <c r="I42" s="4">
        <v>0</v>
      </c>
      <c r="J42" s="4">
        <v>0</v>
      </c>
      <c r="K42" s="4">
        <v>0</v>
      </c>
      <c r="L42" s="4">
        <v>0</v>
      </c>
      <c r="M42" s="4">
        <f>SUM(G42:J42)-62</f>
        <v>-62</v>
      </c>
      <c r="N42" s="264" t="s">
        <v>31</v>
      </c>
      <c r="O42" s="179">
        <f>SUMIFS([1]فروردین!$AD$2:$AD$366,[1]فروردین!$N$2:$N$366,$C$42,[1]فروردین!$D$2:$D$366,$F$42,[1]فروردین!$AA$2:$AA$366,O3)</f>
        <v>0</v>
      </c>
      <c r="P42" s="186">
        <f>SUMIFS([1]فروردین!$AD$2:$AD$366,[1]فروردین!$N$2:$N$366,$C$42,[1]فروردین!$D$2:$D$366,$F$42,[1]فروردین!$AA$2:$AA$366,P3)</f>
        <v>0</v>
      </c>
      <c r="Q42" s="186">
        <f>SUMIFS([1]فروردین!$AD$2:$AD$366,[1]فروردین!$N$2:$N$366,$C$42,[1]فروردین!$D$2:$D$366,$F$42,[1]فروردین!$AA$2:$AA$366,Q3)</f>
        <v>0</v>
      </c>
      <c r="R42" s="186">
        <f>SUMIFS([1]فروردین!$AD$2:$AD$366,[1]فروردین!$N$2:$N$366,$C$42,[1]فروردین!$D$2:$D$366,$F$42,[1]فروردین!$AA$2:$AA$366,R3)</f>
        <v>0</v>
      </c>
      <c r="S42" s="186">
        <f>SUMIFS([1]فروردین!$AD$2:$AD$366,[1]فروردین!$N$2:$N$366,$C$42,[1]فروردین!$D$2:$D$366,$F$42,[1]فروردین!$AA$2:$AA$366,S3)</f>
        <v>0</v>
      </c>
      <c r="T42" s="186">
        <f>SUMIFS([1]فروردین!$AD$2:$AD$366,[1]فروردین!$N$2:$N$366,$C$42,[1]فروردین!$D$2:$D$366,$F$42,[1]فروردین!$AA$2:$AA$366,T3)</f>
        <v>0</v>
      </c>
      <c r="U42" s="118">
        <f>SUMIFS([1]فروردین!$AD$2:$AD$366,[1]فروردین!$N$2:$N$366,$C$42,[1]فروردین!$D$2:$D$366,$F$42,[1]فروردین!$AA$2:$AA$366,U3)</f>
        <v>0</v>
      </c>
    </row>
    <row r="43" spans="1:21" ht="36" customHeight="1" thickBot="1" x14ac:dyDescent="0.3">
      <c r="A43" s="229">
        <v>21</v>
      </c>
      <c r="B43" s="12" t="s">
        <v>32</v>
      </c>
      <c r="C43" s="13">
        <v>8002</v>
      </c>
      <c r="D43" s="13">
        <v>44</v>
      </c>
      <c r="E43" s="13" t="s">
        <v>15</v>
      </c>
      <c r="F43" s="31" t="s">
        <v>23</v>
      </c>
      <c r="G43" s="9">
        <f t="shared" si="0"/>
        <v>0</v>
      </c>
      <c r="H43" s="46">
        <f t="shared" si="1"/>
        <v>0</v>
      </c>
      <c r="I43" s="14">
        <v>0</v>
      </c>
      <c r="J43" s="14">
        <v>0</v>
      </c>
      <c r="K43" s="14">
        <v>0</v>
      </c>
      <c r="L43" s="14">
        <v>0</v>
      </c>
      <c r="M43" s="14">
        <f>SUM(G43:L43)-(D43)</f>
        <v>-44</v>
      </c>
      <c r="N43" s="250" t="s">
        <v>29</v>
      </c>
      <c r="O43" s="195">
        <f>SUMIFS([1]فروردین!$AD$2:$AD$366,[1]فروردین!$N$2:$N$366,$C$43,[1]فروردین!$D$2:$D$366,$F$43,[1]فروردین!$AA$2:$AA$366,O3)</f>
        <v>0</v>
      </c>
      <c r="P43" s="196">
        <f>SUMIFS([1]فروردین!$AD$2:$AD$366,[1]فروردین!$N$2:$N$366,$C$43,[1]فروردین!$D$2:$D$366,$F$43,[1]فروردین!$AA$2:$AA$366,P3)</f>
        <v>0</v>
      </c>
      <c r="Q43" s="196">
        <f>SUMIFS([1]فروردین!$AD$2:$AD$366,[1]فروردین!$N$2:$N$366,$C$43,[1]فروردین!$D$2:$D$366,$F$43,[1]فروردین!$AA$2:$AA$366,Q3)</f>
        <v>0</v>
      </c>
      <c r="R43" s="196">
        <f>SUMIFS([1]فروردین!$AD$2:$AD$366,[1]فروردین!$N$2:$N$366,$C$43,[1]فروردین!$D$2:$D$366,$F$43,[1]فروردین!$AA$2:$AA$366,R3)</f>
        <v>0</v>
      </c>
      <c r="S43" s="196">
        <f>SUMIFS([1]فروردین!$AD$2:$AD$366,[1]فروردین!$N$2:$N$366,$C$43,[1]فروردین!$D$2:$D$366,$F$43,[1]فروردین!$AA$2:$AA$366,S3)</f>
        <v>0</v>
      </c>
      <c r="T43" s="196">
        <f>SUMIFS([1]فروردین!$AD$2:$AD$366,[1]فروردین!$N$2:$N$366,$C$43,[1]فروردین!$D$2:$D$366,$F$43,[1]فروردین!$AA$2:$AA$366,T3)</f>
        <v>0</v>
      </c>
      <c r="U43" s="122">
        <f>SUMIFS([1]فروردین!$AD$2:$AD$366,[1]فروردین!$N$2:$N$366,$C$43,[1]فروردین!$D$2:$D$366,$F$43,[1]فروردین!$AA$2:$AA$366,U3)</f>
        <v>0</v>
      </c>
    </row>
    <row r="44" spans="1:21" ht="36" customHeight="1" x14ac:dyDescent="0.25">
      <c r="A44" s="957">
        <v>22</v>
      </c>
      <c r="B44" s="961" t="s">
        <v>33</v>
      </c>
      <c r="C44" s="943" t="s">
        <v>33</v>
      </c>
      <c r="D44" s="932">
        <v>62.5</v>
      </c>
      <c r="E44" s="943"/>
      <c r="F44" s="32" t="s">
        <v>16</v>
      </c>
      <c r="G44" s="9">
        <f t="shared" si="0"/>
        <v>0</v>
      </c>
      <c r="H44" s="46">
        <f t="shared" si="1"/>
        <v>0</v>
      </c>
      <c r="I44" s="9">
        <v>0</v>
      </c>
      <c r="J44" s="9">
        <v>0</v>
      </c>
      <c r="K44" s="9">
        <v>0</v>
      </c>
      <c r="L44" s="9">
        <v>0</v>
      </c>
      <c r="M44" s="9">
        <f>(SUM(G44:L44))-D44</f>
        <v>-62.5</v>
      </c>
      <c r="N44" s="33" t="s">
        <v>29</v>
      </c>
      <c r="O44" s="165">
        <f>SUMIFS([1]فروردین!$AD$2:$AD$366,[1]فروردین!$N$2:$N$366,"مونتاژ",[1]فروردین!$D$2:$D$366,$F$44,[1]فروردین!$AA$2:$AA$366,O3)</f>
        <v>0</v>
      </c>
      <c r="P44" s="169">
        <f>SUMIFS([1]فروردین!$AD$2:$AD$366,[1]فروردین!$N$2:$N$366,"مونتاژ",[1]فروردین!$D$2:$D$366,$F$44,[1]فروردین!$AA$2:$AA$366,P3)</f>
        <v>0</v>
      </c>
      <c r="Q44" s="169">
        <f>SUMIFS([1]فروردین!$AD$2:$AD$366,[1]فروردین!$N$2:$N$366,"مونتاژ",[1]فروردین!$D$2:$D$366,$F$44,[1]فروردین!$AA$2:$AA$366,Q3)</f>
        <v>0</v>
      </c>
      <c r="R44" s="169">
        <f>SUMIFS([1]فروردین!$AD$2:$AD$366,[1]فروردین!$N$2:$N$366,"مونتاژ",[1]فروردین!$D$2:$D$366,$F$44,[1]فروردین!$AA$2:$AA$366,R3)</f>
        <v>0</v>
      </c>
      <c r="S44" s="169">
        <f>SUMIFS([1]فروردین!$AD$2:$AD$366,[1]فروردین!$N$2:$N$366,"مونتاژ",[1]فروردین!$D$2:$D$366,$F$44,[1]فروردین!$AA$2:$AA$366,S3)</f>
        <v>0</v>
      </c>
      <c r="T44" s="169">
        <f>SUMIFS([1]فروردین!$AD$2:$AD$366,[1]فروردین!$N$2:$N$366,"مونتاژ",[1]فروردین!$D$2:$D$366,$F$44,[1]فروردین!$AA$2:$AA$366,T3)</f>
        <v>0</v>
      </c>
      <c r="U44" s="107">
        <f>SUMIFS([1]فروردین!$AD$2:$AD$366,[1]فروردین!$N$2:$N$366,"مونتاژ",[1]فروردین!$D$2:$D$366,$F$44,[1]فروردین!$AA$2:$AA$366,U3)</f>
        <v>0</v>
      </c>
    </row>
    <row r="45" spans="1:21" ht="36" customHeight="1" x14ac:dyDescent="0.25">
      <c r="A45" s="958"/>
      <c r="B45" s="962"/>
      <c r="C45" s="965"/>
      <c r="D45" s="933"/>
      <c r="E45" s="965"/>
      <c r="F45" s="29"/>
      <c r="G45" s="3">
        <f t="shared" si="0"/>
        <v>0</v>
      </c>
      <c r="H45" s="47">
        <f t="shared" si="1"/>
        <v>0</v>
      </c>
      <c r="I45" s="3">
        <v>0</v>
      </c>
      <c r="J45" s="3">
        <v>0</v>
      </c>
      <c r="K45" s="3">
        <v>0</v>
      </c>
      <c r="L45" s="3">
        <v>0</v>
      </c>
      <c r="M45" s="3">
        <f>(SUM(G45:L45))-D44</f>
        <v>-62.5</v>
      </c>
      <c r="N45" s="62"/>
      <c r="O45" s="166">
        <f>SUMIFS([1]فروردین!$AD$2:$AD$366,[1]فروردین!$N$2:$N$366,"مونتاژ",[1]فروردین!$D$2:$D$366,$F$45,[1]فروردین!$AA$2:$AA$366,O3)</f>
        <v>0</v>
      </c>
      <c r="P45" s="168">
        <f>SUMIFS([1]فروردین!$AD$2:$AD$366,[1]فروردین!$N$2:$N$366,"مونتاژ",[1]فروردین!$D$2:$D$366,$F$45,[1]فروردین!$AA$2:$AA$366,P3)</f>
        <v>0</v>
      </c>
      <c r="Q45" s="168">
        <f>SUMIFS([1]فروردین!$AD$2:$AD$366,[1]فروردین!$N$2:$N$366,"مونتاژ",[1]فروردین!$D$2:$D$366,$F$45,[1]فروردین!$AA$2:$AA$366,Q3)</f>
        <v>0</v>
      </c>
      <c r="R45" s="168">
        <f>SUMIFS([1]فروردین!$AD$2:$AD$366,[1]فروردین!$N$2:$N$366,"مونتاژ",[1]فروردین!$D$2:$D$366,$F$45,[1]فروردین!$AA$2:$AA$366,R3)</f>
        <v>0</v>
      </c>
      <c r="S45" s="168">
        <f>SUMIFS([1]فروردین!$AD$2:$AD$366,[1]فروردین!$N$2:$N$366,"مونتاژ",[1]فروردین!$D$2:$D$366,$F$45,[1]فروردین!$AA$2:$AA$366,S3)</f>
        <v>0</v>
      </c>
      <c r="T45" s="168">
        <f>SUMIFS([1]فروردین!$AD$2:$AD$366,[1]فروردین!$N$2:$N$366,"مونتاژ",[1]فروردین!$D$2:$D$366,$F$45,[1]فروردین!$AA$2:$AA$366,T3)</f>
        <v>0</v>
      </c>
      <c r="U45" s="108">
        <f>SUMIFS([1]فروردین!$AD$2:$AD$366,[1]فروردین!$N$2:$N$366,"مونتاژ",[1]فروردین!$D$2:$D$366,$F$45,[1]فروردین!$AA$2:$AA$366,U3)</f>
        <v>0</v>
      </c>
    </row>
    <row r="46" spans="1:21" ht="36" customHeight="1" x14ac:dyDescent="0.25">
      <c r="A46" s="959"/>
      <c r="B46" s="963"/>
      <c r="C46" s="966"/>
      <c r="D46" s="933"/>
      <c r="E46" s="966"/>
      <c r="F46" s="29" t="s">
        <v>54</v>
      </c>
      <c r="G46" s="3">
        <f t="shared" si="0"/>
        <v>0</v>
      </c>
      <c r="H46" s="47">
        <f t="shared" si="1"/>
        <v>0</v>
      </c>
      <c r="I46" s="3">
        <v>0</v>
      </c>
      <c r="J46" s="3">
        <v>0</v>
      </c>
      <c r="K46" s="3">
        <v>0</v>
      </c>
      <c r="L46" s="3">
        <v>0</v>
      </c>
      <c r="M46" s="3">
        <f>(SUM(G46:L46))-62</f>
        <v>-62</v>
      </c>
      <c r="N46" s="58"/>
      <c r="O46" s="166">
        <f>SUMIFS([1]فروردین!$AD$2:$AD$366,[1]فروردین!$N$2:$N$366,"مونتاژ",[1]فروردین!$D$2:$D$366,$F$46,[1]فروردین!$AA$2:$AA$366,O3)</f>
        <v>0</v>
      </c>
      <c r="P46" s="168">
        <f>SUMIFS([1]فروردین!$AD$2:$AD$366,[1]فروردین!$N$2:$N$366,"مونتاژ",[1]فروردین!$D$2:$D$366,$F$46,[1]فروردین!$AA$2:$AA$366,P3)</f>
        <v>0</v>
      </c>
      <c r="Q46" s="168">
        <f>SUMIFS([1]فروردین!$AD$2:$AD$366,[1]فروردین!$N$2:$N$366,"مونتاژ",[1]فروردین!$D$2:$D$366,$F$46,[1]فروردین!$AA$2:$AA$366,Q3)</f>
        <v>0</v>
      </c>
      <c r="R46" s="168">
        <f>SUMIFS([1]فروردین!$AD$2:$AD$366,[1]فروردین!$N$2:$N$366,"مونتاژ",[1]فروردین!$D$2:$D$366,$F$46,[1]فروردین!$AA$2:$AA$366,R3)</f>
        <v>0</v>
      </c>
      <c r="S46" s="168">
        <f>SUMIFS([1]فروردین!$AD$2:$AD$366,[1]فروردین!$N$2:$N$366,"مونتاژ",[1]فروردین!$D$2:$D$366,$F$46,[1]فروردین!$AA$2:$AA$366,S3)</f>
        <v>0</v>
      </c>
      <c r="T46" s="168">
        <f>SUMIFS([1]فروردین!$AD$2:$AD$366,[1]فروردین!$N$2:$N$366,"مونتاژ",[1]فروردین!$D$2:$D$366,$F$46,[1]فروردین!$AA$2:$AA$366,T3)</f>
        <v>0</v>
      </c>
      <c r="U46" s="108">
        <f>SUMIFS([1]فروردین!$AD$2:$AD$366,[1]فروردین!$N$2:$N$366,"مونتاژ",[1]فروردین!$D$2:$D$366,$F$46,[1]فروردین!$AA$2:$AA$366,U3)</f>
        <v>0</v>
      </c>
    </row>
    <row r="47" spans="1:21" ht="36" customHeight="1" thickBot="1" x14ac:dyDescent="0.3">
      <c r="A47" s="960"/>
      <c r="B47" s="964"/>
      <c r="C47" s="944"/>
      <c r="D47" s="934"/>
      <c r="E47" s="944"/>
      <c r="F47" s="30"/>
      <c r="G47" s="6">
        <f t="shared" si="0"/>
        <v>0</v>
      </c>
      <c r="H47" s="64">
        <f t="shared" si="1"/>
        <v>0</v>
      </c>
      <c r="I47" s="7">
        <v>0</v>
      </c>
      <c r="J47" s="7">
        <v>0</v>
      </c>
      <c r="K47" s="7">
        <v>0</v>
      </c>
      <c r="L47" s="7">
        <v>0</v>
      </c>
      <c r="M47" s="7">
        <f>SUM(G47:J47)-62</f>
        <v>-62</v>
      </c>
      <c r="N47" s="34"/>
      <c r="O47" s="167">
        <f>SUMIFS([1]فروردین!$AD$2:$AD$366,[1]فروردین!$N$2:$N$366,"مونتاژ",[1]فروردین!$D$2:$D$366,$F$47,[1]فروردین!$AA$2:$AA$366,O3)</f>
        <v>0</v>
      </c>
      <c r="P47" s="175">
        <f>SUMIFS([1]فروردین!$AD$2:$AD$366,[1]فروردین!$N$2:$N$366,"مونتاژ",[1]فروردین!$D$2:$D$366,$F$47,[1]فروردین!$AA$2:$AA$366,P3)</f>
        <v>0</v>
      </c>
      <c r="Q47" s="175">
        <f>SUMIFS([1]فروردین!$AD$2:$AD$366,[1]فروردین!$N$2:$N$366,"مونتاژ",[1]فروردین!$D$2:$D$366,$F$47,[1]فروردین!$AA$2:$AA$366,Q3)</f>
        <v>0</v>
      </c>
      <c r="R47" s="175">
        <f>SUMIFS([1]فروردین!$AD$2:$AD$366,[1]فروردین!$N$2:$N$366,"مونتاژ",[1]فروردین!$D$2:$D$366,$F$47,[1]فروردین!$AA$2:$AA$366,R3)</f>
        <v>0</v>
      </c>
      <c r="S47" s="175">
        <f>SUMIFS([1]فروردین!$AD$2:$AD$366,[1]فروردین!$N$2:$N$366,"مونتاژ",[1]فروردین!$D$2:$D$366,$F$47,[1]فروردین!$AA$2:$AA$366,S3)</f>
        <v>0</v>
      </c>
      <c r="T47" s="175">
        <f>SUMIFS([1]فروردین!$AD$2:$AD$366,[1]فروردین!$N$2:$N$366,"مونتاژ",[1]فروردین!$D$2:$D$366,$F$47,[1]فروردین!$AA$2:$AA$366,T3)</f>
        <v>0</v>
      </c>
      <c r="U47" s="114">
        <f>SUMIFS([1]فروردین!$AD$2:$AD$366,[1]فروردین!$N$2:$N$366,"مونتاژ",[1]فروردین!$D$2:$D$366,$F$47,[1]فروردین!$AA$2:$AA$366,U3)</f>
        <v>0</v>
      </c>
    </row>
    <row r="48" spans="1:21" ht="36" customHeight="1" x14ac:dyDescent="0.25">
      <c r="A48" s="967">
        <v>23</v>
      </c>
      <c r="B48" s="961" t="s">
        <v>33</v>
      </c>
      <c r="C48" s="943" t="s">
        <v>34</v>
      </c>
      <c r="D48" s="932">
        <v>62.5</v>
      </c>
      <c r="E48" s="932"/>
      <c r="F48" s="32" t="s">
        <v>16</v>
      </c>
      <c r="G48" s="9">
        <f t="shared" si="0"/>
        <v>0</v>
      </c>
      <c r="H48" s="46">
        <f t="shared" si="1"/>
        <v>0</v>
      </c>
      <c r="I48" s="9">
        <v>0</v>
      </c>
      <c r="J48" s="9">
        <v>0</v>
      </c>
      <c r="K48" s="9">
        <v>0</v>
      </c>
      <c r="L48" s="9">
        <v>0</v>
      </c>
      <c r="M48" s="9">
        <f>SUM(G48:L48)-62</f>
        <v>-62</v>
      </c>
      <c r="N48" s="56"/>
      <c r="O48" s="165">
        <f>SUMIFS([1]فروردین!$AD$2:$AD$366,[1]فروردین!$N$2:$N$366,"دمونتاژ",[1]فروردین!$D$2:$D$366,$F$48,[1]فروردین!$AA$2:$AA$366,O3)</f>
        <v>0</v>
      </c>
      <c r="P48" s="169">
        <f>SUMIFS([1]فروردین!$AD$2:$AD$366,[1]فروردین!$N$2:$N$366,"دمونتاژ",[1]فروردین!$D$2:$D$366,$F$48,[1]فروردین!$AA$2:$AA$366,P3)</f>
        <v>0</v>
      </c>
      <c r="Q48" s="169">
        <f>SUMIFS([1]فروردین!$AD$2:$AD$366,[1]فروردین!$N$2:$N$366,"دمونتاژ",[1]فروردین!$D$2:$D$366,$F$48,[1]فروردین!$AA$2:$AA$366,Q3)</f>
        <v>0</v>
      </c>
      <c r="R48" s="169">
        <f>SUMIFS([1]فروردین!$AD$2:$AD$366,[1]فروردین!$N$2:$N$366,"دمونتاژ",[1]فروردین!$D$2:$D$366,$F$48,[1]فروردین!$AA$2:$AA$366,R3)</f>
        <v>0</v>
      </c>
      <c r="S48" s="169">
        <f>SUMIFS([1]فروردین!$AD$2:$AD$366,[1]فروردین!$N$2:$N$366,"دمونتاژ",[1]فروردین!$D$2:$D$366,$F$48,[1]فروردین!$AA$2:$AA$366,S3)</f>
        <v>0</v>
      </c>
      <c r="T48" s="169">
        <f>SUMIFS([1]فروردین!$AD$2:$AD$366,[1]فروردین!$N$2:$N$366,"دمونتاژ",[1]فروردین!$D$2:$D$366,$F$48,[1]فروردین!$AA$2:$AA$366,T3)</f>
        <v>0</v>
      </c>
      <c r="U48" s="107">
        <f>SUMIFS([1]فروردین!$AD$2:$AD$366,[1]فروردین!$N$2:$N$366,"دمونتاژ",[1]فروردین!$D$2:$D$366,$F$48,[1]فروردین!$AA$2:$AA$366,U3)</f>
        <v>0</v>
      </c>
    </row>
    <row r="49" spans="1:21" ht="36" customHeight="1" x14ac:dyDescent="0.25">
      <c r="A49" s="967"/>
      <c r="B49" s="962"/>
      <c r="C49" s="965"/>
      <c r="D49" s="933"/>
      <c r="E49" s="933"/>
      <c r="F49" s="29"/>
      <c r="G49" s="3">
        <f t="shared" si="0"/>
        <v>0</v>
      </c>
      <c r="H49" s="47">
        <f t="shared" si="1"/>
        <v>0</v>
      </c>
      <c r="I49" s="3">
        <v>0</v>
      </c>
      <c r="J49" s="3">
        <v>0</v>
      </c>
      <c r="K49" s="3">
        <v>0</v>
      </c>
      <c r="L49" s="3">
        <v>0</v>
      </c>
      <c r="M49" s="3">
        <f>SUM(G49:L49)-62</f>
        <v>-62</v>
      </c>
      <c r="N49" s="62"/>
      <c r="O49" s="166">
        <f>SUMIFS([1]فروردین!$AD$2:$AD$366,[1]فروردین!$N$2:$N$366,"دمونتاژ",[1]فروردین!$D$2:$D$366,$F$49,[1]فروردین!$AA$2:$AA$366,O3)</f>
        <v>0</v>
      </c>
      <c r="P49" s="168">
        <f>SUMIFS([1]فروردین!$AD$2:$AD$366,[1]فروردین!$N$2:$N$366,"دمونتاژ",[1]فروردین!$D$2:$D$366,$F$49,[1]فروردین!$AA$2:$AA$366,P3)</f>
        <v>0</v>
      </c>
      <c r="Q49" s="168">
        <f>SUMIFS([1]فروردین!$AD$2:$AD$366,[1]فروردین!$N$2:$N$366,"دمونتاژ",[1]فروردین!$D$2:$D$366,$F$49,[1]فروردین!$AA$2:$AA$366,Q3)</f>
        <v>0</v>
      </c>
      <c r="R49" s="168">
        <f>SUMIFS([1]فروردین!$AD$2:$AD$366,[1]فروردین!$N$2:$N$366,"دمونتاژ",[1]فروردین!$D$2:$D$366,$F$49,[1]فروردین!$AA$2:$AA$366,R3)</f>
        <v>0</v>
      </c>
      <c r="S49" s="168">
        <f>SUMIFS([1]فروردین!$AD$2:$AD$366,[1]فروردین!$N$2:$N$366,"دمونتاژ",[1]فروردین!$D$2:$D$366,$F$49,[1]فروردین!$AA$2:$AA$366,S3)</f>
        <v>0</v>
      </c>
      <c r="T49" s="168">
        <f>SUMIFS([1]فروردین!$AD$2:$AD$366,[1]فروردین!$N$2:$N$366,"دمونتاژ",[1]فروردین!$D$2:$D$366,$F$49,[1]فروردین!$AA$2:$AA$366,T3)</f>
        <v>0</v>
      </c>
      <c r="U49" s="108">
        <f>SUMIFS([1]فروردین!$AD$2:$AD$366,[1]فروردین!$N$2:$N$366,"دمونتاژ",[1]فروردین!$D$2:$D$366,$F$49,[1]فروردین!$AA$2:$AA$366,U3)</f>
        <v>0</v>
      </c>
    </row>
    <row r="50" spans="1:21" ht="36" customHeight="1" x14ac:dyDescent="0.25">
      <c r="A50" s="967"/>
      <c r="B50" s="962"/>
      <c r="C50" s="965"/>
      <c r="D50" s="933"/>
      <c r="E50" s="933"/>
      <c r="F50" s="29" t="s">
        <v>54</v>
      </c>
      <c r="G50" s="3">
        <f t="shared" si="0"/>
        <v>0</v>
      </c>
      <c r="H50" s="47">
        <f t="shared" si="1"/>
        <v>0</v>
      </c>
      <c r="I50" s="3">
        <v>0</v>
      </c>
      <c r="J50" s="3">
        <v>0</v>
      </c>
      <c r="K50" s="3">
        <v>0</v>
      </c>
      <c r="L50" s="3">
        <v>0</v>
      </c>
      <c r="M50" s="3">
        <f>SUM(G50:L50)-62</f>
        <v>-62</v>
      </c>
      <c r="N50" s="62"/>
      <c r="O50" s="166">
        <f>SUMIFS([1]فروردین!$AD$2:$AD$366,[1]فروردین!$N$2:$N$366,"دمونتاژ",[1]فروردین!$D$2:$D$366,$F$50,[1]فروردین!$AA$2:$AA$366,O3)</f>
        <v>0</v>
      </c>
      <c r="P50" s="168">
        <f>SUMIFS([1]فروردین!$AD$2:$AD$366,[1]فروردین!$N$2:$N$366,"دمونتاژ",[1]فروردین!$D$2:$D$366,$F$50,[1]فروردین!$AA$2:$AA$366,P3)</f>
        <v>0</v>
      </c>
      <c r="Q50" s="168">
        <f>SUMIFS([1]فروردین!$AD$2:$AD$366,[1]فروردین!$N$2:$N$366,"دمونتاژ",[1]فروردین!$D$2:$D$366,$F$50,[1]فروردین!$AA$2:$AA$366,Q3)</f>
        <v>0</v>
      </c>
      <c r="R50" s="168">
        <f>SUMIFS([1]فروردین!$AD$2:$AD$366,[1]فروردین!$N$2:$N$366,"دمونتاژ",[1]فروردین!$D$2:$D$366,$F$50,[1]فروردین!$AA$2:$AA$366,R3)</f>
        <v>0</v>
      </c>
      <c r="S50" s="168">
        <f>SUMIFS([1]فروردین!$AD$2:$AD$366,[1]فروردین!$N$2:$N$366,"دمونتاژ",[1]فروردین!$D$2:$D$366,$F$50,[1]فروردین!$AA$2:$AA$366,S3)</f>
        <v>0</v>
      </c>
      <c r="T50" s="168">
        <f>SUMIFS([1]فروردین!$AD$2:$AD$366,[1]فروردین!$N$2:$N$366,"دمونتاژ",[1]فروردین!$D$2:$D$366,$F$50,[1]فروردین!$AA$2:$AA$366,T3)</f>
        <v>0</v>
      </c>
      <c r="U50" s="108">
        <f>SUMIFS([1]فروردین!$AD$2:$AD$366,[1]فروردین!$N$2:$N$366,"دمونتاژ",[1]فروردین!$D$2:$D$366,$F$50,[1]فروردین!$AA$2:$AA$366,U3)</f>
        <v>0</v>
      </c>
    </row>
    <row r="51" spans="1:21" ht="36" customHeight="1" thickBot="1" x14ac:dyDescent="0.3">
      <c r="A51" s="993"/>
      <c r="B51" s="964"/>
      <c r="C51" s="944"/>
      <c r="D51" s="934"/>
      <c r="E51" s="934"/>
      <c r="F51" s="247"/>
      <c r="G51" s="6">
        <f t="shared" si="0"/>
        <v>0</v>
      </c>
      <c r="H51" s="64">
        <f t="shared" si="1"/>
        <v>0</v>
      </c>
      <c r="I51" s="7">
        <v>0</v>
      </c>
      <c r="J51" s="7">
        <v>0</v>
      </c>
      <c r="K51" s="7">
        <v>0</v>
      </c>
      <c r="L51" s="7">
        <v>0</v>
      </c>
      <c r="M51" s="7">
        <f>SUM(G51:L51)-62</f>
        <v>-62</v>
      </c>
      <c r="N51" s="34"/>
      <c r="O51" s="171">
        <f>SUMIFS([1]فروردین!$AD$2:$AD$366,[1]فروردین!$N$2:$N$366,"دمونتاژ",[1]فروردین!$D$2:$D$366,$F$51,[1]فروردین!$AA$2:$AA$366,O3)</f>
        <v>0</v>
      </c>
      <c r="P51" s="172">
        <f>SUMIFS([1]فروردین!$AD$2:$AD$366,[1]فروردین!$N$2:$N$366,"دمونتاژ",[1]فروردین!$D$2:$D$366,$F$51,[1]فروردین!$AA$2:$AA$366,P3)</f>
        <v>0</v>
      </c>
      <c r="Q51" s="172">
        <f>SUMIFS([1]فروردین!$AD$2:$AD$366,[1]فروردین!$N$2:$N$366,"دمونتاژ",[1]فروردین!$D$2:$D$366,$F$51,[1]فروردین!$AA$2:$AA$366,Q3)</f>
        <v>0</v>
      </c>
      <c r="R51" s="172">
        <f>SUMIFS([1]فروردین!$AD$2:$AD$366,[1]فروردین!$N$2:$N$366,"دمونتاژ",[1]فروردین!$D$2:$D$366,$F$51,[1]فروردین!$AA$2:$AA$366,R3)</f>
        <v>0</v>
      </c>
      <c r="S51" s="172">
        <f>SUMIFS([1]فروردین!$AD$2:$AD$366,[1]فروردین!$N$2:$N$366,"دمونتاژ",[1]فروردین!$D$2:$D$366,$F$51,[1]فروردین!$AA$2:$AA$366,S3)</f>
        <v>0</v>
      </c>
      <c r="T51" s="172">
        <f>SUMIFS([1]فروردین!$AD$2:$AD$366,[1]فروردین!$N$2:$N$366,"دمونتاژ",[1]فروردین!$D$2:$D$366,$F$51,[1]فروردین!$AA$2:$AA$366,T3)</f>
        <v>0</v>
      </c>
      <c r="U51" s="109">
        <f>SUMIFS([1]فروردین!$AD$2:$AD$366,[1]فروردین!$N$2:$N$366,"دمونتاژ",[1]فروردین!$D$2:$D$366,$F$51,[1]فروردین!$AA$2:$AA$366,U3)</f>
        <v>0</v>
      </c>
    </row>
    <row r="52" spans="1:21" ht="42.75" customHeight="1" thickBot="1" x14ac:dyDescent="0.3">
      <c r="A52" s="951" t="s">
        <v>49</v>
      </c>
      <c r="B52" s="952"/>
      <c r="C52" s="952"/>
      <c r="D52" s="952"/>
      <c r="E52" s="952"/>
      <c r="F52" s="953"/>
      <c r="G52" s="148">
        <f>SUM(G4:G50)-G43</f>
        <v>0</v>
      </c>
      <c r="H52" s="148">
        <f>SUM(H4:H51)</f>
        <v>0</v>
      </c>
      <c r="I52" s="148">
        <f>SUM(I4:I51)</f>
        <v>78.5</v>
      </c>
      <c r="J52" s="148">
        <f>SUM(J4:J51)</f>
        <v>198</v>
      </c>
      <c r="K52" s="148"/>
      <c r="L52" s="148"/>
      <c r="M52" s="149">
        <f>SUMIFS(M4:M51,F4:F51,"*")</f>
        <v>-899</v>
      </c>
      <c r="N52" s="306"/>
      <c r="O52" s="197">
        <f>SUM(O4:O51)</f>
        <v>0</v>
      </c>
      <c r="P52" s="198">
        <f t="shared" ref="P52:U52" si="2">SUM(P4:P51)</f>
        <v>0</v>
      </c>
      <c r="Q52" s="198">
        <f t="shared" si="2"/>
        <v>0</v>
      </c>
      <c r="R52" s="198">
        <f t="shared" si="2"/>
        <v>0</v>
      </c>
      <c r="S52" s="198">
        <f t="shared" si="2"/>
        <v>0</v>
      </c>
      <c r="T52" s="198">
        <f t="shared" si="2"/>
        <v>0</v>
      </c>
      <c r="U52" s="150">
        <f t="shared" si="2"/>
        <v>0</v>
      </c>
    </row>
  </sheetData>
  <mergeCells count="77">
    <mergeCell ref="B31:B32"/>
    <mergeCell ref="C31:C32"/>
    <mergeCell ref="D31:D32"/>
    <mergeCell ref="B33:B34"/>
    <mergeCell ref="C33:C34"/>
    <mergeCell ref="D33:D34"/>
    <mergeCell ref="B23:B25"/>
    <mergeCell ref="C23:C25"/>
    <mergeCell ref="D23:D25"/>
    <mergeCell ref="B20:B22"/>
    <mergeCell ref="C20:C22"/>
    <mergeCell ref="D20:D22"/>
    <mergeCell ref="E20:E22"/>
    <mergeCell ref="B16:B18"/>
    <mergeCell ref="C16:C18"/>
    <mergeCell ref="D16:D18"/>
    <mergeCell ref="E16:E18"/>
    <mergeCell ref="D4:D6"/>
    <mergeCell ref="E4:E6"/>
    <mergeCell ref="B7:B9"/>
    <mergeCell ref="C7:C9"/>
    <mergeCell ref="D7:D9"/>
    <mergeCell ref="E7:E9"/>
    <mergeCell ref="A31:A32"/>
    <mergeCell ref="E31:E32"/>
    <mergeCell ref="N31:N32"/>
    <mergeCell ref="A1:L2"/>
    <mergeCell ref="O1:U2"/>
    <mergeCell ref="N4:N6"/>
    <mergeCell ref="N16:N18"/>
    <mergeCell ref="N20:N22"/>
    <mergeCell ref="E23:E25"/>
    <mergeCell ref="N23:N25"/>
    <mergeCell ref="B4:B6"/>
    <mergeCell ref="C4:C6"/>
    <mergeCell ref="E26:E28"/>
    <mergeCell ref="N26:N28"/>
    <mergeCell ref="A29:A30"/>
    <mergeCell ref="E29:E30"/>
    <mergeCell ref="N29:N30"/>
    <mergeCell ref="B26:B28"/>
    <mergeCell ref="C26:C28"/>
    <mergeCell ref="D26:D28"/>
    <mergeCell ref="B29:B30"/>
    <mergeCell ref="C29:C30"/>
    <mergeCell ref="D29:D30"/>
    <mergeCell ref="A33:A34"/>
    <mergeCell ref="E33:E34"/>
    <mergeCell ref="N33:N34"/>
    <mergeCell ref="A35:A36"/>
    <mergeCell ref="E35:E36"/>
    <mergeCell ref="N35:N36"/>
    <mergeCell ref="B35:B36"/>
    <mergeCell ref="C35:C36"/>
    <mergeCell ref="D35:D36"/>
    <mergeCell ref="N37:N38"/>
    <mergeCell ref="N39:N41"/>
    <mergeCell ref="A44:A47"/>
    <mergeCell ref="B44:B47"/>
    <mergeCell ref="C44:C47"/>
    <mergeCell ref="D44:D47"/>
    <mergeCell ref="E44:E47"/>
    <mergeCell ref="B37:B38"/>
    <mergeCell ref="C37:C38"/>
    <mergeCell ref="D37:D38"/>
    <mergeCell ref="B39:B41"/>
    <mergeCell ref="C39:C41"/>
    <mergeCell ref="D39:D41"/>
    <mergeCell ref="E39:E41"/>
    <mergeCell ref="C48:C51"/>
    <mergeCell ref="D48:D51"/>
    <mergeCell ref="E48:E51"/>
    <mergeCell ref="A52:F52"/>
    <mergeCell ref="A37:A38"/>
    <mergeCell ref="E37:E38"/>
    <mergeCell ref="A48:A51"/>
    <mergeCell ref="B48:B51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:M51" formulaRange="1"/>
  </ignoredError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F6B4-3284-4C0F-8DBF-03FD3C44364D}">
  <sheetPr>
    <pageSetUpPr fitToPage="1"/>
  </sheetPr>
  <dimension ref="A1:U52"/>
  <sheetViews>
    <sheetView rightToLeft="1" view="pageLayout" zoomScaleNormal="100" workbookViewId="0">
      <selection activeCell="I7" sqref="I7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20" width="6.42578125" style="52" hidden="1" customWidth="1"/>
    <col min="21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2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5</v>
      </c>
      <c r="O2" s="925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137" t="s">
        <v>0</v>
      </c>
      <c r="B3" s="138" t="s">
        <v>64</v>
      </c>
      <c r="C3" s="132" t="s">
        <v>1</v>
      </c>
      <c r="D3" s="132" t="s">
        <v>2</v>
      </c>
      <c r="E3" s="132" t="s">
        <v>3</v>
      </c>
      <c r="F3" s="133" t="s">
        <v>4</v>
      </c>
      <c r="G3" s="134" t="s">
        <v>5</v>
      </c>
      <c r="H3" s="135" t="s">
        <v>35</v>
      </c>
      <c r="I3" s="136" t="s">
        <v>6</v>
      </c>
      <c r="J3" s="134" t="s">
        <v>7</v>
      </c>
      <c r="K3" s="134" t="s">
        <v>8</v>
      </c>
      <c r="L3" s="134" t="s">
        <v>9</v>
      </c>
      <c r="M3" s="134" t="s">
        <v>10</v>
      </c>
      <c r="N3" s="311" t="s">
        <v>11</v>
      </c>
      <c r="O3" s="158" t="s">
        <v>84</v>
      </c>
      <c r="P3" s="158" t="s">
        <v>85</v>
      </c>
      <c r="Q3" s="158" t="s">
        <v>86</v>
      </c>
      <c r="R3" s="158" t="s">
        <v>79</v>
      </c>
      <c r="S3" s="158" t="s">
        <v>80</v>
      </c>
      <c r="T3" s="158" t="s">
        <v>81</v>
      </c>
      <c r="U3" s="119" t="s">
        <v>82</v>
      </c>
    </row>
    <row r="4" spans="1:21" ht="36" customHeight="1" x14ac:dyDescent="0.25">
      <c r="A4" s="68"/>
      <c r="B4" s="974" t="s">
        <v>14</v>
      </c>
      <c r="C4" s="932">
        <v>7101</v>
      </c>
      <c r="D4" s="990">
        <v>62.5</v>
      </c>
      <c r="E4" s="932" t="s">
        <v>15</v>
      </c>
      <c r="F4" s="244"/>
      <c r="G4" s="9">
        <f>SUM(O4:T4)</f>
        <v>0</v>
      </c>
      <c r="H4" s="46">
        <f>U4</f>
        <v>0</v>
      </c>
      <c r="I4" s="9">
        <v>0</v>
      </c>
      <c r="J4" s="9">
        <v>0</v>
      </c>
      <c r="K4" s="9">
        <v>0</v>
      </c>
      <c r="L4" s="9">
        <v>0</v>
      </c>
      <c r="M4" s="28"/>
      <c r="N4" s="945" t="s">
        <v>43</v>
      </c>
      <c r="O4" s="165">
        <f>SUMIFS([1]فروردین!$AD$2:$AD$366,[1]فروردین!$N$2:$N$366,7101,[1]فروردین!$D$2:$D$366,$F$4,[1]فروردین!$AA$2:$AA$366,O3)</f>
        <v>0</v>
      </c>
      <c r="P4" s="169">
        <f>SUMIFS([1]فروردین!$AD$2:$AD$366,[1]فروردین!$N$2:$N$366,7101,[1]فروردین!$D$2:$D$366,$F$4,[1]فروردین!$AA$2:$AA$366,P3)</f>
        <v>0</v>
      </c>
      <c r="Q4" s="169">
        <f>SUMIFS([1]فروردین!$AD$2:$AD$366,[1]فروردین!$N$2:$N$366,7101,[1]فروردین!$D$2:$D$366,$F$4,[1]فروردین!$AA$2:$AA$366,Q3)</f>
        <v>0</v>
      </c>
      <c r="R4" s="169">
        <f>SUMIFS([1]اردیبهشت!$AD$2:$AD$366,[1]اردیبهشت!$N$2:$N$366,7101,[1]اردیبهشت!$D$2:$D$366,$F$4,[1]اردیبهشت!$AA$2:$AA$366,R3)</f>
        <v>0</v>
      </c>
      <c r="S4" s="169">
        <f>SUMIFS([1]اردیبهشت!$AD$2:$AD$366,[1]اردیبهشت!$N$2:$N$366,7101,[1]اردیبهشت!$D$2:$D$366,$F$4,[1]اردیبهشت!$AA$2:$AA$366,S3)</f>
        <v>0</v>
      </c>
      <c r="T4" s="169">
        <f>SUMIFS([1]اردیبهشت!$AD$2:$AD$366,[1]اردیبهشت!$N$2:$N$366,7101,[1]اردیبهشت!$D$2:$D$366,$F$4,[1]اردیبهشت!$AA$2:$AA$366,T3)</f>
        <v>0</v>
      </c>
      <c r="U4" s="107">
        <f>SUMIFS([1]اردیبهشت!$AD$2:$AD$366,[1]اردیبهشت!$N$2:$N$366,7101,[1]اردیبهشت!$D$2:$D$366,$F$4,[1]اردیبهشت!$AA$2:$AA$366,U3)</f>
        <v>0</v>
      </c>
    </row>
    <row r="5" spans="1:21" ht="36" customHeight="1" x14ac:dyDescent="0.25">
      <c r="A5" s="261">
        <v>1</v>
      </c>
      <c r="B5" s="975"/>
      <c r="C5" s="933"/>
      <c r="D5" s="991"/>
      <c r="E5" s="933"/>
      <c r="F5" s="259" t="s">
        <v>55</v>
      </c>
      <c r="G5" s="1">
        <f t="shared" ref="G5:G51" si="0">SUM(O5:T5)</f>
        <v>0</v>
      </c>
      <c r="H5" s="47">
        <f t="shared" ref="H5:H51" si="1">U5</f>
        <v>0</v>
      </c>
      <c r="I5" s="3">
        <v>7.5</v>
      </c>
      <c r="J5" s="3">
        <v>0</v>
      </c>
      <c r="K5" s="3">
        <v>0</v>
      </c>
      <c r="L5" s="3">
        <v>0</v>
      </c>
      <c r="M5" s="4">
        <f>SUM(G4:G6)+SUM(H4:H6)+SUM(I4:I6)+SUM(L4:L6)+SUM(K4:K6)-D4</f>
        <v>-55</v>
      </c>
      <c r="N5" s="929"/>
      <c r="O5" s="166">
        <f>SUMIFS([1]فروردین!$AD$2:$AD$366,[1]فروردین!$N$2:$N$366,7101,[1]فروردین!$D$2:$D$366,$F$5,[1]فروردین!$AA$2:$AA$366,O3)</f>
        <v>0</v>
      </c>
      <c r="P5" s="168">
        <f>SUMIFS([1]فروردین!$AD$2:$AD$366,[1]فروردین!$N$2:$N$366,7101,[1]فروردین!$D$2:$D$366,$F$5,[1]فروردین!$AA$2:$AA$366,P3)</f>
        <v>0</v>
      </c>
      <c r="Q5" s="168">
        <f>SUMIFS([1]فروردین!$AD$2:$AD$366,[1]فروردین!$N$2:$N$366,7101,[1]فروردین!$D$2:$D$366,$F$5,[1]فروردین!$AA$2:$AA$366,Q3)</f>
        <v>0</v>
      </c>
      <c r="R5" s="168">
        <f>SUMIFS([1]اردیبهشت!$AD$2:$AD$366,[1]اردیبهشت!$N$2:$N$366,7101,[1]اردیبهشت!$D$2:$D$366,$F$5,[1]اردیبهشت!$AA$2:$AA$366,R3)</f>
        <v>0</v>
      </c>
      <c r="S5" s="168">
        <f>SUMIFS([1]اردیبهشت!$AD$2:$AD$366,[1]اردیبهشت!$N$2:$N$366,7101,[1]اردیبهشت!$D$2:$D$366,$F$5,[1]اردیبهشت!$AA$2:$AA$366,S3)</f>
        <v>0</v>
      </c>
      <c r="T5" s="168">
        <f>SUMIFS([1]اردیبهشت!$AD$2:$AD$366,[1]اردیبهشت!$N$2:$N$366,7101,[1]اردیبهشت!$D$2:$D$366,$F$5,[1]اردیبهشت!$AA$2:$AA$366,T3)</f>
        <v>0</v>
      </c>
      <c r="U5" s="108">
        <f>SUMIFS([1]اردیبهشت!$AD$2:$AD$366,[1]اردیبهشت!$N$2:$N$366,7101,[1]اردیبهشت!$D$2:$D$366,$F$5,[1]اردیبهشت!$AA$2:$AA$366,U3)</f>
        <v>0</v>
      </c>
    </row>
    <row r="6" spans="1:21" ht="36" customHeight="1" thickBot="1" x14ac:dyDescent="0.3">
      <c r="A6" s="268"/>
      <c r="B6" s="976"/>
      <c r="C6" s="934"/>
      <c r="D6" s="992"/>
      <c r="E6" s="934"/>
      <c r="F6" s="5"/>
      <c r="G6" s="6">
        <f t="shared" si="0"/>
        <v>0</v>
      </c>
      <c r="H6" s="64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171">
        <f>SUMIFS([1]فروردین!$AD$2:$AD$366,[1]فروردین!$N$2:$N$366,7101,[1]فروردین!$D$2:$D$366,$F$6,[1]فروردین!$AA$2:$AA$366,O3)</f>
        <v>0</v>
      </c>
      <c r="P6" s="172">
        <f>SUMIFS([1]فروردین!$AD$2:$AD$366,[1]فروردین!$N$2:$N$366,7101,[1]فروردین!$D$2:$D$366,$F$6,[1]فروردین!$AA$2:$AA$366,P3)</f>
        <v>0</v>
      </c>
      <c r="Q6" s="172">
        <f>SUMIFS([1]فروردین!$AD$2:$AD$366,[1]فروردین!$N$2:$N$366,7101,[1]فروردین!$D$2:$D$366,$F$6,[1]فروردین!$AA$2:$AA$366,Q3)</f>
        <v>0</v>
      </c>
      <c r="R6" s="172">
        <f>SUMIFS([1]اردیبهشت!$AD$2:$AD$366,[1]اردیبهشت!$N$2:$N$366,7101,[1]اردیبهشت!$D$2:$D$366,$F$6,[1]اردیبهشت!$AA$2:$AA$366,R3)</f>
        <v>0</v>
      </c>
      <c r="S6" s="172">
        <f>SUMIFS([1]اردیبهشت!$AD$2:$AD$366,[1]اردیبهشت!$N$2:$N$366,7101,[1]اردیبهشت!$D$2:$D$366,$F$6,[1]اردیبهشت!$AA$2:$AA$366,S3)</f>
        <v>0</v>
      </c>
      <c r="T6" s="172">
        <f>SUMIFS([1]اردیبهشت!$AD$2:$AD$366,[1]اردیبهشت!$N$2:$N$366,7101,[1]اردیبهشت!$D$2:$D$366,$F$6,[1]اردیبهشت!$AA$2:$AA$366,T3)</f>
        <v>0</v>
      </c>
      <c r="U6" s="109">
        <f>SUMIFS([1]اردیبهشت!$AD$2:$AD$366,[1]اردیبهشت!$N$2:$N$366,7101,[1]اردیبهشت!$D$2:$D$366,$F$6,[1]اردیبهشت!$AA$2:$AA$366,U3)</f>
        <v>0</v>
      </c>
    </row>
    <row r="7" spans="1:21" ht="36" customHeight="1" x14ac:dyDescent="0.25">
      <c r="A7" s="229"/>
      <c r="B7" s="974" t="s">
        <v>14</v>
      </c>
      <c r="C7" s="932">
        <v>7102</v>
      </c>
      <c r="D7" s="990">
        <v>62.5</v>
      </c>
      <c r="E7" s="932" t="s">
        <v>15</v>
      </c>
      <c r="F7" s="244"/>
      <c r="G7" s="9">
        <f t="shared" si="0"/>
        <v>0</v>
      </c>
      <c r="H7" s="46">
        <f t="shared" si="1"/>
        <v>0</v>
      </c>
      <c r="I7" s="9">
        <v>0</v>
      </c>
      <c r="J7" s="9">
        <v>0</v>
      </c>
      <c r="K7" s="9">
        <v>0</v>
      </c>
      <c r="L7" s="9">
        <v>0</v>
      </c>
      <c r="M7" s="10"/>
      <c r="N7" s="250"/>
      <c r="O7" s="165">
        <f>SUMIFS([1]فروردین!$AD$2:$AD$366,[1]فروردین!$N$2:$N$366,7102,[1]فروردین!$D$2:$D$366,$F$7,[1]فروردین!$AA$2:$AA$366,O3)</f>
        <v>0</v>
      </c>
      <c r="P7" s="169">
        <f>SUMIFS([1]فروردین!$AD$2:$AD$366,[1]فروردین!$N$2:$N$366,7102,[1]فروردین!$D$2:$D$366,$F$7,[1]فروردین!$AA$2:$AA$366,P3)</f>
        <v>0</v>
      </c>
      <c r="Q7" s="169">
        <f>SUMIFS([1]فروردین!$AD$2:$AD$366,[1]فروردین!$N$2:$N$366,7102,[1]فروردین!$D$2:$D$366,$F$7,[1]فروردین!$AA$2:$AA$366,Q3)</f>
        <v>0</v>
      </c>
      <c r="R7" s="169">
        <f>SUMIFS([1]اردیبهشت!$AD$2:$AD$366,[1]اردیبهشت!$N$2:$N$366,7102,[1]اردیبهشت!$D$2:$D$366,$F$7,[1]اردیبهشت!$AA$2:$AA$366,R3)</f>
        <v>0</v>
      </c>
      <c r="S7" s="169">
        <f>SUMIFS([1]اردیبهشت!$AD$2:$AD$366,[1]اردیبهشت!$N$2:$N$366,7102,[1]اردیبهشت!$D$2:$D$366,$F$7,[1]اردیبهشت!$AA$2:$AA$366,S3)</f>
        <v>0</v>
      </c>
      <c r="T7" s="169">
        <f>SUMIFS([1]اردیبهشت!$AD$2:$AD$366,[1]اردیبهشت!$N$2:$N$366,7102,[1]اردیبهشت!$D$2:$D$366,$F$7,[1]اردیبهشت!$AA$2:$AA$366,T3)</f>
        <v>0</v>
      </c>
      <c r="U7" s="107">
        <f>SUMIFS([1]اردیبهشت!$AD$2:$AD$366,[1]اردیبهشت!$N$2:$N$366,7102,[1]اردیبهشت!$D$2:$D$366,$F$7,[1]اردیبهشت!$AA$2:$AA$366,U3)</f>
        <v>0</v>
      </c>
    </row>
    <row r="8" spans="1:21" ht="36" customHeight="1" x14ac:dyDescent="0.25">
      <c r="A8" s="214">
        <v>2</v>
      </c>
      <c r="B8" s="975"/>
      <c r="C8" s="933"/>
      <c r="D8" s="991"/>
      <c r="E8" s="933"/>
      <c r="F8" s="259"/>
      <c r="G8" s="1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SUM(G7:G9)+SUM(H7:H9)+SUM(I7:I9)+SUM(J7:J9)+SUM(K7:K9)+SUM(L7:L9)-D7</f>
        <v>-62.5</v>
      </c>
      <c r="N8" s="251" t="s">
        <v>13</v>
      </c>
      <c r="O8" s="166">
        <f>SUMIFS([1]فروردین!$AD$2:$AD$366,[1]فروردین!$N$2:$N$366,7102,[1]فروردین!$D$2:$D$366,$F$8,[1]فروردین!$AA$2:$AA$366,O3)</f>
        <v>0</v>
      </c>
      <c r="P8" s="168">
        <f>SUMIFS([1]فروردین!$AD$2:$AD$366,[1]فروردین!$N$2:$N$366,7102,[1]فروردین!$D$2:$D$366,$F$8,[1]فروردین!$AA$2:$AA$366,P3)</f>
        <v>0</v>
      </c>
      <c r="Q8" s="168">
        <f>SUMIFS([1]فروردین!$AD$2:$AD$366,[1]فروردین!$N$2:$N$366,7102,[1]فروردین!$D$2:$D$366,$F$8,[1]فروردین!$AA$2:$AA$366,Q3)</f>
        <v>0</v>
      </c>
      <c r="R8" s="168">
        <f>SUMIFS([1]اردیبهشت!$AD$2:$AD$366,[1]اردیبهشت!$N$2:$N$366,7102,[1]اردیبهشت!$D$2:$D$366,$F$8,[1]اردیبهشت!$AA$2:$AA$366,R3)</f>
        <v>0</v>
      </c>
      <c r="S8" s="168">
        <f>SUMIFS([1]اردیبهشت!$AD$2:$AD$366,[1]اردیبهشت!$N$2:$N$366,7102,[1]اردیبهشت!$D$2:$D$366,$F$8,[1]اردیبهشت!$AA$2:$AA$366,S3)</f>
        <v>0</v>
      </c>
      <c r="T8" s="168">
        <f>SUMIFS([1]اردیبهشت!$AD$2:$AD$366,[1]اردیبهشت!$N$2:$N$366,7102,[1]اردیبهشت!$D$2:$D$366,$F$8,[1]اردیبهشت!$AA$2:$AA$366,T3)</f>
        <v>0</v>
      </c>
      <c r="U8" s="108">
        <f>SUMIFS([1]اردیبهشت!$AD$2:$AD$366,[1]اردیبهشت!$N$2:$N$366,7102,[1]اردیبهشت!$D$2:$D$366,$F$8,[1]اردیبهشت!$AA$2:$AA$366,U3)</f>
        <v>0</v>
      </c>
    </row>
    <row r="9" spans="1:21" ht="36" customHeight="1" thickBot="1" x14ac:dyDescent="0.3">
      <c r="A9" s="230"/>
      <c r="B9" s="976"/>
      <c r="C9" s="934"/>
      <c r="D9" s="992"/>
      <c r="E9" s="934"/>
      <c r="F9" s="5"/>
      <c r="G9" s="6">
        <f t="shared" si="0"/>
        <v>0</v>
      </c>
      <c r="H9" s="64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252"/>
      <c r="O9" s="171">
        <f>SUMIFS([1]فروردین!$AD$2:$AD$366,[1]فروردین!$N$2:$N$366,7102,[1]فروردین!$D$2:$D$366,$F$9,[1]فروردین!$AA$2:$AA$366,O3)</f>
        <v>0</v>
      </c>
      <c r="P9" s="172">
        <f>SUMIFS([1]فروردین!$AD$2:$AD$366,[1]فروردین!$N$2:$N$366,7102,[1]فروردین!$D$2:$D$366,$F$9,[1]فروردین!$AA$2:$AA$366,P3)</f>
        <v>0</v>
      </c>
      <c r="Q9" s="172">
        <f>SUMIFS([1]فروردین!$AD$2:$AD$366,[1]فروردین!$N$2:$N$366,7102,[1]فروردین!$D$2:$D$366,$F$9,[1]فروردین!$AA$2:$AA$366,Q3)</f>
        <v>0</v>
      </c>
      <c r="R9" s="172">
        <f>SUMIFS([1]اردیبهشت!$AD$2:$AD$366,[1]اردیبهشت!$N$2:$N$366,7102,[1]اردیبهشت!$D$2:$D$366,$F$9,[1]اردیبهشت!$AA$2:$AA$366,R3)</f>
        <v>0</v>
      </c>
      <c r="S9" s="172">
        <f>SUMIFS([1]اردیبهشت!$AD$2:$AD$366,[1]اردیبهشت!$N$2:$N$366,7102,[1]اردیبهشت!$D$2:$D$366,$F$9,[1]اردیبهشت!$AA$2:$AA$366,S3)</f>
        <v>0</v>
      </c>
      <c r="T9" s="172">
        <f>SUMIFS([1]اردیبهشت!$AD$2:$AD$366,[1]اردیبهشت!$N$2:$N$366,7102,[1]اردیبهشت!$D$2:$D$366,$F$9,[1]اردیبهشت!$AA$2:$AA$366,T3)</f>
        <v>0</v>
      </c>
      <c r="U9" s="109">
        <f>SUMIFS([1]اردیبهشت!$AD$2:$AD$366,[1]اردیبهشت!$N$2:$N$366,7102,[1]اردیبهشت!$D$2:$D$366,$F$9,[1]اردیبهشت!$AA$2:$AA$366,U3)</f>
        <v>0</v>
      </c>
    </row>
    <row r="10" spans="1:21" ht="36" customHeight="1" thickBot="1" x14ac:dyDescent="0.3">
      <c r="A10" s="45">
        <v>3</v>
      </c>
      <c r="B10" s="41" t="s">
        <v>14</v>
      </c>
      <c r="C10" s="13">
        <v>7103</v>
      </c>
      <c r="D10" s="283">
        <v>62.5</v>
      </c>
      <c r="E10" s="13" t="s">
        <v>15</v>
      </c>
      <c r="F10" s="13" t="s">
        <v>36</v>
      </c>
      <c r="G10" s="14">
        <f t="shared" si="0"/>
        <v>0</v>
      </c>
      <c r="H10" s="48">
        <f t="shared" si="1"/>
        <v>0</v>
      </c>
      <c r="I10" s="14">
        <v>0</v>
      </c>
      <c r="J10" s="14">
        <v>0</v>
      </c>
      <c r="K10" s="14">
        <v>0</v>
      </c>
      <c r="L10" s="14">
        <v>0</v>
      </c>
      <c r="M10" s="14">
        <f>SUM(G10:L10)-64</f>
        <v>-64</v>
      </c>
      <c r="N10" s="61" t="s">
        <v>40</v>
      </c>
      <c r="O10" s="176">
        <f>SUMIFS([1]فروردین!$AD$2:$AD$366,[1]فروردین!$N$2:$N$366,7103,[1]فروردین!$D$2:$D$366,$F$10,[1]فروردین!$AA$2:$AA$366,O3)</f>
        <v>0</v>
      </c>
      <c r="P10" s="177">
        <f>SUMIFS([1]فروردین!$AD$2:$AD$366,[1]فروردین!$N$2:$N$366,7103,[1]فروردین!$D$2:$D$366,$F$10,[1]فروردین!$AA$2:$AA$366,P3)</f>
        <v>0</v>
      </c>
      <c r="Q10" s="177">
        <f>SUMIFS([1]فروردین!$AD$2:$AD$366,[1]فروردین!$N$2:$N$366,7103,[1]فروردین!$D$2:$D$366,$F$10,[1]فروردین!$AA$2:$AA$366,Q3)</f>
        <v>0</v>
      </c>
      <c r="R10" s="177">
        <f>SUMIFS([1]اردیبهشت!$AD$2:$AD$366,[1]اردیبهشت!$N$2:$N$366,7103,[1]اردیبهشت!$D$2:$D$366,$F$10,[1]اردیبهشت!$AA$2:$AA$366,R3)</f>
        <v>0</v>
      </c>
      <c r="S10" s="177">
        <f>SUMIFS([1]اردیبهشت!$AD$2:$AD$366,[1]اردیبهشت!$N$2:$N$366,7103,[1]اردیبهشت!$D$2:$D$366,$F$10,[1]اردیبهشت!$AA$2:$AA$366,S3)</f>
        <v>0</v>
      </c>
      <c r="T10" s="177">
        <f>SUMIFS([1]اردیبهشت!$AD$2:$AD$366,[1]اردیبهشت!$N$2:$N$366,7103,[1]اردیبهشت!$D$2:$D$366,$F$10,[1]اردیبهشت!$AA$2:$AA$366,T3)</f>
        <v>0</v>
      </c>
      <c r="U10" s="113">
        <f>SUMIFS([1]اردیبهشت!$AD$2:$AD$366,[1]اردیبهشت!$N$2:$N$366,7103,[1]اردیبهشت!$D$2:$D$366,$F$10,[1]اردیبهشت!$AA$2:$AA$366,U3)</f>
        <v>0</v>
      </c>
    </row>
    <row r="11" spans="1:21" ht="36" customHeight="1" thickBot="1" x14ac:dyDescent="0.3">
      <c r="A11" s="45">
        <v>4</v>
      </c>
      <c r="B11" s="82" t="s">
        <v>18</v>
      </c>
      <c r="C11" s="72">
        <v>7201</v>
      </c>
      <c r="D11" s="72">
        <v>62.5</v>
      </c>
      <c r="E11" s="72" t="s">
        <v>19</v>
      </c>
      <c r="F11" s="73"/>
      <c r="G11" s="14">
        <f t="shared" si="0"/>
        <v>0</v>
      </c>
      <c r="H11" s="48">
        <f t="shared" si="1"/>
        <v>0</v>
      </c>
      <c r="I11" s="74">
        <v>0</v>
      </c>
      <c r="J11" s="74">
        <v>62</v>
      </c>
      <c r="K11" s="74">
        <v>0</v>
      </c>
      <c r="L11" s="74">
        <v>0</v>
      </c>
      <c r="M11" s="74">
        <f>SUM(G11:J11)-62</f>
        <v>0</v>
      </c>
      <c r="N11" s="75" t="s">
        <v>41</v>
      </c>
      <c r="O11" s="284"/>
      <c r="P11" s="285"/>
      <c r="Q11" s="285"/>
      <c r="R11" s="285"/>
      <c r="S11" s="285"/>
      <c r="T11" s="285"/>
      <c r="U11" s="139"/>
    </row>
    <row r="12" spans="1:21" ht="36" customHeight="1" thickBot="1" x14ac:dyDescent="0.3">
      <c r="A12" s="45">
        <v>5</v>
      </c>
      <c r="B12" s="12" t="s">
        <v>18</v>
      </c>
      <c r="C12" s="13">
        <v>7202</v>
      </c>
      <c r="D12" s="13">
        <v>62.5</v>
      </c>
      <c r="E12" s="13" t="s">
        <v>15</v>
      </c>
      <c r="F12" s="16" t="s">
        <v>20</v>
      </c>
      <c r="G12" s="14">
        <f t="shared" si="0"/>
        <v>0</v>
      </c>
      <c r="H12" s="48">
        <f t="shared" si="1"/>
        <v>0</v>
      </c>
      <c r="I12" s="14">
        <v>3</v>
      </c>
      <c r="J12" s="14">
        <v>0</v>
      </c>
      <c r="K12" s="14">
        <v>0</v>
      </c>
      <c r="L12" s="14">
        <v>0</v>
      </c>
      <c r="M12" s="14">
        <f>SUM(G12:L12)-62</f>
        <v>-59</v>
      </c>
      <c r="N12" s="271" t="s">
        <v>44</v>
      </c>
      <c r="O12" s="181">
        <f>SUMIFS([1]فروردین!$AD$2:$AD$366,[1]فروردین!$N$2:$N$366,$C$12,[1]فروردین!$D$2:$D$366,$F$12,[1]فروردین!$AA$2:$AA$366,O3)</f>
        <v>0</v>
      </c>
      <c r="P12" s="182">
        <f>SUMIFS([1]فروردین!$AD$2:$AD$366,[1]فروردین!$N$2:$N$366,$C$12,[1]فروردین!$D$2:$D$366,$F$12,[1]فروردین!$AA$2:$AA$366,P3)</f>
        <v>0</v>
      </c>
      <c r="Q12" s="182">
        <f>SUMIFS([1]فروردین!$AD$2:$AD$366,[1]فروردین!$N$2:$N$366,$C$12,[1]فروردین!$D$2:$D$366,$F$12,[1]فروردین!$AA$2:$AA$366,Q3)</f>
        <v>0</v>
      </c>
      <c r="R12" s="182">
        <f>SUMIFS([1]اردیبهشت!$AD$2:$AD$366,[1]اردیبهشت!$N$2:$N$366,$C$12,[1]اردیبهشت!$D$2:$D$366,$F$12,[1]اردیبهشت!$AA$2:$AA$366,R3)</f>
        <v>0</v>
      </c>
      <c r="S12" s="182">
        <f>SUMIFS([1]اردیبهشت!$AD$2:$AD$366,[1]اردیبهشت!$N$2:$N$366,$C$12,[1]اردیبهشت!$D$2:$D$366,$F$12,[1]اردیبهشت!$AA$2:$AA$366,S3)</f>
        <v>0</v>
      </c>
      <c r="T12" s="182">
        <f>SUMIFS([1]اردیبهشت!$AD$2:$AD$366,[1]اردیبهشت!$N$2:$N$366,$C$12,[1]اردیبهشت!$D$2:$D$366,$F$12,[1]اردیبهشت!$AA$2:$AA$366,T3)</f>
        <v>0</v>
      </c>
      <c r="U12" s="156">
        <f>SUMIFS([1]اردیبهشت!$AD$2:$AD$366,[1]اردیبهشت!$N$2:$N$366,$C$12,[1]اردیبهشت!$D$2:$D$366,$F$12,[1]اردیبهشت!$AA$2:$AA$366,U3)</f>
        <v>0</v>
      </c>
    </row>
    <row r="13" spans="1:21" ht="36" customHeight="1" thickBot="1" x14ac:dyDescent="0.3">
      <c r="A13" s="45">
        <v>6</v>
      </c>
      <c r="B13" s="12" t="s">
        <v>18</v>
      </c>
      <c r="C13" s="13">
        <v>7203</v>
      </c>
      <c r="D13" s="13">
        <v>62.5</v>
      </c>
      <c r="E13" s="13" t="s">
        <v>15</v>
      </c>
      <c r="F13" s="16"/>
      <c r="G13" s="14">
        <f t="shared" si="0"/>
        <v>0</v>
      </c>
      <c r="H13" s="48">
        <f t="shared" si="1"/>
        <v>0</v>
      </c>
      <c r="I13" s="14">
        <v>0</v>
      </c>
      <c r="J13" s="14">
        <v>0</v>
      </c>
      <c r="K13" s="14">
        <v>0</v>
      </c>
      <c r="L13" s="14">
        <v>0</v>
      </c>
      <c r="M13" s="14">
        <f>(G13+H13+I13+J13+K13)-D13</f>
        <v>-62.5</v>
      </c>
      <c r="N13" s="61"/>
      <c r="O13" s="176">
        <f>SUMIFS([1]فروردین!$AD$2:$AD$366,[1]فروردین!$N$2:$N$366,$C$13,[1]فروردین!$D$2:$D$366,$F$13,[1]فروردین!$AA$2:$AA$366,O3)</f>
        <v>0</v>
      </c>
      <c r="P13" s="177">
        <f>SUMIFS([1]فروردین!$AD$2:$AD$366,[1]فروردین!$N$2:$N$366,$C$13,[1]فروردین!$D$2:$D$366,$F$13,[1]فروردین!$AA$2:$AA$366,P3)</f>
        <v>0</v>
      </c>
      <c r="Q13" s="177">
        <f>SUMIFS([1]فروردین!$AD$2:$AD$366,[1]فروردین!$N$2:$N$366,$C$13,[1]فروردین!$D$2:$D$366,$F$13,[1]فروردین!$AA$2:$AA$366,Q3)</f>
        <v>0</v>
      </c>
      <c r="R13" s="177">
        <f>SUMIFS([1]اردیبهشت!$AD$2:$AD$366,[1]اردیبهشت!$N$2:$N$366,$C$13,[1]اردیبهشت!$D$2:$D$366,$F$13,[1]اردیبهشت!$AA$2:$AA$366,R3)</f>
        <v>0</v>
      </c>
      <c r="S13" s="177">
        <f>SUMIFS([1]اردیبهشت!$AD$2:$AD$366,[1]اردیبهشت!$N$2:$N$366,$C$13,[1]اردیبهشت!$D$2:$D$366,$F$13,[1]اردیبهشت!$AA$2:$AA$366,S3)</f>
        <v>0</v>
      </c>
      <c r="T13" s="177">
        <f>SUMIFS([1]اردیبهشت!$AD$2:$AD$366,[1]اردیبهشت!$N$2:$N$366,$C$13,[1]اردیبهشت!$D$2:$D$366,$F$13,[1]اردیبهشت!$AA$2:$AA$366,T3)</f>
        <v>0</v>
      </c>
      <c r="U13" s="113">
        <f>SUMIFS([1]اردیبهشت!$AD$2:$AD$366,[1]اردیبهشت!$N$2:$N$366,$C$13,[1]اردیبهشت!$D$2:$D$366,$F$13,[1]اردیبهشت!$AA$2:$AA$366,U3)</f>
        <v>0</v>
      </c>
    </row>
    <row r="14" spans="1:21" ht="36" customHeight="1" thickBot="1" x14ac:dyDescent="0.3">
      <c r="A14" s="45">
        <v>7</v>
      </c>
      <c r="B14" s="12" t="s">
        <v>18</v>
      </c>
      <c r="C14" s="13">
        <v>7204</v>
      </c>
      <c r="D14" s="13">
        <v>62.5</v>
      </c>
      <c r="E14" s="13" t="s">
        <v>15</v>
      </c>
      <c r="F14" s="16"/>
      <c r="G14" s="14">
        <f t="shared" si="0"/>
        <v>0</v>
      </c>
      <c r="H14" s="48">
        <f t="shared" si="1"/>
        <v>0</v>
      </c>
      <c r="I14" s="14">
        <v>0</v>
      </c>
      <c r="J14" s="14">
        <v>0</v>
      </c>
      <c r="K14" s="14">
        <v>0</v>
      </c>
      <c r="L14" s="14">
        <v>0</v>
      </c>
      <c r="M14" s="14">
        <f>SUM(G14:J14)-62</f>
        <v>-62</v>
      </c>
      <c r="N14" s="61"/>
      <c r="O14" s="176">
        <f>SUMIFS([1]فروردین!$AD$2:$AD$366,[1]فروردین!$N$2:$N$366,$C$14,[1]فروردین!$D$2:$D$366,$F$14,[1]فروردین!$AA$2:$AA$366,O3)</f>
        <v>0</v>
      </c>
      <c r="P14" s="177">
        <f>SUMIFS([1]فروردین!$AD$2:$AD$366,[1]فروردین!$N$2:$N$366,$C$14,[1]فروردین!$D$2:$D$366,$F$14,[1]فروردین!$AA$2:$AA$366,P3)</f>
        <v>0</v>
      </c>
      <c r="Q14" s="177">
        <f>SUMIFS([1]فروردین!$AD$2:$AD$366,[1]فروردین!$N$2:$N$366,$C$14,[1]فروردین!$D$2:$D$366,$F$14,[1]فروردین!$AA$2:$AA$366,Q3)</f>
        <v>0</v>
      </c>
      <c r="R14" s="177">
        <f>SUMIFS([1]اردیبهشت!$AD$2:$AD$366,[1]اردیبهشت!$N$2:$N$366,$C$14,[1]اردیبهشت!$D$2:$D$366,$F$14,[1]اردیبهشت!$AA$2:$AA$366,R3)</f>
        <v>0</v>
      </c>
      <c r="S14" s="177">
        <f>SUMIFS([1]اردیبهشت!$AD$2:$AD$366,[1]اردیبهشت!$N$2:$N$366,$C$14,[1]اردیبهشت!$D$2:$D$366,$F$14,[1]اردیبهشت!$AA$2:$AA$366,S3)</f>
        <v>0</v>
      </c>
      <c r="T14" s="177">
        <f>SUMIFS([1]اردیبهشت!$AD$2:$AD$366,[1]اردیبهشت!$N$2:$N$366,$C$14,[1]اردیبهشت!$D$2:$D$366,$F$14,[1]اردیبهشت!$AA$2:$AA$366,T3)</f>
        <v>0</v>
      </c>
      <c r="U14" s="113">
        <f>SUMIFS([1]اردیبهشت!$AD$2:$AD$366,[1]اردیبهشت!$N$2:$N$366,$C$14,[1]اردیبهشت!$D$2:$D$366,$F$14,[1]اردیبهشت!$AA$2:$AA$366,U3)</f>
        <v>0</v>
      </c>
    </row>
    <row r="15" spans="1:21" ht="36" customHeight="1" thickBot="1" x14ac:dyDescent="0.3">
      <c r="A15" s="214">
        <v>8</v>
      </c>
      <c r="B15" s="213" t="s">
        <v>21</v>
      </c>
      <c r="C15" s="246">
        <v>7301</v>
      </c>
      <c r="D15" s="246">
        <v>62.5</v>
      </c>
      <c r="E15" s="246" t="s">
        <v>15</v>
      </c>
      <c r="F15" s="71" t="s">
        <v>22</v>
      </c>
      <c r="G15" s="4">
        <f t="shared" si="0"/>
        <v>0</v>
      </c>
      <c r="H15" s="67">
        <f t="shared" si="1"/>
        <v>0</v>
      </c>
      <c r="I15" s="4">
        <v>7</v>
      </c>
      <c r="J15" s="4">
        <v>0</v>
      </c>
      <c r="K15" s="4">
        <v>0</v>
      </c>
      <c r="L15" s="4">
        <v>0</v>
      </c>
      <c r="M15" s="4">
        <f>SUM(G15:L15)-D15</f>
        <v>-55.5</v>
      </c>
      <c r="N15" s="255" t="s">
        <v>29</v>
      </c>
      <c r="O15" s="184">
        <f>SUMIFS([1]فروردین!$AD$2:$AD$366,[1]فروردین!$N$2:$N$366,$C$15,[1]فروردین!$D$2:$D$366,$F$15,[1]فروردین!$AA$2:$AA$366,O3)</f>
        <v>0</v>
      </c>
      <c r="P15" s="202">
        <f>SUMIFS([1]فروردین!$AD$2:$AD$366,[1]فروردین!$N$2:$N$366,$C$15,[1]فروردین!$D$2:$D$366,$F$15,[1]فروردین!$AA$2:$AA$366,P3)</f>
        <v>0</v>
      </c>
      <c r="Q15" s="202">
        <f>SUMIFS([1]فروردین!$AD$2:$AD$366,[1]فروردین!$N$2:$N$366,$C$15,[1]فروردین!$D$2:$D$366,$F$15,[1]فروردین!$AA$2:$AA$366,Q3)</f>
        <v>0</v>
      </c>
      <c r="R15" s="202">
        <f>SUMIFS([1]اردیبهشت!$AD$2:$AD$366,[1]اردیبهشت!$N$2:$N$366,$C$15,[1]اردیبهشت!$D$2:$D$366,$F$15,[1]اردیبهشت!$AA$2:$AA$366,R3)</f>
        <v>0</v>
      </c>
      <c r="S15" s="202">
        <f>SUMIFS([1]اردیبهشت!$AD$2:$AD$366,[1]اردیبهشت!$N$2:$N$366,$C$15,[1]اردیبهشت!$D$2:$D$366,$F$15,[1]اردیبهشت!$AA$2:$AA$366,S3)</f>
        <v>0</v>
      </c>
      <c r="T15" s="202">
        <f>SUMIFS([1]اردیبهشت!$AD$2:$AD$366,[1]اردیبهشت!$N$2:$N$366,$C$15,[1]اردیبهشت!$D$2:$D$366,$F$15,[1]اردیبهشت!$AA$2:$AA$366,T3)</f>
        <v>0</v>
      </c>
      <c r="U15" s="120">
        <f>SUMIFS([1]اردیبهشت!$AD$2:$AD$366,[1]اردیبهشت!$N$2:$N$366,$C$15,[1]اردیبهشت!$D$2:$D$366,$F$15,[1]اردیبهشت!$AA$2:$AA$366,U3)</f>
        <v>0</v>
      </c>
    </row>
    <row r="16" spans="1:21" ht="35.25" customHeight="1" x14ac:dyDescent="0.25">
      <c r="A16" s="229"/>
      <c r="B16" s="974" t="s">
        <v>21</v>
      </c>
      <c r="C16" s="932">
        <v>7302</v>
      </c>
      <c r="D16" s="932">
        <v>62.5</v>
      </c>
      <c r="E16" s="932" t="s">
        <v>15</v>
      </c>
      <c r="F16" s="20"/>
      <c r="G16" s="9">
        <f t="shared" si="0"/>
        <v>0</v>
      </c>
      <c r="H16" s="46">
        <f t="shared" si="1"/>
        <v>0</v>
      </c>
      <c r="I16" s="9">
        <v>0</v>
      </c>
      <c r="J16" s="9">
        <v>0</v>
      </c>
      <c r="K16" s="9">
        <v>0</v>
      </c>
      <c r="L16" s="9">
        <v>0</v>
      </c>
      <c r="M16" s="21"/>
      <c r="N16" s="945" t="s">
        <v>44</v>
      </c>
      <c r="O16" s="165">
        <f>SUMIFS([1]فروردین!$AD$2:$AD$366,[1]فروردین!$N$2:$N$366,$C$16,[1]فروردین!$D$2:$D$366,$F$16,[1]فروردین!$AA$2:$AA$366,O3)</f>
        <v>0</v>
      </c>
      <c r="P16" s="169">
        <f>SUMIFS([1]فروردین!$AD$2:$AD$366,[1]فروردین!$N$2:$N$366,$C$16,[1]فروردین!$D$2:$D$366,$F$16,[1]فروردین!$AA$2:$AA$366,P3)</f>
        <v>0</v>
      </c>
      <c r="Q16" s="169">
        <f>SUMIFS([1]فروردین!$AD$2:$AD$366,[1]فروردین!$N$2:$N$366,$C$16,[1]فروردین!$D$2:$D$366,$F$16,[1]فروردین!$AA$2:$AA$366,Q3)</f>
        <v>0</v>
      </c>
      <c r="R16" s="169">
        <f>SUMIFS([1]اردیبهشت!$AD$2:$AD$366,[1]اردیبهشت!$N$2:$N$366,$C$16,[1]اردیبهشت!$D$2:$D$366,$F$16,[1]اردیبهشت!$AA$2:$AA$366,R3)</f>
        <v>0</v>
      </c>
      <c r="S16" s="169">
        <f>SUMIFS([1]اردیبهشت!$AD$2:$AD$366,[1]اردیبهشت!$N$2:$N$366,$C$16,[1]اردیبهشت!$D$2:$D$366,$F$16,[1]اردیبهشت!$AA$2:$AA$366,S3)</f>
        <v>0</v>
      </c>
      <c r="T16" s="169">
        <f>SUMIFS([1]اردیبهشت!$AD$2:$AD$366,[1]اردیبهشت!$N$2:$N$366,$C$16,[1]اردیبهشت!$D$2:$D$366,$F$16,[1]اردیبهشت!$AA$2:$AA$366,T3)</f>
        <v>0</v>
      </c>
      <c r="U16" s="107">
        <f>SUMIFS([1]اردیبهشت!$AD$2:$AD$366,[1]اردیبهشت!$N$2:$N$366,$C$16,[1]اردیبهشت!$D$2:$D$366,$F$16,[1]اردیبهشت!$AA$2:$AA$366,U3)</f>
        <v>0</v>
      </c>
    </row>
    <row r="17" spans="1:21" ht="35.25" customHeight="1" x14ac:dyDescent="0.25">
      <c r="A17" s="214">
        <v>9</v>
      </c>
      <c r="B17" s="975"/>
      <c r="C17" s="933"/>
      <c r="D17" s="933"/>
      <c r="E17" s="933"/>
      <c r="F17" s="22" t="s">
        <v>17</v>
      </c>
      <c r="G17" s="1">
        <f t="shared" si="0"/>
        <v>0</v>
      </c>
      <c r="H17" s="47">
        <f t="shared" si="1"/>
        <v>0</v>
      </c>
      <c r="I17" s="3">
        <v>6</v>
      </c>
      <c r="J17" s="3">
        <v>0</v>
      </c>
      <c r="K17" s="3">
        <v>0</v>
      </c>
      <c r="L17" s="3">
        <v>0</v>
      </c>
      <c r="M17" s="4">
        <f>SUM(G16:L18)-D16</f>
        <v>-56.5</v>
      </c>
      <c r="N17" s="929"/>
      <c r="O17" s="166">
        <f>SUMIFS([1]فروردین!$AD$2:$AD$366,[1]فروردین!$N$2:$N$366,$C$16,[1]فروردین!$D$2:$D$366,$F$17,[1]فروردین!$AA$2:$AA$366,O3)</f>
        <v>0</v>
      </c>
      <c r="P17" s="168">
        <f>SUMIFS([1]فروردین!$AD$2:$AD$366,[1]فروردین!$N$2:$N$366,$C$16,[1]فروردین!$D$2:$D$366,$F$17,[1]فروردین!$AA$2:$AA$366,P3)</f>
        <v>0</v>
      </c>
      <c r="Q17" s="168">
        <f>SUMIFS([1]فروردین!$AD$2:$AD$366,[1]فروردین!$N$2:$N$366,$C$16,[1]فروردین!$D$2:$D$366,$F$17,[1]فروردین!$AA$2:$AA$366,Q3)</f>
        <v>0</v>
      </c>
      <c r="R17" s="168">
        <f>SUMIFS([1]اردیبهشت!$AD$2:$AD$366,[1]اردیبهشت!$N$2:$N$366,$C$16,[1]اردیبهشت!$D$2:$D$366,$F$17,[1]اردیبهشت!$AA$2:$AA$366,R3)</f>
        <v>0</v>
      </c>
      <c r="S17" s="168">
        <f>SUMIFS([1]اردیبهشت!$AD$2:$AD$366,[1]اردیبهشت!$N$2:$N$366,$C$16,[1]اردیبهشت!$D$2:$D$366,$F$17,[1]اردیبهشت!$AA$2:$AA$366,S3)</f>
        <v>0</v>
      </c>
      <c r="T17" s="168">
        <f>SUMIFS([1]اردیبهشت!$AD$2:$AD$366,[1]اردیبهشت!$N$2:$N$366,$C$16,[1]اردیبهشت!$D$2:$D$366,$F$17,[1]اردیبهشت!$AA$2:$AA$366,T3)</f>
        <v>0</v>
      </c>
      <c r="U17" s="108">
        <f>SUMIFS([1]اردیبهشت!$AD$2:$AD$366,[1]اردیبهشت!$N$2:$N$366,$C$16,[1]اردیبهشت!$D$2:$D$366,$F$17,[1]اردیبهشت!$AA$2:$AA$366,U3)</f>
        <v>0</v>
      </c>
    </row>
    <row r="18" spans="1:21" ht="35.25" customHeight="1" thickBot="1" x14ac:dyDescent="0.3">
      <c r="A18" s="230"/>
      <c r="B18" s="976"/>
      <c r="C18" s="934"/>
      <c r="D18" s="934"/>
      <c r="E18" s="934"/>
      <c r="F18" s="5"/>
      <c r="G18" s="6">
        <f t="shared" si="0"/>
        <v>0</v>
      </c>
      <c r="H18" s="64">
        <f t="shared" si="1"/>
        <v>0</v>
      </c>
      <c r="I18" s="7">
        <v>0</v>
      </c>
      <c r="J18" s="7">
        <v>0</v>
      </c>
      <c r="K18" s="6">
        <v>0</v>
      </c>
      <c r="L18" s="6">
        <v>0</v>
      </c>
      <c r="M18" s="6"/>
      <c r="N18" s="930"/>
      <c r="O18" s="171">
        <f>SUMIFS([1]فروردین!$AD$2:$AD$366,[1]فروردین!$N$2:$N$366,$C$16,[1]فروردین!$D$2:$D$366,$F$18,[1]فروردین!$AA$2:$AA$366,O3)</f>
        <v>0</v>
      </c>
      <c r="P18" s="172">
        <f>SUMIFS([1]فروردین!$AD$2:$AD$366,[1]فروردین!$N$2:$N$366,$C$16,[1]فروردین!$D$2:$D$366,$F$18,[1]فروردین!$AA$2:$AA$366,P3)</f>
        <v>0</v>
      </c>
      <c r="Q18" s="172">
        <f>SUMIFS([1]فروردین!$AD$2:$AD$366,[1]فروردین!$N$2:$N$366,$C$16,[1]فروردین!$D$2:$D$366,$F$18,[1]فروردین!$AA$2:$AA$366,Q3)</f>
        <v>0</v>
      </c>
      <c r="R18" s="172">
        <f>SUMIFS([1]اردیبهشت!$AD$2:$AD$366,[1]اردیبهشت!$N$2:$N$366,$C$16,[1]اردیبهشت!$D$2:$D$366,$F$17,[1]اردیبهشت!$AA$2:$AA$366,R4)</f>
        <v>0</v>
      </c>
      <c r="S18" s="172">
        <f>SUMIFS([1]اردیبهشت!$AD$2:$AD$366,[1]اردیبهشت!$N$2:$N$366,$C$16,[1]اردیبهشت!$D$2:$D$366,$F$17,[1]اردیبهشت!$AA$2:$AA$366,S4)</f>
        <v>0</v>
      </c>
      <c r="T18" s="172">
        <f>SUMIFS([1]اردیبهشت!$AD$2:$AD$366,[1]اردیبهشت!$N$2:$N$366,$C$16,[1]اردیبهشت!$D$2:$D$366,$F$17,[1]اردیبهشت!$AA$2:$AA$366,T4)</f>
        <v>0</v>
      </c>
      <c r="U18" s="109">
        <f>SUMIFS([1]اردیبهشت!$AD$2:$AD$366,[1]اردیبهشت!$N$2:$N$366,$C$16,[1]اردیبهشت!$D$2:$D$366,$F$17,[1]اردیبهشت!$AA$2:$AA$366,U4)</f>
        <v>0</v>
      </c>
    </row>
    <row r="19" spans="1:21" ht="36" customHeight="1" thickBot="1" x14ac:dyDescent="0.3">
      <c r="A19" s="147">
        <v>10</v>
      </c>
      <c r="B19" s="143" t="s">
        <v>21</v>
      </c>
      <c r="C19" s="269">
        <v>7303</v>
      </c>
      <c r="D19" s="269">
        <v>44</v>
      </c>
      <c r="E19" s="269" t="s">
        <v>19</v>
      </c>
      <c r="F19" s="144" t="s">
        <v>23</v>
      </c>
      <c r="G19" s="4">
        <f t="shared" si="0"/>
        <v>0</v>
      </c>
      <c r="H19" s="286">
        <f t="shared" si="1"/>
        <v>0</v>
      </c>
      <c r="I19" s="89">
        <v>14.5</v>
      </c>
      <c r="J19" s="89">
        <v>0</v>
      </c>
      <c r="K19" s="89">
        <v>0</v>
      </c>
      <c r="L19" s="89">
        <v>0</v>
      </c>
      <c r="M19" s="89">
        <f>SUM(G19:L19)-44</f>
        <v>-29.5</v>
      </c>
      <c r="N19" s="305" t="s">
        <v>29</v>
      </c>
      <c r="O19" s="272">
        <f>SUMIFS([1]فروردین!$AD$2:$AD$366,[1]فروردین!$N$2:$N$366,$C$19,[1]فروردین!$D$2:$D$366,$F$19,[1]فروردین!$AA$2:$AA$366,O3)</f>
        <v>0</v>
      </c>
      <c r="P19" s="273">
        <f>SUMIFS([1]فروردین!$AD$2:$AD$366,[1]فروردین!$N$2:$N$366,$C$19,[1]فروردین!$D$2:$D$366,$F$19,[1]فروردین!$AA$2:$AA$366,P3)</f>
        <v>0</v>
      </c>
      <c r="Q19" s="273">
        <f>SUMIFS([1]فروردین!$AD$2:$AD$366,[1]فروردین!$N$2:$N$366,$C$19,[1]فروردین!$D$2:$D$366,$F$19,[1]فروردین!$AA$2:$AA$366,Q3)</f>
        <v>0</v>
      </c>
      <c r="R19" s="273">
        <f>SUMIFS([1]اردیبهشت!$AD$2:$AD$366,[1]اردیبهشت!$N$2:$N$366,$C$19,[1]اردیبهشت!$D$2:$D$366,$F$19,[1]اردیبهشت!$AA$2:$AA$366,R3)</f>
        <v>0</v>
      </c>
      <c r="S19" s="273">
        <f>SUMIFS([1]اردیبهشت!$AD$2:$AD$366,[1]اردیبهشت!$N$2:$N$366,$C$19,[1]اردیبهشت!$D$2:$D$366,$F$19,[1]اردیبهشت!$AA$2:$AA$366,S3)</f>
        <v>0</v>
      </c>
      <c r="T19" s="273">
        <f>SUMIFS([1]اردیبهشت!$AD$2:$AD$366,[1]اردیبهشت!$N$2:$N$366,$C$19,[1]اردیبهشت!$D$2:$D$366,$F$19,[1]اردیبهشت!$AA$2:$AA$366,T3)</f>
        <v>0</v>
      </c>
      <c r="U19" s="277">
        <f>SUMIFS([1]اردیبهشت!$AD$2:$AD$366,[1]اردیبهشت!$N$2:$N$366,$C$19,[1]اردیبهشت!$D$2:$D$366,$F$19,[1]اردیبهشت!$AA$2:$AA$366,U3)</f>
        <v>0</v>
      </c>
    </row>
    <row r="20" spans="1:21" ht="31.5" customHeight="1" x14ac:dyDescent="0.25">
      <c r="A20" s="229"/>
      <c r="B20" s="974" t="s">
        <v>24</v>
      </c>
      <c r="C20" s="932">
        <v>7401</v>
      </c>
      <c r="D20" s="932">
        <v>62.5</v>
      </c>
      <c r="E20" s="932" t="s">
        <v>15</v>
      </c>
      <c r="F20" s="20"/>
      <c r="G20" s="9">
        <f t="shared" si="0"/>
        <v>0</v>
      </c>
      <c r="H20" s="46">
        <f t="shared" si="1"/>
        <v>0</v>
      </c>
      <c r="I20" s="9">
        <v>0</v>
      </c>
      <c r="J20" s="9">
        <v>0</v>
      </c>
      <c r="K20" s="9">
        <v>0</v>
      </c>
      <c r="L20" s="59">
        <v>0</v>
      </c>
      <c r="M20" s="21"/>
      <c r="N20" s="994" t="s">
        <v>53</v>
      </c>
      <c r="O20" s="165">
        <f>SUMIFS([1]فروردین!$AD$2:$AD$366,[1]فروردین!$N$2:$N$366,$C$20,[1]فروردین!$D$2:$D$366,$F$20,[1]فروردین!$AA$2:$AA$366,O3)</f>
        <v>0</v>
      </c>
      <c r="P20" s="169">
        <f>SUMIFS([1]فروردین!$AD$2:$AD$366,[1]فروردین!$N$2:$N$366,$C$20,[1]فروردین!$D$2:$D$366,$F$20,[1]فروردین!$AA$2:$AA$366,P3)</f>
        <v>0</v>
      </c>
      <c r="Q20" s="169">
        <f>SUMIFS([1]فروردین!$AD$2:$AD$366,[1]فروردین!$N$2:$N$366,$C$20,[1]فروردین!$D$2:$D$366,$F$20,[1]فروردین!$AA$2:$AA$366,Q3)</f>
        <v>0</v>
      </c>
      <c r="R20" s="169">
        <f>SUMIFS([1]اردیبهشت!$AD$2:$AD$366,[1]اردیبهشت!$N$2:$N$366,$C$20,[1]اردیبهشت!$D$2:$D$366,$F$20,[1]اردیبهشت!$AA$2:$AA$366,R3)</f>
        <v>0</v>
      </c>
      <c r="S20" s="169">
        <f>SUMIFS([1]اردیبهشت!$AD$2:$AD$366,[1]اردیبهشت!$N$2:$N$366,$C$20,[1]اردیبهشت!$D$2:$D$366,$F$20,[1]اردیبهشت!$AA$2:$AA$366,S3)</f>
        <v>0</v>
      </c>
      <c r="T20" s="169">
        <f>SUMIFS([1]اردیبهشت!$AD$2:$AD$366,[1]اردیبهشت!$N$2:$N$366,$C$20,[1]اردیبهشت!$D$2:$D$366,$F$20,[1]اردیبهشت!$AA$2:$AA$366,T3)</f>
        <v>0</v>
      </c>
      <c r="U20" s="107">
        <f>SUMIFS([1]اردیبهشت!$AD$2:$AD$366,[1]اردیبهشت!$N$2:$N$366,$C$20,[1]اردیبهشت!$D$2:$D$366,$F$20,[1]اردیبهشت!$AA$2:$AA$366,U3)</f>
        <v>0</v>
      </c>
    </row>
    <row r="21" spans="1:21" ht="31.5" customHeight="1" x14ac:dyDescent="0.25">
      <c r="A21" s="214">
        <v>11</v>
      </c>
      <c r="B21" s="975"/>
      <c r="C21" s="933"/>
      <c r="D21" s="933"/>
      <c r="E21" s="933"/>
      <c r="F21" s="27" t="s">
        <v>16</v>
      </c>
      <c r="G21" s="1">
        <f t="shared" si="0"/>
        <v>0</v>
      </c>
      <c r="H21" s="47">
        <f t="shared" si="1"/>
        <v>0</v>
      </c>
      <c r="I21" s="3">
        <v>0</v>
      </c>
      <c r="J21" s="3">
        <v>0</v>
      </c>
      <c r="K21" s="3">
        <v>0</v>
      </c>
      <c r="L21" s="205">
        <v>0</v>
      </c>
      <c r="M21" s="4">
        <f>SUM(G20:L22)-D20</f>
        <v>-62.5</v>
      </c>
      <c r="N21" s="995"/>
      <c r="O21" s="166">
        <f>SUMIFS([1]فروردین!$AD$2:$AD$366,[1]فروردین!$N$2:$N$366,$C$20,[1]فروردین!$D$2:$D$366,$F$21,[1]فروردین!$AA$2:$AA$366,O3)</f>
        <v>0</v>
      </c>
      <c r="P21" s="168">
        <f>SUMIFS([1]فروردین!$AD$2:$AD$366,[1]فروردین!$N$2:$N$366,$C$20,[1]فروردین!$D$2:$D$366,$F$21,[1]فروردین!$AA$2:$AA$366,P3)</f>
        <v>0</v>
      </c>
      <c r="Q21" s="168">
        <f>SUMIFS([1]فروردین!$AD$2:$AD$366,[1]فروردین!$N$2:$N$366,$C$20,[1]فروردین!$D$2:$D$366,$F$21,[1]فروردین!$AA$2:$AA$366,Q3)</f>
        <v>0</v>
      </c>
      <c r="R21" s="168">
        <f>SUMIFS([1]اردیبهشت!$AD$2:$AD$366,[1]اردیبهشت!$N$2:$N$366,$C$20,[1]اردیبهشت!$D$2:$D$366,$F$21,[1]اردیبهشت!$AA$2:$AA$366,R3)</f>
        <v>0</v>
      </c>
      <c r="S21" s="168">
        <f>SUMIFS([1]اردیبهشت!$AD$2:$AD$366,[1]اردیبهشت!$N$2:$N$366,$C$20,[1]اردیبهشت!$D$2:$D$366,$F$21,[1]اردیبهشت!$AA$2:$AA$366,S3)</f>
        <v>0</v>
      </c>
      <c r="T21" s="168">
        <f>SUMIFS([1]اردیبهشت!$AD$2:$AD$366,[1]اردیبهشت!$N$2:$N$366,$C$20,[1]اردیبهشت!$D$2:$D$366,$F$21,[1]اردیبهشت!$AA$2:$AA$366,T3)</f>
        <v>0</v>
      </c>
      <c r="U21" s="108">
        <f>SUMIFS([1]اردیبهشت!$AD$2:$AD$366,[1]اردیبهشت!$N$2:$N$366,$C$20,[1]اردیبهشت!$D$2:$D$366,$F$21,[1]اردیبهشت!$AA$2:$AA$366,U3)</f>
        <v>0</v>
      </c>
    </row>
    <row r="22" spans="1:21" ht="31.5" customHeight="1" thickBot="1" x14ac:dyDescent="0.3">
      <c r="A22" s="230"/>
      <c r="B22" s="976"/>
      <c r="C22" s="934"/>
      <c r="D22" s="934"/>
      <c r="E22" s="934"/>
      <c r="F22" s="5"/>
      <c r="G22" s="6">
        <f t="shared" si="0"/>
        <v>0</v>
      </c>
      <c r="H22" s="64">
        <f t="shared" si="1"/>
        <v>0</v>
      </c>
      <c r="I22" s="7">
        <v>0</v>
      </c>
      <c r="J22" s="7">
        <v>0</v>
      </c>
      <c r="K22" s="6">
        <v>0</v>
      </c>
      <c r="L22" s="319">
        <v>0</v>
      </c>
      <c r="M22" s="6"/>
      <c r="N22" s="996"/>
      <c r="O22" s="171">
        <f>SUMIFS([1]فروردین!$AD$2:$AD$366,[1]فروردین!$N$2:$N$366,$C$22,[1]فروردین!$D$2:$D$366,$F$22,[1]فروردین!$AA$2:$AA$366,O3)</f>
        <v>0</v>
      </c>
      <c r="P22" s="172">
        <f>SUMIFS([1]فروردین!$AD$2:$AD$366,[1]فروردین!$N$2:$N$366,$C$22,[1]فروردین!$D$2:$D$366,$F$22,[1]فروردین!$AA$2:$AA$366,P3)</f>
        <v>0</v>
      </c>
      <c r="Q22" s="172">
        <f>SUMIFS([1]فروردین!$AD$2:$AD$366,[1]فروردین!$N$2:$N$366,$C$22,[1]فروردین!$D$2:$D$366,$F$22,[1]فروردین!$AA$2:$AA$366,Q3)</f>
        <v>0</v>
      </c>
      <c r="R22" s="172">
        <f>SUMIFS([1]اردیبهشت!$AD$2:$AD$366,[1]اردیبهشت!$N$2:$N$366,$C$22,[1]اردیبهشت!$D$2:$D$366,$F$22,[1]اردیبهشت!$AA$2:$AA$366,R3)</f>
        <v>0</v>
      </c>
      <c r="S22" s="172">
        <f>SUMIFS([1]اردیبهشت!$AD$2:$AD$366,[1]اردیبهشت!$N$2:$N$366,$C$22,[1]اردیبهشت!$D$2:$D$366,$F$22,[1]اردیبهشت!$AA$2:$AA$366,S3)</f>
        <v>0</v>
      </c>
      <c r="T22" s="172">
        <f>SUMIFS([1]اردیبهشت!$AD$2:$AD$366,[1]اردیبهشت!$N$2:$N$366,$C$22,[1]اردیبهشت!$D$2:$D$366,$F$22,[1]اردیبهشت!$AA$2:$AA$366,T3)</f>
        <v>0</v>
      </c>
      <c r="U22" s="109">
        <f>SUMIFS([1]اردیبهشت!$AD$2:$AD$366,[1]اردیبهشت!$N$2:$N$366,$C$22,[1]اردیبهشت!$D$2:$D$366,$F$22,[1]اردیبهشت!$AA$2:$AA$366,U3)</f>
        <v>0</v>
      </c>
    </row>
    <row r="23" spans="1:21" ht="36" customHeight="1" x14ac:dyDescent="0.25">
      <c r="A23" s="229"/>
      <c r="B23" s="974" t="s">
        <v>25</v>
      </c>
      <c r="C23" s="932">
        <v>7501</v>
      </c>
      <c r="D23" s="932">
        <v>62.5</v>
      </c>
      <c r="E23" s="932" t="s">
        <v>19</v>
      </c>
      <c r="F23" s="20"/>
      <c r="G23" s="9">
        <f t="shared" si="0"/>
        <v>0</v>
      </c>
      <c r="H23" s="46">
        <f t="shared" si="1"/>
        <v>0</v>
      </c>
      <c r="I23" s="9">
        <v>0</v>
      </c>
      <c r="J23" s="9">
        <v>0</v>
      </c>
      <c r="K23" s="9">
        <v>0</v>
      </c>
      <c r="L23" s="9">
        <v>0</v>
      </c>
      <c r="M23" s="21"/>
      <c r="N23" s="931" t="s">
        <v>28</v>
      </c>
      <c r="O23" s="165">
        <f>SUMIFS([1]فروردین!$AD$2:$AD$366,[1]فروردین!$N$2:$N$366,$C$23,[1]فروردین!$D$2:$D$366,$F$23,[1]فروردین!$AA$2:$AA$366,O3)</f>
        <v>0</v>
      </c>
      <c r="P23" s="169">
        <f>SUMIFS([1]فروردین!$AD$2:$AD$366,[1]فروردین!$N$2:$N$366,$C$23,[1]فروردین!$D$2:$D$366,$F$23,[1]فروردین!$AA$2:$AA$366,P3)</f>
        <v>0</v>
      </c>
      <c r="Q23" s="169">
        <f>SUMIFS([1]فروردین!$AD$2:$AD$366,[1]فروردین!$N$2:$N$366,$C$23,[1]فروردین!$D$2:$D$366,$F$23,[1]فروردین!$AA$2:$AA$366,Q3)</f>
        <v>0</v>
      </c>
      <c r="R23" s="169">
        <f>SUMIFS([1]اردیبهشت!$AD$2:$AD$366,[1]اردیبهشت!$N$2:$N$366,$C$23,[1]اردیبهشت!$D$2:$D$366,$F$23,[1]اردیبهشت!$AA$2:$AA$366,R3)</f>
        <v>0</v>
      </c>
      <c r="S23" s="169">
        <f>SUMIFS([1]اردیبهشت!$AD$2:$AD$366,[1]اردیبهشت!$N$2:$N$366,$C$23,[1]اردیبهشت!$D$2:$D$366,$F$23,[1]اردیبهشت!$AA$2:$AA$366,S3)</f>
        <v>0</v>
      </c>
      <c r="T23" s="169">
        <f>SUMIFS([1]اردیبهشت!$AD$2:$AD$366,[1]اردیبهشت!$N$2:$N$366,$C$23,[1]اردیبهشت!$D$2:$D$366,$F$23,[1]اردیبهشت!$AA$2:$AA$366,T3)</f>
        <v>0</v>
      </c>
      <c r="U23" s="107">
        <f>SUMIFS([1]اردیبهشت!$AD$2:$AD$366,[1]اردیبهشت!$N$2:$N$366,$C$23,[1]اردیبهشت!$D$2:$D$366,$F$23,[1]اردیبهشت!$AA$2:$AA$366,U3)</f>
        <v>0</v>
      </c>
    </row>
    <row r="24" spans="1:21" ht="36" customHeight="1" x14ac:dyDescent="0.25">
      <c r="A24" s="214">
        <v>12</v>
      </c>
      <c r="B24" s="975"/>
      <c r="C24" s="933"/>
      <c r="D24" s="933"/>
      <c r="E24" s="933"/>
      <c r="F24" s="22" t="s">
        <v>36</v>
      </c>
      <c r="G24" s="1">
        <f t="shared" si="0"/>
        <v>0</v>
      </c>
      <c r="H24" s="47">
        <f t="shared" si="1"/>
        <v>0</v>
      </c>
      <c r="I24" s="3">
        <v>0</v>
      </c>
      <c r="J24" s="3">
        <v>0</v>
      </c>
      <c r="K24" s="3">
        <v>0</v>
      </c>
      <c r="L24" s="3">
        <v>0</v>
      </c>
      <c r="M24" s="4">
        <f>SUM(G23:L25)-D23</f>
        <v>-62.5</v>
      </c>
      <c r="N24" s="929"/>
      <c r="O24" s="166">
        <f>SUMIFS([1]فروردین!$AD$2:$AD$366,[1]فروردین!$N$2:$N$366,$C$23,[1]فروردین!$D$2:$D$366,$F$24,[1]فروردین!$AA$2:$AA$366,O3)</f>
        <v>0</v>
      </c>
      <c r="P24" s="168">
        <f>SUMIFS([1]فروردین!$AD$2:$AD$366,[1]فروردین!$N$2:$N$366,$C$23,[1]فروردین!$D$2:$D$366,$F$24,[1]فروردین!$AA$2:$AA$366,P3)</f>
        <v>0</v>
      </c>
      <c r="Q24" s="168">
        <f>SUMIFS([1]فروردین!$AD$2:$AD$366,[1]فروردین!$N$2:$N$366,$C$23,[1]فروردین!$D$2:$D$366,$F$24,[1]فروردین!$AA$2:$AA$366,Q3)</f>
        <v>0</v>
      </c>
      <c r="R24" s="168">
        <f>SUMIFS([1]اردیبهشت!$AD$2:$AD$366,[1]اردیبهشت!$N$2:$N$366,$C$23,[1]اردیبهشت!$D$2:$D$366,$F$24,[1]اردیبهشت!$AA$2:$AA$366,R3)</f>
        <v>0</v>
      </c>
      <c r="S24" s="168">
        <f>SUMIFS([1]اردیبهشت!$AD$2:$AD$366,[1]اردیبهشت!$N$2:$N$366,$C$23,[1]اردیبهشت!$D$2:$D$366,$F$24,[1]اردیبهشت!$AA$2:$AA$366,S3)</f>
        <v>0</v>
      </c>
      <c r="T24" s="168">
        <f>SUMIFS([1]اردیبهشت!$AD$2:$AD$366,[1]اردیبهشت!$N$2:$N$366,$C$23,[1]اردیبهشت!$D$2:$D$366,$F$24,[1]اردیبهشت!$AA$2:$AA$366,T3)</f>
        <v>0</v>
      </c>
      <c r="U24" s="108">
        <f>SUMIFS([1]اردیبهشت!$AD$2:$AD$366,[1]اردیبهشت!$N$2:$N$366,$C$23,[1]اردیبهشت!$D$2:$D$366,$F$24,[1]اردیبهشت!$AA$2:$AA$366,U3)</f>
        <v>0</v>
      </c>
    </row>
    <row r="25" spans="1:21" ht="36" customHeight="1" thickBot="1" x14ac:dyDescent="0.3">
      <c r="A25" s="230"/>
      <c r="B25" s="976"/>
      <c r="C25" s="934"/>
      <c r="D25" s="934"/>
      <c r="E25" s="934"/>
      <c r="F25" s="5"/>
      <c r="G25" s="6">
        <f t="shared" si="0"/>
        <v>0</v>
      </c>
      <c r="H25" s="64">
        <f t="shared" si="1"/>
        <v>0</v>
      </c>
      <c r="I25" s="7">
        <v>0</v>
      </c>
      <c r="J25" s="7">
        <v>0</v>
      </c>
      <c r="K25" s="6">
        <v>0</v>
      </c>
      <c r="L25" s="6">
        <v>0</v>
      </c>
      <c r="M25" s="6"/>
      <c r="N25" s="930"/>
      <c r="O25" s="171">
        <f>SUMIFS([1]فروردین!$AD$2:$AD$366,[1]فروردین!$N$2:$N$366,$C$23,[1]فروردین!$D$2:$D$366,$F$25,[1]فروردین!$AA$2:$AA$366,O3)</f>
        <v>0</v>
      </c>
      <c r="P25" s="172">
        <f>SUMIFS([1]فروردین!$AD$2:$AD$366,[1]فروردین!$N$2:$N$366,$C$23,[1]فروردین!$D$2:$D$366,$F$25,[1]فروردین!$AA$2:$AA$366,P3)</f>
        <v>0</v>
      </c>
      <c r="Q25" s="172">
        <f>SUMIFS([1]فروردین!$AD$2:$AD$366,[1]فروردین!$N$2:$N$366,$C$23,[1]فروردین!$D$2:$D$366,$F$25,[1]فروردین!$AA$2:$AA$366,Q3)</f>
        <v>0</v>
      </c>
      <c r="R25" s="172">
        <f>SUMIFS([1]اردیبهشت!$AD$2:$AD$366,[1]اردیبهشت!$N$2:$N$366,$C$23,[1]اردیبهشت!$D$2:$D$366,$F$25,[1]اردیبهشت!$AA$2:$AA$366,R3)</f>
        <v>0</v>
      </c>
      <c r="S25" s="172">
        <f>SUMIFS([1]اردیبهشت!$AD$2:$AD$366,[1]اردیبهشت!$N$2:$N$366,$C$23,[1]اردیبهشت!$D$2:$D$366,$F$25,[1]اردیبهشت!$AA$2:$AA$366,S3)</f>
        <v>0</v>
      </c>
      <c r="T25" s="172">
        <f>SUMIFS([1]اردیبهشت!$AD$2:$AD$366,[1]اردیبهشت!$N$2:$N$366,$C$23,[1]اردیبهشت!$D$2:$D$366,$F$25,[1]اردیبهشت!$AA$2:$AA$366,T3)</f>
        <v>0</v>
      </c>
      <c r="U25" s="109">
        <f>SUMIFS([1]اردیبهشت!$AD$2:$AD$366,[1]اردیبهشت!$N$2:$N$366,$C$23,[1]اردیبهشت!$D$2:$D$366,$F$25,[1]اردیبهشت!$AA$2:$AA$366,U3)</f>
        <v>0</v>
      </c>
    </row>
    <row r="26" spans="1:21" ht="36" customHeight="1" x14ac:dyDescent="0.25">
      <c r="A26" s="214"/>
      <c r="B26" s="224"/>
      <c r="C26" s="253"/>
      <c r="D26" s="253"/>
      <c r="E26" s="936" t="s">
        <v>50</v>
      </c>
      <c r="F26" s="27"/>
      <c r="G26" s="1">
        <f t="shared" si="0"/>
        <v>0</v>
      </c>
      <c r="H26" s="49">
        <f t="shared" si="1"/>
        <v>0</v>
      </c>
      <c r="I26" s="93">
        <v>0</v>
      </c>
      <c r="J26" s="93">
        <v>0</v>
      </c>
      <c r="K26" s="93">
        <v>0</v>
      </c>
      <c r="L26" s="93">
        <v>0</v>
      </c>
      <c r="M26" s="4"/>
      <c r="N26" s="988" t="s">
        <v>42</v>
      </c>
      <c r="O26" s="173">
        <f>SUMIFS([1]فروردین!$AD$2:$AD$366,[1]فروردین!$N$2:$N$366,$C$27,[1]فروردین!$D$2:$D$366,$F$26,[1]فروردین!$AA$2:$AA$366,O3)</f>
        <v>0</v>
      </c>
      <c r="P26" s="174">
        <f>SUMIFS([1]فروردین!$AD$2:$AD$366,[1]فروردین!$N$2:$N$366,$C$27,[1]فروردین!$D$2:$D$366,$F$26,[1]فروردین!$AA$2:$AA$366,P3)</f>
        <v>0</v>
      </c>
      <c r="Q26" s="174">
        <f>SUMIFS([1]فروردین!$AD$2:$AD$366,[1]فروردین!$N$2:$N$366,$C$27,[1]فروردین!$D$2:$D$366,$F$26,[1]فروردین!$AA$2:$AA$366,Q3)</f>
        <v>0</v>
      </c>
      <c r="R26" s="174">
        <f>SUMIFS([1]اردیبهشت!$AD$2:$AD$366,[1]اردیبهشت!$N$2:$N$366,$C$27,[1]اردیبهشت!$D$2:$D$366,$F$26,[1]اردیبهشت!$AA$2:$AA$366,R3)</f>
        <v>0</v>
      </c>
      <c r="S26" s="174">
        <f>SUMIFS([1]اردیبهشت!$AD$2:$AD$366,[1]اردیبهشت!$N$2:$N$366,$C$27,[1]اردیبهشت!$D$2:$D$366,$F$26,[1]اردیبهشت!$AA$2:$AA$366,S3)</f>
        <v>0</v>
      </c>
      <c r="T26" s="174">
        <f>SUMIFS([1]اردیبهشت!$AD$2:$AD$366,[1]اردیبهشت!$N$2:$N$366,$C$27,[1]اردیبهشت!$D$2:$D$366,$F$26,[1]اردیبهشت!$AA$2:$AA$366,T3)</f>
        <v>0</v>
      </c>
      <c r="U26" s="110">
        <f>SUMIFS([1]اردیبهشت!$AD$2:$AD$366,[1]اردیبهشت!$N$2:$N$366,$C$27,[1]اردیبهشت!$D$2:$D$366,$F$26,[1]اردیبهشت!$AA$2:$AA$366,U3)</f>
        <v>0</v>
      </c>
    </row>
    <row r="27" spans="1:21" ht="36" customHeight="1" x14ac:dyDescent="0.25">
      <c r="A27" s="214">
        <v>13</v>
      </c>
      <c r="B27" s="146" t="s">
        <v>25</v>
      </c>
      <c r="C27" s="95">
        <v>7502</v>
      </c>
      <c r="D27" s="246">
        <v>62.5</v>
      </c>
      <c r="E27" s="936"/>
      <c r="F27" s="22" t="s">
        <v>36</v>
      </c>
      <c r="G27" s="1">
        <f t="shared" si="0"/>
        <v>0</v>
      </c>
      <c r="H27" s="47">
        <f t="shared" si="1"/>
        <v>0</v>
      </c>
      <c r="I27" s="3">
        <v>0</v>
      </c>
      <c r="J27" s="3">
        <v>0</v>
      </c>
      <c r="K27" s="3">
        <v>0</v>
      </c>
      <c r="L27" s="3">
        <v>0</v>
      </c>
      <c r="M27" s="4">
        <f>SUM(G26:L28)-D27</f>
        <v>-62.5</v>
      </c>
      <c r="N27" s="929"/>
      <c r="O27" s="166">
        <f>SUMIFS([1]فروردین!$AD$2:$AD$366,[1]فروردین!$N$2:$N$366,$C$27,[1]فروردین!$D$2:$D$366,$F$27,[1]فروردین!$AA$2:$AA$366,O3)</f>
        <v>0</v>
      </c>
      <c r="P27" s="168">
        <f>SUMIFS([1]فروردین!$AD$2:$AD$366,[1]فروردین!$N$2:$N$366,$C$27,[1]فروردین!$D$2:$D$366,$F$27,[1]فروردین!$AA$2:$AA$366,P3)</f>
        <v>0</v>
      </c>
      <c r="Q27" s="168">
        <f>SUMIFS([1]فروردین!$AD$2:$AD$366,[1]فروردین!$N$2:$N$366,$C$27,[1]فروردین!$D$2:$D$366,$F$27,[1]فروردین!$AA$2:$AA$366,Q3)</f>
        <v>0</v>
      </c>
      <c r="R27" s="168">
        <f>SUMIFS([1]اردیبهشت!$AD$2:$AD$366,[1]اردیبهشت!$N$2:$N$366,$C$27,[1]اردیبهشت!$D$2:$D$366,$F$27,[1]اردیبهشت!$AA$2:$AA$366,R3)</f>
        <v>0</v>
      </c>
      <c r="S27" s="168">
        <f>SUMIFS([1]اردیبهشت!$AD$2:$AD$366,[1]اردیبهشت!$N$2:$N$366,$C$27,[1]اردیبهشت!$D$2:$D$366,$F$27,[1]اردیبهشت!$AA$2:$AA$366,S3)</f>
        <v>0</v>
      </c>
      <c r="T27" s="168">
        <f>SUMIFS([1]اردیبهشت!$AD$2:$AD$366,[1]اردیبهشت!$N$2:$N$366,$C$27,[1]اردیبهشت!$D$2:$D$366,$F$27,[1]اردیبهشت!$AA$2:$AA$366,T3)</f>
        <v>0</v>
      </c>
      <c r="U27" s="108">
        <f>SUMIFS([1]اردیبهشت!$AD$2:$AD$366,[1]اردیبهشت!$N$2:$N$366,$C$27,[1]اردیبهشت!$D$2:$D$366,$F$27,[1]اردیبهشت!$AA$2:$AA$366,U3)</f>
        <v>0</v>
      </c>
    </row>
    <row r="28" spans="1:21" ht="36" customHeight="1" thickBot="1" x14ac:dyDescent="0.3">
      <c r="A28" s="214"/>
      <c r="B28" s="254"/>
      <c r="C28" s="245"/>
      <c r="D28" s="245"/>
      <c r="E28" s="936"/>
      <c r="F28" s="24"/>
      <c r="G28" s="4">
        <f t="shared" si="0"/>
        <v>0</v>
      </c>
      <c r="H28" s="67">
        <f t="shared" si="1"/>
        <v>0</v>
      </c>
      <c r="I28" s="25">
        <v>0</v>
      </c>
      <c r="J28" s="25">
        <v>0</v>
      </c>
      <c r="K28" s="4">
        <v>0</v>
      </c>
      <c r="L28" s="4">
        <v>0</v>
      </c>
      <c r="M28" s="4"/>
      <c r="N28" s="929"/>
      <c r="O28" s="167">
        <f>SUMIFS([1]فروردین!$AD$2:$AD$366,[1]فروردین!$N$2:$N$366,$C$27,[1]فروردین!$D$2:$D$366,$F$28,[1]فروردین!$AA$2:$AA$366,O3)</f>
        <v>0</v>
      </c>
      <c r="P28" s="175">
        <f>SUMIFS([1]فروردین!$AD$2:$AD$366,[1]فروردین!$N$2:$N$366,$C$27,[1]فروردین!$D$2:$D$366,$F$28,[1]فروردین!$AA$2:$AA$366,P3)</f>
        <v>0</v>
      </c>
      <c r="Q28" s="175">
        <f>SUMIFS([1]فروردین!$AD$2:$AD$366,[1]فروردین!$N$2:$N$366,$C$27,[1]فروردین!$D$2:$D$366,$F$28,[1]فروردین!$AA$2:$AA$366,Q3)</f>
        <v>0</v>
      </c>
      <c r="R28" s="175">
        <f>SUMIFS([1]اردیبهشت!$AD$2:$AD$366,[1]اردیبهشت!$N$2:$N$366,$C$27,[1]اردیبهشت!$D$2:$D$366,$F$28,[1]اردیبهشت!$AA$2:$AA$366,R3)</f>
        <v>0</v>
      </c>
      <c r="S28" s="175">
        <f>SUMIFS([1]اردیبهشت!$AD$2:$AD$366,[1]اردیبهشت!$N$2:$N$366,$C$27,[1]اردیبهشت!$D$2:$D$366,$F$28,[1]اردیبهشت!$AA$2:$AA$366,S3)</f>
        <v>0</v>
      </c>
      <c r="T28" s="175">
        <f>SUMIFS([1]اردیبهشت!$AD$2:$AD$366,[1]اردیبهشت!$N$2:$N$366,$C$27,[1]اردیبهشت!$D$2:$D$366,$F$28,[1]اردیبهشت!$AA$2:$AA$366,T3)</f>
        <v>0</v>
      </c>
      <c r="U28" s="114">
        <f>SUMIFS([1]اردیبهشت!$AD$2:$AD$366,[1]اردیبهشت!$N$2:$N$366,$C$27,[1]اردیبهشت!$D$2:$D$366,$F$28,[1]اردیبهشت!$AA$2:$AA$366,U3)</f>
        <v>0</v>
      </c>
    </row>
    <row r="29" spans="1:21" ht="42" customHeight="1" x14ac:dyDescent="0.25">
      <c r="A29" s="989">
        <v>14</v>
      </c>
      <c r="B29" s="972" t="s">
        <v>26</v>
      </c>
      <c r="C29" s="935">
        <v>7601</v>
      </c>
      <c r="D29" s="935">
        <v>68</v>
      </c>
      <c r="E29" s="914" t="s">
        <v>15</v>
      </c>
      <c r="F29" s="84" t="s">
        <v>27</v>
      </c>
      <c r="G29" s="9">
        <f t="shared" si="0"/>
        <v>0</v>
      </c>
      <c r="H29" s="86">
        <f t="shared" si="1"/>
        <v>0</v>
      </c>
      <c r="I29" s="85">
        <v>2</v>
      </c>
      <c r="J29" s="85">
        <v>0</v>
      </c>
      <c r="K29" s="85">
        <v>0</v>
      </c>
      <c r="L29" s="85">
        <v>0</v>
      </c>
      <c r="M29" s="87">
        <f>(J29+J30+I30+I29+H29+H30+G30+G29+L29+K29)-D29</f>
        <v>-66</v>
      </c>
      <c r="N29" s="941" t="s">
        <v>29</v>
      </c>
      <c r="O29" s="187">
        <f>SUMIFS([1]فروردین!$AD$2:$AD$366,[1]فروردین!$N$2:$N$366,$C$29,[1]فروردین!$D$2:$D$366,$F$29,[1]فروردین!$AA$2:$AA$366,O3)</f>
        <v>0</v>
      </c>
      <c r="P29" s="188">
        <f>SUMIFS([1]فروردین!$AD$2:$AD$366,[1]فروردین!$N$2:$N$366,$C$29,[1]فروردین!$D$2:$D$366,$F$29,[1]فروردین!$AA$2:$AA$366,P3)</f>
        <v>0</v>
      </c>
      <c r="Q29" s="188">
        <f>SUMIFS([1]فروردین!$AD$2:$AD$366,[1]فروردین!$N$2:$N$366,$C$29,[1]فروردین!$D$2:$D$366,$F$29,[1]فروردین!$AA$2:$AA$366,Q3)</f>
        <v>0</v>
      </c>
      <c r="R29" s="188">
        <f>SUMIFS([1]اردیبهشت!$AD$2:$AD$366,[1]اردیبهشت!$N$2:$N$366,$C$29,[1]اردیبهشت!$D$2:$D$366,$F$29,[1]اردیبهشت!$AA$2:$AA$366,R3)</f>
        <v>0</v>
      </c>
      <c r="S29" s="188">
        <f>SUMIFS([1]اردیبهشت!$AD$2:$AD$366,[1]اردیبهشت!$N$2:$N$366,$C$29,[1]اردیبهشت!$D$2:$D$366,$F$29,[1]اردیبهشت!$AA$2:$AA$366,S3)</f>
        <v>0</v>
      </c>
      <c r="T29" s="188">
        <f>SUMIFS([1]اردیبهشت!$AD$2:$AD$366,[1]اردیبهشت!$N$2:$N$366,$C$29,[1]اردیبهشت!$D$2:$D$366,$F$29,[1]اردیبهشت!$AA$2:$AA$366,T3)</f>
        <v>0</v>
      </c>
      <c r="U29" s="128">
        <f>SUMIFS([1]اردیبهشت!$AD$2:$AD$366,[1]اردیبهشت!$N$2:$N$366,$C$29,[1]اردیبهشت!$D$2:$D$366,$F$29,[1]اردیبهشت!$AA$2:$AA$366,U3)</f>
        <v>0</v>
      </c>
    </row>
    <row r="30" spans="1:21" ht="42" customHeight="1" thickBot="1" x14ac:dyDescent="0.3">
      <c r="A30" s="940"/>
      <c r="B30" s="973"/>
      <c r="C30" s="937"/>
      <c r="D30" s="937"/>
      <c r="E30" s="915"/>
      <c r="F30" s="124"/>
      <c r="G30" s="6">
        <f t="shared" si="0"/>
        <v>0</v>
      </c>
      <c r="H30" s="130">
        <f t="shared" si="1"/>
        <v>0</v>
      </c>
      <c r="I30" s="125">
        <v>0</v>
      </c>
      <c r="J30" s="125">
        <v>0</v>
      </c>
      <c r="K30" s="126">
        <v>0</v>
      </c>
      <c r="L30" s="126">
        <v>0</v>
      </c>
      <c r="M30" s="127"/>
      <c r="N30" s="917"/>
      <c r="O30" s="274">
        <f>SUMIFS([1]فروردین!$AD$2:$AD$366,[1]فروردین!$N$2:$N$366,$C$29,[1]فروردین!$D$2:$D$366,$F$30,[1]فروردین!$AA$2:$AA$366,O3)</f>
        <v>0</v>
      </c>
      <c r="P30" s="275">
        <f>SUMIFS([1]فروردین!$AD$2:$AD$366,[1]فروردین!$N$2:$N$366,$C$29,[1]فروردین!$D$2:$D$366,$F$30,[1]فروردین!$AA$2:$AA$366,P3)</f>
        <v>0</v>
      </c>
      <c r="Q30" s="275">
        <f>SUMIFS([1]فروردین!$AD$2:$AD$366,[1]فروردین!$N$2:$N$366,$C$29,[1]فروردین!$D$2:$D$366,$F$30,[1]فروردین!$AA$2:$AA$366,Q3)</f>
        <v>0</v>
      </c>
      <c r="R30" s="275">
        <f>SUMIFS([1]اردیبهشت!$AD$2:$AD$366,[1]اردیبهشت!$N$2:$N$366,$C$29,[1]اردیبهشت!$D$2:$D$366,$F$30,[1]اردیبهشت!$AA$2:$AA$366,R3)</f>
        <v>0</v>
      </c>
      <c r="S30" s="275">
        <f>SUMIFS([1]اردیبهشت!$AD$2:$AD$366,[1]اردیبهشت!$N$2:$N$366,$C$29,[1]اردیبهشت!$D$2:$D$366,$F$30,[1]اردیبهشت!$AA$2:$AA$366,S3)</f>
        <v>0</v>
      </c>
      <c r="T30" s="275">
        <f>SUMIFS([1]اردیبهشت!$AD$2:$AD$366,[1]اردیبهشت!$N$2:$N$366,$C$29,[1]اردیبهشت!$D$2:$D$366,$F$30,[1]اردیبهشت!$AA$2:$AA$366,T3)</f>
        <v>0</v>
      </c>
      <c r="U30" s="121">
        <f>SUMIFS([1]اردیبهشت!$AD$2:$AD$366,[1]اردیبهشت!$N$2:$N$366,$C$29,[1]اردیبهشت!$D$2:$D$366,$F$30,[1]اردیبهشت!$AA$2:$AA$366,U3)</f>
        <v>0</v>
      </c>
    </row>
    <row r="31" spans="1:21" ht="42" customHeight="1" x14ac:dyDescent="0.25">
      <c r="A31" s="912">
        <v>15</v>
      </c>
      <c r="B31" s="972" t="s">
        <v>26</v>
      </c>
      <c r="C31" s="935">
        <v>7602</v>
      </c>
      <c r="D31" s="935">
        <v>68</v>
      </c>
      <c r="E31" s="914" t="s">
        <v>15</v>
      </c>
      <c r="F31" s="84" t="s">
        <v>27</v>
      </c>
      <c r="G31" s="9">
        <f t="shared" si="0"/>
        <v>0</v>
      </c>
      <c r="H31" s="46">
        <f t="shared" si="1"/>
        <v>0</v>
      </c>
      <c r="I31" s="85">
        <v>2</v>
      </c>
      <c r="J31" s="85">
        <v>0</v>
      </c>
      <c r="K31" s="85">
        <v>0</v>
      </c>
      <c r="L31" s="85">
        <v>0</v>
      </c>
      <c r="M31" s="87">
        <f>(J31+J32+I32+I31+H31+H32+G32+G31)-D31</f>
        <v>-66</v>
      </c>
      <c r="N31" s="916" t="s">
        <v>29</v>
      </c>
      <c r="O31" s="165">
        <f>SUMIFS([1]فروردین!$AD$2:$AD$366,[1]فروردین!$N$2:$N$366,$C$31,[1]فروردین!$D$2:$D$366,$F$31,[1]فروردین!$AA$2:$AA$366,O3)</f>
        <v>0</v>
      </c>
      <c r="P31" s="169">
        <f>SUMIFS([1]فروردین!$AD$2:$AD$366,[1]فروردین!$N$2:$N$366,$C$31,[1]فروردین!$D$2:$D$366,$F$31,[1]فروردین!$AA$2:$AA$366,P3)</f>
        <v>0</v>
      </c>
      <c r="Q31" s="169">
        <f>SUMIFS([1]فروردین!$AD$2:$AD$366,[1]فروردین!$N$2:$N$366,$C$31,[1]فروردین!$D$2:$D$366,$F$31,[1]فروردین!$AA$2:$AA$366,Q3)</f>
        <v>0</v>
      </c>
      <c r="R31" s="169">
        <f>SUMIFS([1]اردیبهشت!$AD$2:$AD$366,[1]اردیبهشت!$N$2:$N$366,$C$31,[1]اردیبهشت!$D$2:$D$366,$F$31,[1]اردیبهشت!$AA$2:$AA$366,R3)</f>
        <v>0</v>
      </c>
      <c r="S31" s="169">
        <f>SUMIFS([1]اردیبهشت!$AD$2:$AD$366,[1]اردیبهشت!$N$2:$N$366,$C$31,[1]اردیبهشت!$D$2:$D$366,$F$31,[1]اردیبهشت!$AA$2:$AA$366,S3)</f>
        <v>0</v>
      </c>
      <c r="T31" s="169">
        <f>SUMIFS([1]اردیبهشت!$AD$2:$AD$366,[1]اردیبهشت!$N$2:$N$366,$C$31,[1]اردیبهشت!$D$2:$D$366,$F$31,[1]اردیبهشت!$AA$2:$AA$366,T3)</f>
        <v>0</v>
      </c>
      <c r="U31" s="107">
        <f>SUMIFS([1]اردیبهشت!$AD$2:$AD$366,[1]اردیبهشت!$N$2:$N$366,$C$31,[1]اردیبهشت!$D$2:$D$366,$F$31,[1]اردیبهشت!$AA$2:$AA$366,U3)</f>
        <v>0</v>
      </c>
    </row>
    <row r="32" spans="1:21" ht="42" customHeight="1" thickBot="1" x14ac:dyDescent="0.3">
      <c r="A32" s="913"/>
      <c r="B32" s="973"/>
      <c r="C32" s="937"/>
      <c r="D32" s="937"/>
      <c r="E32" s="915"/>
      <c r="F32" s="124"/>
      <c r="G32" s="6">
        <f t="shared" si="0"/>
        <v>0</v>
      </c>
      <c r="H32" s="64">
        <f t="shared" si="1"/>
        <v>0</v>
      </c>
      <c r="I32" s="125">
        <v>0</v>
      </c>
      <c r="J32" s="125">
        <v>0</v>
      </c>
      <c r="K32" s="126">
        <v>0</v>
      </c>
      <c r="L32" s="126">
        <v>0</v>
      </c>
      <c r="M32" s="127"/>
      <c r="N32" s="917"/>
      <c r="O32" s="171">
        <f>SUMIFS([1]فروردین!$AD$2:$AD$366,[1]فروردین!$N$2:$N$366,$C$31,[1]فروردین!$D$2:$D$366,$F$32,[1]فروردین!$AA$2:$AA$366,O3)</f>
        <v>0</v>
      </c>
      <c r="P32" s="172">
        <f>SUMIFS([1]فروردین!$AD$2:$AD$366,[1]فروردین!$N$2:$N$366,$C$31,[1]فروردین!$D$2:$D$366,$F$32,[1]فروردین!$AA$2:$AA$366,P3)</f>
        <v>0</v>
      </c>
      <c r="Q32" s="172">
        <f>SUMIFS([1]فروردین!$AD$2:$AD$366,[1]فروردین!$N$2:$N$366,$C$31,[1]فروردین!$D$2:$D$366,$F$32,[1]فروردین!$AA$2:$AA$366,Q3)</f>
        <v>0</v>
      </c>
      <c r="R32" s="172">
        <f>SUMIFS([1]اردیبهشت!$AD$2:$AD$366,[1]اردیبهشت!$N$2:$N$366,$C$31,[1]اردیبهشت!$D$2:$D$366,$F$32,[1]اردیبهشت!$AA$2:$AA$366,R3)</f>
        <v>0</v>
      </c>
      <c r="S32" s="172">
        <f>SUMIFS([1]اردیبهشت!$AD$2:$AD$366,[1]اردیبهشت!$N$2:$N$366,$C$31,[1]اردیبهشت!$D$2:$D$366,$F$32,[1]اردیبهشت!$AA$2:$AA$366,S3)</f>
        <v>0</v>
      </c>
      <c r="T32" s="172">
        <f>SUMIFS([1]اردیبهشت!$AD$2:$AD$366,[1]اردیبهشت!$N$2:$N$366,$C$31,[1]اردیبهشت!$D$2:$D$366,$F$32,[1]اردیبهشت!$AA$2:$AA$366,T3)</f>
        <v>0</v>
      </c>
      <c r="U32" s="109">
        <f>SUMIFS([1]اردیبهشت!$AD$2:$AD$366,[1]اردیبهشت!$N$2:$N$366,$C$31,[1]اردیبهشت!$D$2:$D$366,$F$32,[1]اردیبهشت!$AA$2:$AA$366,U3)</f>
        <v>0</v>
      </c>
    </row>
    <row r="33" spans="1:21" ht="36" customHeight="1" x14ac:dyDescent="0.25">
      <c r="A33" s="912">
        <v>16</v>
      </c>
      <c r="B33" s="974" t="s">
        <v>26</v>
      </c>
      <c r="C33" s="932">
        <v>7603</v>
      </c>
      <c r="D33" s="932">
        <v>68</v>
      </c>
      <c r="E33" s="943" t="s">
        <v>15</v>
      </c>
      <c r="F33" s="84" t="s">
        <v>27</v>
      </c>
      <c r="G33" s="9">
        <f t="shared" si="0"/>
        <v>0</v>
      </c>
      <c r="H33" s="46">
        <f t="shared" si="1"/>
        <v>0</v>
      </c>
      <c r="I33" s="9">
        <v>0</v>
      </c>
      <c r="J33" s="9">
        <v>0</v>
      </c>
      <c r="K33" s="9">
        <v>0</v>
      </c>
      <c r="L33" s="9">
        <v>0</v>
      </c>
      <c r="M33" s="23">
        <f>(J33+J34+I34+I33+H33+H34+G34+G33+L33+L34)-D33</f>
        <v>-68</v>
      </c>
      <c r="N33" s="945" t="s">
        <v>29</v>
      </c>
      <c r="O33" s="165">
        <f>SUMIFS([1]فروردین!$AD$2:$AD$366,[1]فروردین!$N$2:$N$366,$C$33,[1]فروردین!$D$2:$D$366,$F$33,[1]فروردین!$AA$2:$AA$366,O3)</f>
        <v>0</v>
      </c>
      <c r="P33" s="169">
        <f>SUMIFS([1]فروردین!$AD$2:$AD$366,[1]فروردین!$N$2:$N$366,$C$33,[1]فروردین!$D$2:$D$366,$F$33,[1]فروردین!$AA$2:$AA$366,P3)</f>
        <v>0</v>
      </c>
      <c r="Q33" s="169">
        <f>SUMIFS([1]فروردین!$AD$2:$AD$366,[1]فروردین!$N$2:$N$366,$C$33,[1]فروردین!$D$2:$D$366,$F$33,[1]فروردین!$AA$2:$AA$366,Q3)</f>
        <v>0</v>
      </c>
      <c r="R33" s="169">
        <f>SUMIFS([1]اردیبهشت!$AD$2:$AD$366,[1]اردیبهشت!$N$2:$N$366,$C$33,[1]اردیبهشت!$D$2:$D$366,$F$33,[1]اردیبهشت!$AA$2:$AA$366,R3)</f>
        <v>0</v>
      </c>
      <c r="S33" s="169">
        <f>SUMIFS([1]اردیبهشت!$AD$2:$AD$366,[1]اردیبهشت!$N$2:$N$366,$C$33,[1]اردیبهشت!$D$2:$D$366,$F$33,[1]اردیبهشت!$AA$2:$AA$366,S3)</f>
        <v>0</v>
      </c>
      <c r="T33" s="169">
        <f>SUMIFS([1]اردیبهشت!$AD$2:$AD$366,[1]اردیبهشت!$N$2:$N$366,$C$33,[1]اردیبهشت!$D$2:$D$366,$F$33,[1]اردیبهشت!$AA$2:$AA$366,T3)</f>
        <v>0</v>
      </c>
      <c r="U33" s="107">
        <f>SUMIFS([1]اردیبهشت!$AD$2:$AD$366,[1]اردیبهشت!$N$2:$N$366,$C$33,[1]اردیبهشت!$D$2:$D$366,$F$33,[1]اردیبهشت!$AA$2:$AA$366,U3)</f>
        <v>0</v>
      </c>
    </row>
    <row r="34" spans="1:21" ht="36" customHeight="1" thickBot="1" x14ac:dyDescent="0.3">
      <c r="A34" s="913"/>
      <c r="B34" s="976"/>
      <c r="C34" s="934"/>
      <c r="D34" s="934"/>
      <c r="E34" s="944"/>
      <c r="F34" s="5"/>
      <c r="G34" s="6">
        <f t="shared" si="0"/>
        <v>0</v>
      </c>
      <c r="H34" s="64">
        <f t="shared" si="1"/>
        <v>0</v>
      </c>
      <c r="I34" s="7">
        <v>0</v>
      </c>
      <c r="J34" s="7">
        <v>0</v>
      </c>
      <c r="K34" s="6">
        <v>0</v>
      </c>
      <c r="L34" s="6">
        <v>0</v>
      </c>
      <c r="M34" s="8"/>
      <c r="N34" s="946"/>
      <c r="O34" s="171">
        <f>SUMIFS([1]فروردین!$AD$2:$AD$366,[1]فروردین!$N$2:$N$366,$C$33,[1]فروردین!$D$2:$D$366,$F$34,[1]فروردین!$AA$2:$AA$366,O3)</f>
        <v>0</v>
      </c>
      <c r="P34" s="172">
        <f>SUMIFS([1]فروردین!$AD$2:$AD$366,[1]فروردین!$N$2:$N$366,$C$33,[1]فروردین!$D$2:$D$366,$F$34,[1]فروردین!$AA$2:$AA$366,P3)</f>
        <v>0</v>
      </c>
      <c r="Q34" s="172">
        <f>SUMIFS([1]فروردین!$AD$2:$AD$366,[1]فروردین!$N$2:$N$366,$C$33,[1]فروردین!$D$2:$D$366,$F$34,[1]فروردین!$AA$2:$AA$366,Q3)</f>
        <v>0</v>
      </c>
      <c r="R34" s="172">
        <f>SUMIFS([1]اردیبهشت!$AD$2:$AD$366,[1]اردیبهشت!$N$2:$N$366,$C$33,[1]اردیبهشت!$D$2:$D$366,$F$34,[1]اردیبهشت!$AA$2:$AA$366,R3)</f>
        <v>0</v>
      </c>
      <c r="S34" s="172">
        <f>SUMIFS([1]اردیبهشت!$AD$2:$AD$366,[1]اردیبهشت!$N$2:$N$366,$C$33,[1]اردیبهشت!$D$2:$D$366,$F$34,[1]اردیبهشت!$AA$2:$AA$366,S3)</f>
        <v>0</v>
      </c>
      <c r="T34" s="172">
        <f>SUMIFS([1]اردیبهشت!$AD$2:$AD$366,[1]اردیبهشت!$N$2:$N$366,$C$33,[1]اردیبهشت!$D$2:$D$366,$F$34,[1]اردیبهشت!$AA$2:$AA$366,T3)</f>
        <v>0</v>
      </c>
      <c r="U34" s="109">
        <f>SUMIFS([1]اردیبهشت!$AD$2:$AD$366,[1]اردیبهشت!$N$2:$N$366,$C$33,[1]اردیبهشت!$D$2:$D$366,$F$34,[1]اردیبهشت!$AA$2:$AA$366,U3)</f>
        <v>0</v>
      </c>
    </row>
    <row r="35" spans="1:21" ht="36" customHeight="1" x14ac:dyDescent="0.25">
      <c r="A35" s="912">
        <v>17</v>
      </c>
      <c r="B35" s="980" t="s">
        <v>26</v>
      </c>
      <c r="C35" s="982">
        <v>7604</v>
      </c>
      <c r="D35" s="982">
        <v>68</v>
      </c>
      <c r="E35" s="977" t="s">
        <v>19</v>
      </c>
      <c r="F35" s="76"/>
      <c r="G35" s="9">
        <f t="shared" si="0"/>
        <v>0</v>
      </c>
      <c r="H35" s="46">
        <f t="shared" si="1"/>
        <v>0</v>
      </c>
      <c r="I35" s="77">
        <v>0</v>
      </c>
      <c r="J35" s="77">
        <v>68</v>
      </c>
      <c r="K35" s="77">
        <v>0</v>
      </c>
      <c r="L35" s="77">
        <v>0</v>
      </c>
      <c r="M35" s="23">
        <f>(J35+J36+I35+I36+H36+H35+G35+G36)-D35</f>
        <v>0</v>
      </c>
      <c r="N35" s="979" t="s">
        <v>28</v>
      </c>
      <c r="O35" s="192"/>
      <c r="P35" s="193"/>
      <c r="Q35" s="193"/>
      <c r="R35" s="193"/>
      <c r="S35" s="193"/>
      <c r="T35" s="193"/>
      <c r="U35" s="155"/>
    </row>
    <row r="36" spans="1:21" ht="36" customHeight="1" thickBot="1" x14ac:dyDescent="0.3">
      <c r="A36" s="913"/>
      <c r="B36" s="981"/>
      <c r="C36" s="983"/>
      <c r="D36" s="983"/>
      <c r="E36" s="978"/>
      <c r="F36" s="5"/>
      <c r="G36" s="6">
        <f t="shared" si="0"/>
        <v>0</v>
      </c>
      <c r="H36" s="64">
        <f t="shared" si="1"/>
        <v>0</v>
      </c>
      <c r="I36" s="7">
        <v>0</v>
      </c>
      <c r="J36" s="7">
        <v>0</v>
      </c>
      <c r="K36" s="6">
        <v>0</v>
      </c>
      <c r="L36" s="6">
        <v>0</v>
      </c>
      <c r="M36" s="26"/>
      <c r="N36" s="946"/>
      <c r="O36" s="287"/>
      <c r="P36" s="282"/>
      <c r="Q36" s="282"/>
      <c r="R36" s="282"/>
      <c r="S36" s="282"/>
      <c r="T36" s="282"/>
      <c r="U36" s="157"/>
    </row>
    <row r="37" spans="1:21" ht="36" customHeight="1" x14ac:dyDescent="0.25">
      <c r="A37" s="912">
        <v>18</v>
      </c>
      <c r="B37" s="972" t="s">
        <v>26</v>
      </c>
      <c r="C37" s="935">
        <v>7605</v>
      </c>
      <c r="D37" s="935">
        <v>68</v>
      </c>
      <c r="E37" s="914" t="s">
        <v>15</v>
      </c>
      <c r="F37" s="84" t="s">
        <v>27</v>
      </c>
      <c r="G37" s="9">
        <f t="shared" si="0"/>
        <v>0</v>
      </c>
      <c r="H37" s="86">
        <f t="shared" si="1"/>
        <v>0</v>
      </c>
      <c r="I37" s="85">
        <v>0</v>
      </c>
      <c r="J37" s="85">
        <v>0</v>
      </c>
      <c r="K37" s="85">
        <v>0</v>
      </c>
      <c r="L37" s="153">
        <v>0</v>
      </c>
      <c r="M37" s="87">
        <f>(G37+H37+I37+J37+K37+L37)-D37</f>
        <v>-68</v>
      </c>
      <c r="N37" s="955"/>
      <c r="O37" s="187">
        <f>SUMIFS([1]فروردین!$AD$2:$AD$366,[1]فروردین!$N$2:$N$366,$C$37,[1]فروردین!$D$2:$D$366,$F$37,[1]فروردین!$AA$2:$AA$366,O3)</f>
        <v>0</v>
      </c>
      <c r="P37" s="188">
        <f>SUMIFS([1]فروردین!$AD$2:$AD$366,[1]فروردین!$N$2:$N$366,$C$37,[1]فروردین!$D$2:$D$366,$F$37,[1]فروردین!$AA$2:$AA$366,P3)</f>
        <v>0</v>
      </c>
      <c r="Q37" s="188">
        <f>SUMIFS([1]فروردین!$AD$2:$AD$366,[1]فروردین!$N$2:$N$366,$C$37,[1]فروردین!$D$2:$D$366,$F$37,[1]فروردین!$AA$2:$AA$366,Q3)</f>
        <v>0</v>
      </c>
      <c r="R37" s="188">
        <f>SUMIFS([1]اردیبهشت!$AD$2:$AD$366,[1]اردیبهشت!$N$2:$N$366,$C$37,[1]اردیبهشت!$D$2:$D$366,$F$37,[1]اردیبهشت!$AA$2:$AA$366,R3)</f>
        <v>0</v>
      </c>
      <c r="S37" s="188">
        <f>SUMIFS([1]اردیبهشت!$AD$2:$AD$366,[1]اردیبهشت!$N$2:$N$366,$C$37,[1]اردیبهشت!$D$2:$D$366,$F$37,[1]اردیبهشت!$AA$2:$AA$366,S3)</f>
        <v>0</v>
      </c>
      <c r="T37" s="188">
        <f>SUMIFS([1]اردیبهشت!$AD$2:$AD$366,[1]اردیبهشت!$N$2:$N$366,$C$37,[1]اردیبهشت!$D$2:$D$366,$F$37,[1]اردیبهشت!$AA$2:$AA$366,T3)</f>
        <v>0</v>
      </c>
      <c r="U37" s="128">
        <f>SUMIFS([1]اردیبهشت!$AD$2:$AD$366,[1]اردیبهشت!$N$2:$N$366,$C$37,[1]اردیبهشت!$D$2:$D$366,$F$37,[1]اردیبهشت!$AA$2:$AA$366,U3)</f>
        <v>0</v>
      </c>
    </row>
    <row r="38" spans="1:21" ht="36" customHeight="1" thickBot="1" x14ac:dyDescent="0.3">
      <c r="A38" s="913"/>
      <c r="B38" s="973"/>
      <c r="C38" s="937"/>
      <c r="D38" s="937"/>
      <c r="E38" s="915"/>
      <c r="F38" s="124"/>
      <c r="G38" s="6">
        <f t="shared" si="0"/>
        <v>0</v>
      </c>
      <c r="H38" s="130">
        <f t="shared" si="1"/>
        <v>0</v>
      </c>
      <c r="I38" s="125">
        <v>0</v>
      </c>
      <c r="J38" s="125">
        <v>0</v>
      </c>
      <c r="K38" s="126">
        <v>0</v>
      </c>
      <c r="L38" s="126">
        <v>0</v>
      </c>
      <c r="M38" s="154"/>
      <c r="N38" s="917"/>
      <c r="O38" s="274">
        <f>SUMIFS([1]فروردین!$AD$2:$AD$366,[1]فروردین!$N$2:$N$366,$C$37,[1]فروردین!$D$2:$D$366,$F$38,[1]فروردین!$AA$2:$AA$366,O3)</f>
        <v>0</v>
      </c>
      <c r="P38" s="275">
        <f>SUMIFS([1]فروردین!$AD$2:$AD$366,[1]فروردین!$N$2:$N$366,$C$37,[1]فروردین!$D$2:$D$366,$F$38,[1]فروردین!$AA$2:$AA$366,P3)</f>
        <v>0</v>
      </c>
      <c r="Q38" s="275">
        <f>SUMIFS([1]فروردین!$AD$2:$AD$366,[1]فروردین!$N$2:$N$366,$C$37,[1]فروردین!$D$2:$D$366,$F$38,[1]فروردین!$AA$2:$AA$366,Q3)</f>
        <v>0</v>
      </c>
      <c r="R38" s="275">
        <f>SUMIFS([1]اردیبهشت!$AD$2:$AD$366,[1]اردیبهشت!$N$2:$N$366,$C$37,[1]اردیبهشت!$D$2:$D$366,$F$38,[1]اردیبهشت!$AA$2:$AA$366,R3)</f>
        <v>0</v>
      </c>
      <c r="S38" s="275">
        <f>SUMIFS([1]اردیبهشت!$AD$2:$AD$366,[1]اردیبهشت!$N$2:$N$366,$C$37,[1]اردیبهشت!$D$2:$D$366,$F$38,[1]اردیبهشت!$AA$2:$AA$366,S3)</f>
        <v>0</v>
      </c>
      <c r="T38" s="275">
        <f>SUMIFS([1]اردیبهشت!$AD$2:$AD$366,[1]اردیبهشت!$N$2:$N$366,$C$37,[1]اردیبهشت!$D$2:$D$366,$F$38,[1]اردیبهشت!$AA$2:$AA$366,T3)</f>
        <v>0</v>
      </c>
      <c r="U38" s="121">
        <f>SUMIFS([1]اردیبهشت!$AD$2:$AD$366,[1]اردیبهشت!$N$2:$N$366,$C$37,[1]اردیبهشت!$D$2:$D$366,$F$38,[1]اردیبهشت!$AA$2:$AA$366,U3)</f>
        <v>0</v>
      </c>
    </row>
    <row r="39" spans="1:21" ht="40.5" customHeight="1" x14ac:dyDescent="0.25">
      <c r="A39" s="229"/>
      <c r="B39" s="974" t="s">
        <v>30</v>
      </c>
      <c r="C39" s="932">
        <v>7701</v>
      </c>
      <c r="D39" s="932">
        <v>62.5</v>
      </c>
      <c r="E39" s="932" t="s">
        <v>15</v>
      </c>
      <c r="F39" s="20"/>
      <c r="G39" s="9">
        <f t="shared" si="0"/>
        <v>0</v>
      </c>
      <c r="H39" s="46">
        <f t="shared" si="1"/>
        <v>0</v>
      </c>
      <c r="I39" s="9">
        <v>0</v>
      </c>
      <c r="J39" s="9">
        <v>0</v>
      </c>
      <c r="K39" s="9">
        <v>0</v>
      </c>
      <c r="L39" s="9">
        <v>0</v>
      </c>
      <c r="M39" s="28"/>
      <c r="N39" s="945" t="s">
        <v>13</v>
      </c>
      <c r="O39" s="165">
        <f>SUMIFS([1]فروردین!$AD$2:$AD$366,[1]فروردین!$N$2:$N$366,$C$39,[1]فروردین!$D$2:$D$366,$F$39,[1]فروردین!$AA$2:$AA$366,O3)</f>
        <v>0</v>
      </c>
      <c r="P39" s="169">
        <f>SUMIFS([1]فروردین!$AD$2:$AD$366,[1]فروردین!$N$2:$N$366,$C$39,[1]فروردین!$D$2:$D$366,$F$39,[1]فروردین!$AA$2:$AA$366,P3)</f>
        <v>0</v>
      </c>
      <c r="Q39" s="169">
        <f>SUMIFS([1]فروردین!$AD$2:$AD$366,[1]فروردین!$N$2:$N$366,$C$39,[1]فروردین!$D$2:$D$366,$F$39,[1]فروردین!$AA$2:$AA$366,Q3)</f>
        <v>0</v>
      </c>
      <c r="R39" s="169">
        <f>SUMIFS([1]اردیبهشت!$AD$2:$AD$366,[1]اردیبهشت!$N$2:$N$366,$C$39,[1]اردیبهشت!$D$2:$D$366,$F$39,[1]اردیبهشت!$AA$2:$AA$366,R3)</f>
        <v>0</v>
      </c>
      <c r="S39" s="169">
        <f>SUMIFS([1]اردیبهشت!$AD$2:$AD$366,[1]اردیبهشت!$N$2:$N$366,$C$39,[1]اردیبهشت!$D$2:$D$366,$F$39,[1]اردیبهشت!$AA$2:$AA$366,S3)</f>
        <v>0</v>
      </c>
      <c r="T39" s="169">
        <f>SUMIFS([1]اردیبهشت!$AD$2:$AD$366,[1]اردیبهشت!$N$2:$N$366,$C$39,[1]اردیبهشت!$D$2:$D$366,$F$39,[1]اردیبهشت!$AA$2:$AA$366,T3)</f>
        <v>0</v>
      </c>
      <c r="U39" s="107">
        <f>SUMIFS([1]اردیبهشت!$AD$2:$AD$366,[1]اردیبهشت!$N$2:$N$366,$C$39,[1]اردیبهشت!$D$2:$D$366,$F$39,[1]اردیبهشت!$AA$2:$AA$366,U3)</f>
        <v>0</v>
      </c>
    </row>
    <row r="40" spans="1:21" ht="40.5" customHeight="1" x14ac:dyDescent="0.25">
      <c r="A40" s="214">
        <v>19</v>
      </c>
      <c r="B40" s="975"/>
      <c r="C40" s="933"/>
      <c r="D40" s="933"/>
      <c r="E40" s="933"/>
      <c r="F40" s="29"/>
      <c r="G40" s="1">
        <f t="shared" si="0"/>
        <v>0</v>
      </c>
      <c r="H40" s="47">
        <f t="shared" si="1"/>
        <v>0</v>
      </c>
      <c r="I40" s="3">
        <v>0</v>
      </c>
      <c r="J40" s="25">
        <v>0</v>
      </c>
      <c r="K40" s="25">
        <v>0</v>
      </c>
      <c r="L40" s="70">
        <v>0</v>
      </c>
      <c r="M40" s="4">
        <f>(J39+J40+J41+I41+I40+I39+H39+H40+H41+G41+G40+G39)-D39</f>
        <v>-62.5</v>
      </c>
      <c r="N40" s="956"/>
      <c r="O40" s="166">
        <f>SUMIFS([1]فروردین!$AD$2:$AD$366,[1]فروردین!$N$2:$N$366,$C$39,[1]فروردین!$D$2:$D$366,$F$40,[1]فروردین!$AA$2:$AA$366,O3)</f>
        <v>0</v>
      </c>
      <c r="P40" s="168">
        <f>SUMIFS([1]فروردین!$AD$2:$AD$366,[1]فروردین!$N$2:$N$366,$C$39,[1]فروردین!$D$2:$D$366,$F$40,[1]فروردین!$AA$2:$AA$366,P3)</f>
        <v>0</v>
      </c>
      <c r="Q40" s="168">
        <f>SUMIFS([1]فروردین!$AD$2:$AD$366,[1]فروردین!$N$2:$N$366,$C$39,[1]فروردین!$D$2:$D$366,$F$40,[1]فروردین!$AA$2:$AA$366,Q3)</f>
        <v>0</v>
      </c>
      <c r="R40" s="168">
        <f>SUMIFS([1]اردیبهشت!$AD$2:$AD$366,[1]اردیبهشت!$N$2:$N$366,$C$39,[1]اردیبهشت!$D$2:$D$366,$F$40,[1]اردیبهشت!$AA$2:$AA$366,R3)</f>
        <v>0</v>
      </c>
      <c r="S40" s="168">
        <f>SUMIFS([1]اردیبهشت!$AD$2:$AD$366,[1]اردیبهشت!$N$2:$N$366,$C$39,[1]اردیبهشت!$D$2:$D$366,$F$40,[1]اردیبهشت!$AA$2:$AA$366,S3)</f>
        <v>0</v>
      </c>
      <c r="T40" s="168">
        <f>SUMIFS([1]اردیبهشت!$AD$2:$AD$366,[1]اردیبهشت!$N$2:$N$366,$C$39,[1]اردیبهشت!$D$2:$D$366,$F$40,[1]اردیبهشت!$AA$2:$AA$366,T3)</f>
        <v>0</v>
      </c>
      <c r="U40" s="108">
        <f>SUMIFS([1]اردیبهشت!$AD$2:$AD$366,[1]اردیبهشت!$N$2:$N$366,$C$39,[1]اردیبهشت!$D$2:$D$366,$F$40,[1]اردیبهشت!$AA$2:$AA$366,U3)</f>
        <v>0</v>
      </c>
    </row>
    <row r="41" spans="1:21" ht="40.5" customHeight="1" thickBot="1" x14ac:dyDescent="0.3">
      <c r="A41" s="230"/>
      <c r="B41" s="976"/>
      <c r="C41" s="934"/>
      <c r="D41" s="934"/>
      <c r="E41" s="934"/>
      <c r="F41" s="30"/>
      <c r="G41" s="6">
        <f t="shared" si="0"/>
        <v>0</v>
      </c>
      <c r="H41" s="64">
        <f t="shared" si="1"/>
        <v>0</v>
      </c>
      <c r="I41" s="7">
        <v>0</v>
      </c>
      <c r="J41" s="7">
        <v>0</v>
      </c>
      <c r="K41" s="7">
        <v>0</v>
      </c>
      <c r="L41" s="7">
        <v>0</v>
      </c>
      <c r="M41" s="8"/>
      <c r="N41" s="946"/>
      <c r="O41" s="171">
        <f>SUMIFS([1]فروردین!$AD$2:$AD$366,[1]فروردین!$N$2:$N$366,$C$39,[1]فروردین!$D$2:$D$366,$F$41,[1]فروردین!$AA$2:$AA$366,O3)</f>
        <v>0</v>
      </c>
      <c r="P41" s="172">
        <f>SUMIFS([1]فروردین!$AD$2:$AD$366,[1]فروردین!$N$2:$N$366,$C$39,[1]فروردین!$D$2:$D$366,$F$41,[1]فروردین!$AA$2:$AA$366,P3)</f>
        <v>0</v>
      </c>
      <c r="Q41" s="172">
        <f>SUMIFS([1]فروردین!$AD$2:$AD$366,[1]فروردین!$N$2:$N$366,$C$39,[1]فروردین!$D$2:$D$366,$F$41,[1]فروردین!$AA$2:$AA$366,Q3)</f>
        <v>0</v>
      </c>
      <c r="R41" s="172">
        <f>SUMIFS([1]اردیبهشت!$AD$2:$AD$366,[1]اردیبهشت!$N$2:$N$366,$C$39,[1]اردیبهشت!$D$2:$D$366,$F$41,[1]اردیبهشت!$AA$2:$AA$366,R3)</f>
        <v>0</v>
      </c>
      <c r="S41" s="172">
        <f>SUMIFS([1]اردیبهشت!$AD$2:$AD$366,[1]اردیبهشت!$N$2:$N$366,$C$39,[1]اردیبهشت!$D$2:$D$366,$F$41,[1]اردیبهشت!$AA$2:$AA$366,S3)</f>
        <v>0</v>
      </c>
      <c r="T41" s="172">
        <f>SUMIFS([1]اردیبهشت!$AD$2:$AD$366,[1]اردیبهشت!$N$2:$N$366,$C$39,[1]اردیبهشت!$D$2:$D$366,$F$41,[1]اردیبهشت!$AA$2:$AA$366,T3)</f>
        <v>0</v>
      </c>
      <c r="U41" s="109">
        <f>SUMIFS([1]اردیبهشت!$AD$2:$AD$366,[1]اردیبهشت!$N$2:$N$366,$C$39,[1]اردیبهشت!$D$2:$D$366,$F$41,[1]اردیبهشت!$AA$2:$AA$366,U3)</f>
        <v>0</v>
      </c>
    </row>
    <row r="42" spans="1:21" ht="40.5" customHeight="1" thickBot="1" x14ac:dyDescent="0.3">
      <c r="A42" s="214">
        <v>20</v>
      </c>
      <c r="B42" s="216" t="s">
        <v>63</v>
      </c>
      <c r="C42" s="246">
        <v>8009</v>
      </c>
      <c r="D42" s="246">
        <v>62.5</v>
      </c>
      <c r="E42" s="246" t="s">
        <v>15</v>
      </c>
      <c r="F42" s="54"/>
      <c r="G42" s="4">
        <f t="shared" si="0"/>
        <v>0</v>
      </c>
      <c r="H42" s="67">
        <f t="shared" si="1"/>
        <v>0</v>
      </c>
      <c r="I42" s="4">
        <v>0</v>
      </c>
      <c r="J42" s="4">
        <v>0</v>
      </c>
      <c r="K42" s="4">
        <v>0</v>
      </c>
      <c r="L42" s="4">
        <v>0</v>
      </c>
      <c r="M42" s="4">
        <f>SUM(G42:J42)-62</f>
        <v>-62</v>
      </c>
      <c r="N42" s="264" t="s">
        <v>31</v>
      </c>
      <c r="O42" s="272">
        <f>SUMIFS([1]فروردین!$AD$2:$AD$366,[1]فروردین!$N$2:$N$366,$C$42,[1]فروردین!$D$2:$D$366,$F$42,[1]فروردین!$AA$2:$AA$366,O3)</f>
        <v>0</v>
      </c>
      <c r="P42" s="273">
        <f>SUMIFS([1]فروردین!$AD$2:$AD$366,[1]فروردین!$N$2:$N$366,$C$42,[1]فروردین!$D$2:$D$366,$F$42,[1]فروردین!$AA$2:$AA$366,P3)</f>
        <v>0</v>
      </c>
      <c r="Q42" s="273">
        <f>SUMIFS([1]فروردین!$AD$2:$AD$366,[1]فروردین!$N$2:$N$366,$C$42,[1]فروردین!$D$2:$D$366,$F$42,[1]فروردین!$AA$2:$AA$366,Q3)</f>
        <v>0</v>
      </c>
      <c r="R42" s="273">
        <f>SUMIFS([1]اردیبهشت!$AD$2:$AD$366,[1]اردیبهشت!$N$2:$N$366,$C$42,[1]اردیبهشت!$D$2:$D$366,$F$42,[1]اردیبهشت!$AA$2:$AA$366,R3)</f>
        <v>0</v>
      </c>
      <c r="S42" s="273">
        <f>SUMIFS([1]اردیبهشت!$AD$2:$AD$366,[1]اردیبهشت!$N$2:$N$366,$C$42,[1]اردیبهشت!$D$2:$D$366,$F$42,[1]اردیبهشت!$AA$2:$AA$366,S3)</f>
        <v>0</v>
      </c>
      <c r="T42" s="273">
        <f>SUMIFS([1]اردیبهشت!$AD$2:$AD$366,[1]اردیبهشت!$N$2:$N$366,$C$42,[1]اردیبهشت!$D$2:$D$366,$F$42,[1]اردیبهشت!$AA$2:$AA$366,T3)</f>
        <v>0</v>
      </c>
      <c r="U42" s="277">
        <f>SUMIFS([1]اردیبهشت!$AD$2:$AD$366,[1]اردیبهشت!$N$2:$N$366,$C$42,[1]اردیبهشت!$D$2:$D$366,$F$42,[1]اردیبهشت!$AA$2:$AA$366,U3)</f>
        <v>0</v>
      </c>
    </row>
    <row r="43" spans="1:21" ht="40.5" customHeight="1" thickBot="1" x14ac:dyDescent="0.3">
      <c r="A43" s="45">
        <v>21</v>
      </c>
      <c r="B43" s="12" t="s">
        <v>32</v>
      </c>
      <c r="C43" s="13">
        <v>8002</v>
      </c>
      <c r="D43" s="13">
        <v>44</v>
      </c>
      <c r="E43" s="13" t="s">
        <v>15</v>
      </c>
      <c r="F43" s="31" t="s">
        <v>23</v>
      </c>
      <c r="G43" s="14">
        <f t="shared" si="0"/>
        <v>0</v>
      </c>
      <c r="H43" s="48">
        <f t="shared" si="1"/>
        <v>0</v>
      </c>
      <c r="I43" s="14">
        <v>0</v>
      </c>
      <c r="J43" s="14">
        <v>0</v>
      </c>
      <c r="K43" s="14">
        <v>0</v>
      </c>
      <c r="L43" s="14">
        <v>0</v>
      </c>
      <c r="M43" s="14">
        <f>SUM(G43:L43)-(D43)</f>
        <v>-44</v>
      </c>
      <c r="N43" s="17" t="s">
        <v>29</v>
      </c>
      <c r="O43" s="181">
        <f>SUMIFS([1]فروردین!$AD$2:$AD$366,[1]فروردین!$N$2:$N$366,$C$43,[1]فروردین!$D$2:$D$366,$F$43,[1]فروردین!$AA$2:$AA$366,O3)</f>
        <v>0</v>
      </c>
      <c r="P43" s="182">
        <f>SUMIFS([1]فروردین!$AD$2:$AD$366,[1]فروردین!$N$2:$N$366,$C$43,[1]فروردین!$D$2:$D$366,$F$43,[1]فروردین!$AA$2:$AA$366,P3)</f>
        <v>0</v>
      </c>
      <c r="Q43" s="182">
        <f>SUMIFS([1]فروردین!$AD$2:$AD$366,[1]فروردین!$N$2:$N$366,$C$43,[1]فروردین!$D$2:$D$366,$F$43,[1]فروردین!$AA$2:$AA$366,Q3)</f>
        <v>0</v>
      </c>
      <c r="R43" s="276">
        <f>SUMIFS([1]اردیبهشت!$AD$2:$AD$366,[1]اردیبهشت!$N$2:$N$366,$C$43,[1]اردیبهشت!$D$2:$D$366,$F$43,[1]اردیبهشت!$AA$2:$AA$366,R3)</f>
        <v>0</v>
      </c>
      <c r="S43" s="276">
        <f>SUMIFS([1]اردیبهشت!$AD$2:$AD$366,[1]اردیبهشت!$N$2:$N$366,$C$43,[1]اردیبهشت!$D$2:$D$366,$F$43,[1]اردیبهشت!$AA$2:$AA$366,S3)</f>
        <v>0</v>
      </c>
      <c r="T43" s="276">
        <f>SUMIFS([1]اردیبهشت!$AD$2:$AD$366,[1]اردیبهشت!$N$2:$N$366,$C$43,[1]اردیبهشت!$D$2:$D$366,$F$43,[1]اردیبهشت!$AA$2:$AA$366,T3)</f>
        <v>0</v>
      </c>
      <c r="U43" s="288">
        <f>SUMIFS([1]اردیبهشت!$AD$2:$AD$366,[1]اردیبهشت!$N$2:$N$366,$C$43,[1]اردیبهشت!$D$2:$D$366,$F$43,[1]اردیبهشت!$AA$2:$AA$366,U3)</f>
        <v>0</v>
      </c>
    </row>
    <row r="44" spans="1:21" ht="36" customHeight="1" x14ac:dyDescent="0.25">
      <c r="A44" s="957">
        <v>22</v>
      </c>
      <c r="B44" s="961" t="s">
        <v>33</v>
      </c>
      <c r="C44" s="943" t="s">
        <v>33</v>
      </c>
      <c r="D44" s="932">
        <v>62.5</v>
      </c>
      <c r="E44" s="943"/>
      <c r="F44" s="32" t="s">
        <v>16</v>
      </c>
      <c r="G44" s="9">
        <f t="shared" si="0"/>
        <v>0</v>
      </c>
      <c r="H44" s="46">
        <f t="shared" si="1"/>
        <v>0</v>
      </c>
      <c r="I44" s="9">
        <v>0</v>
      </c>
      <c r="J44" s="9">
        <v>0</v>
      </c>
      <c r="K44" s="9">
        <v>0</v>
      </c>
      <c r="L44" s="9">
        <v>0</v>
      </c>
      <c r="M44" s="9">
        <f>(SUM(G44:L44))-D44</f>
        <v>-62.5</v>
      </c>
      <c r="N44" s="33" t="s">
        <v>29</v>
      </c>
      <c r="O44" s="165">
        <f>SUMIFS([1]فروردین!$AD$2:$AD$366,[1]فروردین!$N$2:$N$366,"مونتاژ",[1]فروردین!$D$2:$D$366,$F$44,[1]فروردین!$AA$2:$AA$366,O3)</f>
        <v>0</v>
      </c>
      <c r="P44" s="169">
        <f>SUMIFS([1]فروردین!$AD$2:$AD$366,[1]فروردین!$N$2:$N$366,"مونتاژ",[1]فروردین!$D$2:$D$366,$F$44,[1]فروردین!$AA$2:$AA$366,P3)</f>
        <v>0</v>
      </c>
      <c r="Q44" s="169">
        <f>SUMIFS([1]فروردین!$AD$2:$AD$366,[1]فروردین!$N$2:$N$366,"مونتاژ",[1]فروردین!$D$2:$D$366,$F$44,[1]فروردین!$AA$2:$AA$366,Q3)</f>
        <v>0</v>
      </c>
      <c r="R44" s="169">
        <f>SUMIFS([1]اردیبهشت!$AD$2:$AD$366,[1]اردیبهشت!$N$2:$N$366,"مونتاژ",[1]اردیبهشت!$D$2:$D$366,$F$44,[1]اردیبهشت!$AA$2:$AA$366,R3)</f>
        <v>0</v>
      </c>
      <c r="S44" s="169">
        <f>SUMIFS([1]اردیبهشت!$AD$2:$AD$366,[1]اردیبهشت!$N$2:$N$366,"مونتاژ",[1]اردیبهشت!$D$2:$D$366,$F$44,[1]اردیبهشت!$AA$2:$AA$366,S3)</f>
        <v>0</v>
      </c>
      <c r="T44" s="169">
        <f>SUMIFS([1]اردیبهشت!$AD$2:$AD$366,[1]اردیبهشت!$N$2:$N$366,"مونتاژ",[1]اردیبهشت!$D$2:$D$366,$F$44,[1]اردیبهشت!$AA$2:$AA$366,T3)</f>
        <v>0</v>
      </c>
      <c r="U44" s="107">
        <f>SUMIFS([1]اردیبهشت!$AD$2:$AD$366,[1]اردیبهشت!$N$2:$N$366,"مونتاژ",[1]اردیبهشت!$D$2:$D$366,$F$44,[1]اردیبهشت!$AA$2:$AA$366,U3)</f>
        <v>0</v>
      </c>
    </row>
    <row r="45" spans="1:21" ht="36" customHeight="1" x14ac:dyDescent="0.25">
      <c r="A45" s="958"/>
      <c r="B45" s="962"/>
      <c r="C45" s="965"/>
      <c r="D45" s="933"/>
      <c r="E45" s="965"/>
      <c r="F45" s="29"/>
      <c r="G45" s="1">
        <f t="shared" si="0"/>
        <v>0</v>
      </c>
      <c r="H45" s="47">
        <f t="shared" si="1"/>
        <v>0</v>
      </c>
      <c r="I45" s="3">
        <v>0</v>
      </c>
      <c r="J45" s="3">
        <v>0</v>
      </c>
      <c r="K45" s="3">
        <v>0</v>
      </c>
      <c r="L45" s="3">
        <v>0</v>
      </c>
      <c r="M45" s="3">
        <f>(SUM(G45:L45))-D44</f>
        <v>-62.5</v>
      </c>
      <c r="N45" s="62"/>
      <c r="O45" s="166">
        <f>SUMIFS([1]فروردین!$AD$2:$AD$366,[1]فروردین!$N$2:$N$366,"مونتاژ",[1]فروردین!$D$2:$D$366,$F$45,[1]فروردین!$AA$2:$AA$366,O3)</f>
        <v>0</v>
      </c>
      <c r="P45" s="168">
        <f>SUMIFS([1]فروردین!$AD$2:$AD$366,[1]فروردین!$N$2:$N$366,"مونتاژ",[1]فروردین!$D$2:$D$366,$F$45,[1]فروردین!$AA$2:$AA$366,P3)</f>
        <v>0</v>
      </c>
      <c r="Q45" s="168">
        <f>SUMIFS([1]فروردین!$AD$2:$AD$366,[1]فروردین!$N$2:$N$366,"مونتاژ",[1]فروردین!$D$2:$D$366,$F$45,[1]فروردین!$AA$2:$AA$366,Q3)</f>
        <v>0</v>
      </c>
      <c r="R45" s="168">
        <f>SUMIFS([1]اردیبهشت!$AD$2:$AD$366,[1]اردیبهشت!$N$2:$N$366,"مونتاژ",[1]اردیبهشت!$D$2:$D$366,$F$45,[1]اردیبهشت!$AA$2:$AA$366,R3)</f>
        <v>0</v>
      </c>
      <c r="S45" s="168">
        <f>SUMIFS([1]اردیبهشت!$AD$2:$AD$366,[1]اردیبهشت!$N$2:$N$366,"مونتاژ",[1]اردیبهشت!$D$2:$D$366,$F$45,[1]اردیبهشت!$AA$2:$AA$366,S3)</f>
        <v>0</v>
      </c>
      <c r="T45" s="168">
        <f>SUMIFS([1]اردیبهشت!$AD$2:$AD$366,[1]اردیبهشت!$N$2:$N$366,"مونتاژ",[1]اردیبهشت!$D$2:$D$366,$F$45,[1]اردیبهشت!$AA$2:$AA$366,T3)</f>
        <v>0</v>
      </c>
      <c r="U45" s="108">
        <f>SUMIFS([1]اردیبهشت!$AD$2:$AD$366,[1]اردیبهشت!$N$2:$N$366,"مونتاژ",[1]اردیبهشت!$D$2:$D$366,$F$45,[1]اردیبهشت!$AA$2:$AA$366,U3)</f>
        <v>0</v>
      </c>
    </row>
    <row r="46" spans="1:21" ht="36" customHeight="1" x14ac:dyDescent="0.25">
      <c r="A46" s="959"/>
      <c r="B46" s="963"/>
      <c r="C46" s="966"/>
      <c r="D46" s="933"/>
      <c r="E46" s="966"/>
      <c r="F46" s="29" t="s">
        <v>54</v>
      </c>
      <c r="G46" s="1">
        <f t="shared" si="0"/>
        <v>0</v>
      </c>
      <c r="H46" s="47">
        <f t="shared" si="1"/>
        <v>0</v>
      </c>
      <c r="I46" s="3">
        <v>0</v>
      </c>
      <c r="J46" s="3">
        <v>0</v>
      </c>
      <c r="K46" s="3">
        <v>0</v>
      </c>
      <c r="L46" s="3">
        <v>0</v>
      </c>
      <c r="M46" s="3">
        <f>(SUM(G46:L46))-62</f>
        <v>-62</v>
      </c>
      <c r="N46" s="58"/>
      <c r="O46" s="166">
        <f>SUMIFS([1]فروردین!$AD$2:$AD$366,[1]فروردین!$N$2:$N$366,"مونتاژ",[1]فروردین!$D$2:$D$366,$F$46,[1]فروردین!$AA$2:$AA$366,O3)</f>
        <v>0</v>
      </c>
      <c r="P46" s="168">
        <f>SUMIFS([1]فروردین!$AD$2:$AD$366,[1]فروردین!$N$2:$N$366,"مونتاژ",[1]فروردین!$D$2:$D$366,$F$46,[1]فروردین!$AA$2:$AA$366,P3)</f>
        <v>0</v>
      </c>
      <c r="Q46" s="168">
        <f>SUMIFS([1]فروردین!$AD$2:$AD$366,[1]فروردین!$N$2:$N$366,"مونتاژ",[1]فروردین!$D$2:$D$366,$F$46,[1]فروردین!$AA$2:$AA$366,Q3)</f>
        <v>0</v>
      </c>
      <c r="R46" s="168">
        <f>SUMIFS([1]اردیبهشت!$AD$2:$AD$366,[1]اردیبهشت!$N$2:$N$366,"مونتاژ",[1]اردیبهشت!$D$2:$D$366,$F$46,[1]اردیبهشت!$AA$2:$AA$366,R3)</f>
        <v>0</v>
      </c>
      <c r="S46" s="168">
        <f>SUMIFS([1]اردیبهشت!$AD$2:$AD$366,[1]اردیبهشت!$N$2:$N$366,"مونتاژ",[1]اردیبهشت!$D$2:$D$366,$F$46,[1]اردیبهشت!$AA$2:$AA$366,S3)</f>
        <v>0</v>
      </c>
      <c r="T46" s="168">
        <f>SUMIFS([1]اردیبهشت!$AD$2:$AD$366,[1]اردیبهشت!$N$2:$N$366,"مونتاژ",[1]اردیبهشت!$D$2:$D$366,$F$46,[1]اردیبهشت!$AA$2:$AA$366,T3)</f>
        <v>0</v>
      </c>
      <c r="U46" s="108">
        <f>SUMIFS([1]اردیبهشت!$AD$2:$AD$366,[1]اردیبهشت!$N$2:$N$366,"مونتاژ",[1]اردیبهشت!$D$2:$D$366,$F$46,[1]اردیبهشت!$AA$2:$AA$366,U3)</f>
        <v>0</v>
      </c>
    </row>
    <row r="47" spans="1:21" ht="36" customHeight="1" thickBot="1" x14ac:dyDescent="0.3">
      <c r="A47" s="960"/>
      <c r="B47" s="964"/>
      <c r="C47" s="944"/>
      <c r="D47" s="934"/>
      <c r="E47" s="944"/>
      <c r="F47" s="30"/>
      <c r="G47" s="6">
        <f t="shared" si="0"/>
        <v>0</v>
      </c>
      <c r="H47" s="64">
        <f t="shared" si="1"/>
        <v>0</v>
      </c>
      <c r="I47" s="7">
        <v>0</v>
      </c>
      <c r="J47" s="7">
        <v>0</v>
      </c>
      <c r="K47" s="7">
        <v>0</v>
      </c>
      <c r="L47" s="7">
        <v>0</v>
      </c>
      <c r="M47" s="7">
        <f>SUM(G47:J47)-62</f>
        <v>-62</v>
      </c>
      <c r="N47" s="34"/>
      <c r="O47" s="171">
        <f>SUMIFS([1]فروردین!$AD$2:$AD$366,[1]فروردین!$N$2:$N$366,"مونتاژ",[1]فروردین!$D$2:$D$366,$F$47,[1]فروردین!$AA$2:$AA$366,O3)</f>
        <v>0</v>
      </c>
      <c r="P47" s="172">
        <f>SUMIFS([1]فروردین!$AD$2:$AD$366,[1]فروردین!$N$2:$N$366,"مونتاژ",[1]فروردین!$D$2:$D$366,$F$47,[1]فروردین!$AA$2:$AA$366,P3)</f>
        <v>0</v>
      </c>
      <c r="Q47" s="172">
        <f>SUMIFS([1]فروردین!$AD$2:$AD$366,[1]فروردین!$N$2:$N$366,"مونتاژ",[1]فروردین!$D$2:$D$366,$F$47,[1]فروردین!$AA$2:$AA$366,Q3)</f>
        <v>0</v>
      </c>
      <c r="R47" s="172">
        <f>SUMIFS([1]اردیبهشت!$AD$2:$AD$366,[1]اردیبهشت!$N$2:$N$366,"مونتاژ",[1]اردیبهشت!$D$2:$D$366,$F$47,[1]اردیبهشت!$AA$2:$AA$366,R3)</f>
        <v>0</v>
      </c>
      <c r="S47" s="172">
        <f>SUMIFS([1]اردیبهشت!$AD$2:$AD$366,[1]اردیبهشت!$N$2:$N$366,"مونتاژ",[1]اردیبهشت!$D$2:$D$366,$F$47,[1]اردیبهشت!$AA$2:$AA$366,S3)</f>
        <v>0</v>
      </c>
      <c r="T47" s="172">
        <f>SUMIFS([1]اردیبهشت!$AD$2:$AD$366,[1]اردیبهشت!$N$2:$N$366,"مونتاژ",[1]اردیبهشت!$D$2:$D$366,$F$47,[1]اردیبهشت!$AA$2:$AA$366,T3)</f>
        <v>0</v>
      </c>
      <c r="U47" s="109">
        <f>SUMIFS([1]اردیبهشت!$AD$2:$AD$366,[1]اردیبهشت!$N$2:$N$366,"مونتاژ",[1]اردیبهشت!$D$2:$D$366,$F$47,[1]اردیبهشت!$AA$2:$AA$366,U3)</f>
        <v>0</v>
      </c>
    </row>
    <row r="48" spans="1:21" ht="36" customHeight="1" x14ac:dyDescent="0.25">
      <c r="A48" s="967">
        <v>23</v>
      </c>
      <c r="B48" s="969" t="s">
        <v>33</v>
      </c>
      <c r="C48" s="970" t="s">
        <v>34</v>
      </c>
      <c r="D48" s="933">
        <v>62.5</v>
      </c>
      <c r="E48" s="932"/>
      <c r="F48" s="55" t="s">
        <v>16</v>
      </c>
      <c r="G48" s="1">
        <f t="shared" si="0"/>
        <v>0</v>
      </c>
      <c r="H48" s="49">
        <f t="shared" si="1"/>
        <v>0</v>
      </c>
      <c r="I48" s="1">
        <v>0</v>
      </c>
      <c r="J48" s="1">
        <v>0</v>
      </c>
      <c r="K48" s="1">
        <v>0</v>
      </c>
      <c r="L48" s="1">
        <v>0</v>
      </c>
      <c r="M48" s="1">
        <f>SUM(G48:L48)-62</f>
        <v>-62</v>
      </c>
      <c r="N48" s="56"/>
      <c r="O48" s="173">
        <f>SUMIFS([1]فروردین!$AD$2:$AD$366,[1]فروردین!$N$2:$N$366,"دمونتاژ",[1]فروردین!$D$2:$D$366,$F$48,[1]فروردین!$AA$2:$AA$366,O3)</f>
        <v>0</v>
      </c>
      <c r="P48" s="174">
        <f>SUMIFS([1]فروردین!$AD$2:$AD$366,[1]فروردین!$N$2:$N$366,"دمونتاژ",[1]فروردین!$D$2:$D$366,$F$48,[1]فروردین!$AA$2:$AA$366,P3)</f>
        <v>0</v>
      </c>
      <c r="Q48" s="174">
        <f>SUMIFS([1]فروردین!$AD$2:$AD$366,[1]فروردین!$N$2:$N$366,"دمونتاژ",[1]فروردین!$D$2:$D$366,$F$48,[1]فروردین!$AA$2:$AA$366,Q3)</f>
        <v>0</v>
      </c>
      <c r="R48" s="174">
        <f>SUMIFS([1]اردیبهشت!$AD$2:$AD$366,[1]اردیبهشت!$N$2:$N$366,"دمونتاژ",[1]اردیبهشت!$D$2:$D$366,$F$48,[1]اردیبهشت!$AA$2:$AA$366,R3)</f>
        <v>0</v>
      </c>
      <c r="S48" s="174">
        <f>SUMIFS([1]اردیبهشت!$AD$2:$AD$366,[1]اردیبهشت!$N$2:$N$366,"دمونتاژ",[1]اردیبهشت!$D$2:$D$366,$F$48,[1]اردیبهشت!$AA$2:$AA$366,S3)</f>
        <v>0</v>
      </c>
      <c r="T48" s="174">
        <f>SUMIFS([1]اردیبهشت!$AD$2:$AD$366,[1]اردیبهشت!$N$2:$N$366,"دمونتاژ",[1]اردیبهشت!$D$2:$D$366,$F$48,[1]اردیبهشت!$AA$2:$AA$366,T3)</f>
        <v>0</v>
      </c>
      <c r="U48" s="110">
        <f>SUMIFS([1]اردیبهشت!$AD$2:$AD$366,[1]اردیبهشت!$N$2:$N$366,"دمونتاژ",[1]اردیبهشت!$D$2:$D$366,$F$48,[1]اردیبهشت!$AA$2:$AA$366,U3)</f>
        <v>0</v>
      </c>
    </row>
    <row r="49" spans="1:21" ht="36" customHeight="1" x14ac:dyDescent="0.25">
      <c r="A49" s="967"/>
      <c r="B49" s="962"/>
      <c r="C49" s="965"/>
      <c r="D49" s="933"/>
      <c r="E49" s="933"/>
      <c r="F49" s="29"/>
      <c r="G49" s="1">
        <f t="shared" si="0"/>
        <v>0</v>
      </c>
      <c r="H49" s="47">
        <f t="shared" si="1"/>
        <v>0</v>
      </c>
      <c r="I49" s="3">
        <v>0</v>
      </c>
      <c r="J49" s="3">
        <v>0</v>
      </c>
      <c r="K49" s="3">
        <v>0</v>
      </c>
      <c r="L49" s="3">
        <v>0</v>
      </c>
      <c r="M49" s="3">
        <f>SUM(G49:L49)-62</f>
        <v>-62</v>
      </c>
      <c r="N49" s="62"/>
      <c r="O49" s="166">
        <f>SUMIFS([1]فروردین!$AD$2:$AD$366,[1]فروردین!$N$2:$N$366,"دمونتاژ",[1]فروردین!$D$2:$D$366,$F$49,[1]فروردین!$AA$2:$AA$366,O3)</f>
        <v>0</v>
      </c>
      <c r="P49" s="168">
        <f>SUMIFS([1]فروردین!$AD$2:$AD$366,[1]فروردین!$N$2:$N$366,"دمونتاژ",[1]فروردین!$D$2:$D$366,$F$49,[1]فروردین!$AA$2:$AA$366,P3)</f>
        <v>0</v>
      </c>
      <c r="Q49" s="168">
        <f>SUMIFS([1]فروردین!$AD$2:$AD$366,[1]فروردین!$N$2:$N$366,"دمونتاژ",[1]فروردین!$D$2:$D$366,$F$49,[1]فروردین!$AA$2:$AA$366,Q3)</f>
        <v>0</v>
      </c>
      <c r="R49" s="168">
        <f>SUMIFS([1]اردیبهشت!$AD$2:$AD$366,[1]اردیبهشت!$N$2:$N$366,"دمونتاژ",[1]اردیبهشت!$D$2:$D$366,$F$48,[1]اردیبهشت!$AA$2:$AA$366,R3)</f>
        <v>0</v>
      </c>
      <c r="S49" s="168">
        <f>SUMIFS([1]اردیبهشت!$AD$2:$AD$366,[1]اردیبهشت!$N$2:$N$366,"دمونتاژ",[1]اردیبهشت!$D$2:$D$366,$F$48,[1]اردیبهشت!$AA$2:$AA$366,S3)</f>
        <v>0</v>
      </c>
      <c r="T49" s="168">
        <f>SUMIFS([1]اردیبهشت!$AD$2:$AD$366,[1]اردیبهشت!$N$2:$N$366,"دمونتاژ",[1]اردیبهشت!$D$2:$D$366,$F$49,[1]اردیبهشت!$AA$2:$AA$366,T3)</f>
        <v>0</v>
      </c>
      <c r="U49" s="108">
        <f>SUMIFS([1]اردیبهشت!$AD$2:$AD$366,[1]اردیبهشت!$N$2:$N$366,"دمونتاژ",[1]اردیبهشت!$D$2:$D$366,$F$48,[1]اردیبهشت!$AA$2:$AA$366,U3)</f>
        <v>0</v>
      </c>
    </row>
    <row r="50" spans="1:21" ht="36" customHeight="1" x14ac:dyDescent="0.25">
      <c r="A50" s="967"/>
      <c r="B50" s="962"/>
      <c r="C50" s="965"/>
      <c r="D50" s="933"/>
      <c r="E50" s="933"/>
      <c r="F50" s="29" t="s">
        <v>54</v>
      </c>
      <c r="G50" s="1">
        <f t="shared" si="0"/>
        <v>0</v>
      </c>
      <c r="H50" s="47">
        <f t="shared" si="1"/>
        <v>0</v>
      </c>
      <c r="I50" s="3">
        <v>0</v>
      </c>
      <c r="J50" s="3">
        <v>0</v>
      </c>
      <c r="K50" s="3">
        <v>0</v>
      </c>
      <c r="L50" s="3">
        <v>0</v>
      </c>
      <c r="M50" s="3">
        <f>SUM(G50:L50)-62</f>
        <v>-62</v>
      </c>
      <c r="N50" s="62"/>
      <c r="O50" s="166">
        <f>SUMIFS([1]فروردین!$AD$2:$AD$366,[1]فروردین!$N$2:$N$366,"دمونتاژ",[1]فروردین!$D$2:$D$366,$F$50,[1]فروردین!$AA$2:$AA$366,O3)</f>
        <v>0</v>
      </c>
      <c r="P50" s="168">
        <f>SUMIFS([1]فروردین!$AD$2:$AD$366,[1]فروردین!$N$2:$N$366,"دمونتاژ",[1]فروردین!$D$2:$D$366,$F$50,[1]فروردین!$AA$2:$AA$366,P3)</f>
        <v>0</v>
      </c>
      <c r="Q50" s="168">
        <f>SUMIFS([1]فروردین!$AD$2:$AD$366,[1]فروردین!$N$2:$N$366,"دمونتاژ",[1]فروردین!$D$2:$D$366,$F$50,[1]فروردین!$AA$2:$AA$366,Q3)</f>
        <v>0</v>
      </c>
      <c r="R50" s="168">
        <f>SUMIFS([1]اردیبهشت!$AD$2:$AD$366,[1]اردیبهشت!$N$2:$N$366,"دمونتاژ",[1]اردیبهشت!$D$2:$D$366,$F$50,[1]اردیبهشت!$AA$2:$AA$366,R3)</f>
        <v>0</v>
      </c>
      <c r="S50" s="168">
        <f>SUMIFS([1]اردیبهشت!$AD$2:$AD$366,[1]اردیبهشت!$N$2:$N$366,"دمونتاژ",[1]اردیبهشت!$D$2:$D$366,$F$50,[1]اردیبهشت!$AA$2:$AA$366,S3)</f>
        <v>0</v>
      </c>
      <c r="T50" s="168">
        <f>SUMIFS([1]اردیبهشت!$AD$2:$AD$366,[1]اردیبهشت!$N$2:$N$366,"دمونتاژ",[1]اردیبهشت!$D$2:$D$366,$F$50,[1]اردیبهشت!$AA$2:$AA$366,T3)</f>
        <v>0</v>
      </c>
      <c r="U50" s="108">
        <f>SUMIFS([1]اردیبهشت!$AD$2:$AD$366,[1]اردیبهشت!$N$2:$N$366,"دمونتاژ",[1]اردیبهشت!$D$2:$D$366,$F$50,[1]اردیبهشت!$AA$2:$AA$366,U3)</f>
        <v>0</v>
      </c>
    </row>
    <row r="51" spans="1:21" ht="36" customHeight="1" thickBot="1" x14ac:dyDescent="0.3">
      <c r="A51" s="967"/>
      <c r="B51" s="963"/>
      <c r="C51" s="966"/>
      <c r="D51" s="934"/>
      <c r="E51" s="934"/>
      <c r="F51" s="245"/>
      <c r="G51" s="1">
        <f t="shared" si="0"/>
        <v>0</v>
      </c>
      <c r="H51" s="49">
        <f t="shared" si="1"/>
        <v>0</v>
      </c>
      <c r="I51" s="25">
        <v>0</v>
      </c>
      <c r="J51" s="25">
        <v>0</v>
      </c>
      <c r="K51" s="25">
        <v>0</v>
      </c>
      <c r="L51" s="25">
        <v>0</v>
      </c>
      <c r="M51" s="25">
        <f>SUM(G51:L51)-62</f>
        <v>-62</v>
      </c>
      <c r="N51" s="58"/>
      <c r="O51" s="171">
        <f>SUMIFS([1]فروردین!$AD$2:$AD$366,[1]فروردین!$N$2:$N$366,"دمونتاژ",[1]فروردین!$D$2:$D$366,$F$51,[1]فروردین!$AA$2:$AA$366,O3)</f>
        <v>0</v>
      </c>
      <c r="P51" s="172">
        <f>SUMIFS([1]فروردین!$AD$2:$AD$366,[1]فروردین!$N$2:$N$366,"دمونتاژ",[1]فروردین!$D$2:$D$366,$F$51,[1]فروردین!$AA$2:$AA$366,P3)</f>
        <v>0</v>
      </c>
      <c r="Q51" s="172">
        <f>SUMIFS([1]فروردین!$AD$2:$AD$366,[1]فروردین!$N$2:$N$366,"دمونتاژ",[1]فروردین!$D$2:$D$366,$F$51,[1]فروردین!$AA$2:$AA$366,Q3)</f>
        <v>0</v>
      </c>
      <c r="R51" s="172">
        <f>SUMIFS([1]اردیبهشت!$AD$2:$AD$366,[1]اردیبهشت!$N$2:$N$366,"دمونتاژ",[1]اردیبهشت!$D$2:$D$366,$F$51,[1]اردیبهشت!$AA$2:$AA$366,R3)</f>
        <v>0</v>
      </c>
      <c r="S51" s="172">
        <f>SUMIFS([1]اردیبهشت!$AD$2:$AD$366,[1]اردیبهشت!$N$2:$N$366,"دمونتاژ",[1]اردیبهشت!$D$2:$D$366,$F$51,[1]اردیبهشت!$AA$2:$AA$366,S3)</f>
        <v>0</v>
      </c>
      <c r="T51" s="172">
        <f>SUMIFS([1]اردیبهشت!$AD$2:$AD$366,[1]اردیبهشت!$N$2:$N$366,"دمونتاژ",[1]اردیبهشت!$D$2:$D$366,$F$51,[1]اردیبهشت!$AA$2:$AA$366,T3)</f>
        <v>0</v>
      </c>
      <c r="U51" s="109">
        <f>SUMIFS([1]اردیبهشت!$AD$2:$AD$366,[1]اردیبهشت!$N$2:$N$366,"دمونتاژ",[1]اردیبهشت!$D$2:$D$366,$F$51,[1]اردیبهشت!$AA$2:$AA$366,U3)</f>
        <v>0</v>
      </c>
    </row>
    <row r="52" spans="1:21" ht="42.75" customHeight="1" thickBot="1" x14ac:dyDescent="0.3">
      <c r="A52" s="951" t="s">
        <v>49</v>
      </c>
      <c r="B52" s="952"/>
      <c r="C52" s="952"/>
      <c r="D52" s="952"/>
      <c r="E52" s="952"/>
      <c r="F52" s="953"/>
      <c r="G52" s="148">
        <f>SUM(G4:G50)-G43</f>
        <v>0</v>
      </c>
      <c r="H52" s="148">
        <f>SUM(H4:H51)</f>
        <v>0</v>
      </c>
      <c r="I52" s="148">
        <f>SUM(I4:I51)</f>
        <v>42</v>
      </c>
      <c r="J52" s="148">
        <f>SUM(J4:J51)</f>
        <v>130</v>
      </c>
      <c r="K52" s="148"/>
      <c r="L52" s="148"/>
      <c r="M52" s="149">
        <f>SUMIFS(M4:M51,F4:F51,"*")</f>
        <v>-1067.5</v>
      </c>
      <c r="N52" s="306"/>
      <c r="O52" s="197">
        <f>SUM(O4:O51)</f>
        <v>0</v>
      </c>
      <c r="P52" s="198">
        <f t="shared" ref="P52:U52" si="2">SUM(P4:P51)</f>
        <v>0</v>
      </c>
      <c r="Q52" s="198">
        <f t="shared" si="2"/>
        <v>0</v>
      </c>
      <c r="R52" s="198">
        <f t="shared" si="2"/>
        <v>0</v>
      </c>
      <c r="S52" s="198">
        <f t="shared" si="2"/>
        <v>0</v>
      </c>
      <c r="T52" s="198">
        <f t="shared" si="2"/>
        <v>0</v>
      </c>
      <c r="U52" s="150">
        <f t="shared" si="2"/>
        <v>0</v>
      </c>
    </row>
  </sheetData>
  <mergeCells count="74">
    <mergeCell ref="C23:C25"/>
    <mergeCell ref="B23:B25"/>
    <mergeCell ref="B20:B22"/>
    <mergeCell ref="C20:C22"/>
    <mergeCell ref="D20:D22"/>
    <mergeCell ref="E26:E28"/>
    <mergeCell ref="N26:N28"/>
    <mergeCell ref="A29:A30"/>
    <mergeCell ref="E20:E22"/>
    <mergeCell ref="E39:E41"/>
    <mergeCell ref="D39:D41"/>
    <mergeCell ref="D35:D36"/>
    <mergeCell ref="D37:D38"/>
    <mergeCell ref="D33:D34"/>
    <mergeCell ref="D31:D32"/>
    <mergeCell ref="D23:D25"/>
    <mergeCell ref="E29:E30"/>
    <mergeCell ref="C31:C32"/>
    <mergeCell ref="B31:B32"/>
    <mergeCell ref="D29:D30"/>
    <mergeCell ref="C29:C30"/>
    <mergeCell ref="E23:E25"/>
    <mergeCell ref="N23:N25"/>
    <mergeCell ref="E4:E6"/>
    <mergeCell ref="E7:E9"/>
    <mergeCell ref="E16:E18"/>
    <mergeCell ref="A1:L2"/>
    <mergeCell ref="O1:U2"/>
    <mergeCell ref="N4:N6"/>
    <mergeCell ref="N16:N18"/>
    <mergeCell ref="N20:N22"/>
    <mergeCell ref="C16:C18"/>
    <mergeCell ref="D16:D18"/>
    <mergeCell ref="B16:B18"/>
    <mergeCell ref="B4:B6"/>
    <mergeCell ref="C4:C6"/>
    <mergeCell ref="D4:D6"/>
    <mergeCell ref="B7:B9"/>
    <mergeCell ref="C7:C9"/>
    <mergeCell ref="D7:D9"/>
    <mergeCell ref="N29:N30"/>
    <mergeCell ref="A33:A34"/>
    <mergeCell ref="E33:E34"/>
    <mergeCell ref="N33:N34"/>
    <mergeCell ref="A35:A36"/>
    <mergeCell ref="E35:E36"/>
    <mergeCell ref="N35:N36"/>
    <mergeCell ref="C35:C36"/>
    <mergeCell ref="B35:B36"/>
    <mergeCell ref="B33:B34"/>
    <mergeCell ref="C33:C34"/>
    <mergeCell ref="A31:A32"/>
    <mergeCell ref="E31:E32"/>
    <mergeCell ref="N31:N32"/>
    <mergeCell ref="B29:B30"/>
    <mergeCell ref="N37:N38"/>
    <mergeCell ref="N39:N41"/>
    <mergeCell ref="A44:A47"/>
    <mergeCell ref="B44:B47"/>
    <mergeCell ref="C44:C47"/>
    <mergeCell ref="D44:D47"/>
    <mergeCell ref="E44:E47"/>
    <mergeCell ref="C39:C41"/>
    <mergeCell ref="B39:B41"/>
    <mergeCell ref="B37:B38"/>
    <mergeCell ref="C37:C38"/>
    <mergeCell ref="C48:C51"/>
    <mergeCell ref="D48:D51"/>
    <mergeCell ref="E48:E51"/>
    <mergeCell ref="A52:F52"/>
    <mergeCell ref="A37:A38"/>
    <mergeCell ref="E37:E38"/>
    <mergeCell ref="A48:A51"/>
    <mergeCell ref="B48:B51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 M8" formulaRange="1"/>
  </ignoredError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C372-55D6-44E2-90E8-F545A997CC0C}">
  <sheetPr>
    <pageSetUpPr fitToPage="1"/>
  </sheetPr>
  <dimension ref="A1:U52"/>
  <sheetViews>
    <sheetView rightToLeft="1" view="pageLayout" zoomScaleNormal="100" workbookViewId="0">
      <selection activeCell="K5" sqref="K5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20" width="6.42578125" style="52" hidden="1" customWidth="1"/>
    <col min="21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6</v>
      </c>
      <c r="O2" s="926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291" t="s">
        <v>87</v>
      </c>
      <c r="P3" s="158" t="s">
        <v>88</v>
      </c>
      <c r="Q3" s="158" t="s">
        <v>89</v>
      </c>
      <c r="R3" s="158" t="s">
        <v>90</v>
      </c>
      <c r="S3" s="158" t="s">
        <v>91</v>
      </c>
      <c r="T3" s="158" t="s">
        <v>92</v>
      </c>
      <c r="U3" s="119" t="s">
        <v>93</v>
      </c>
    </row>
    <row r="4" spans="1:21" ht="36" customHeight="1" x14ac:dyDescent="0.25">
      <c r="A4" s="260"/>
      <c r="B4" s="212"/>
      <c r="C4" s="248"/>
      <c r="D4" s="39"/>
      <c r="E4" s="932" t="s">
        <v>15</v>
      </c>
      <c r="F4" s="244" t="s">
        <v>55</v>
      </c>
      <c r="G4" s="9">
        <f>SUM(O4:T4)</f>
        <v>0</v>
      </c>
      <c r="H4" s="46">
        <f>U4</f>
        <v>0</v>
      </c>
      <c r="I4" s="9">
        <v>0</v>
      </c>
      <c r="J4" s="9">
        <v>0</v>
      </c>
      <c r="K4" s="9">
        <v>0</v>
      </c>
      <c r="L4" s="9">
        <v>0</v>
      </c>
      <c r="M4" s="28"/>
      <c r="N4" s="945" t="s">
        <v>43</v>
      </c>
      <c r="O4" s="292">
        <f>SUMIFS([1]اردیبهشت!$AD$2:$AD$600,[1]اردیبهشت!$N$2:$N$600,7101,[1]اردیبهشت!$D$2:$D$600,$F$4,[1]اردیبهشت!$AA$2:$AA$600,O3)</f>
        <v>0</v>
      </c>
      <c r="P4" s="169">
        <f>SUMIFS([1]اردیبهشت!$AD$2:$AD$600,[1]اردیبهشت!$N$2:$N$600,7101,[1]اردیبهشت!$D$2:$D$600,$F$4,[1]اردیبهشت!$AA$2:$AA$600,P3)</f>
        <v>0</v>
      </c>
      <c r="Q4" s="169">
        <f>SUMIFS([1]اردیبهشت!$AD$2:$AD$600,[1]اردیبهشت!$N$2:$N$600,7101,[1]اردیبهشت!$D$2:$D$600,$F$4,[1]اردیبهشت!$AA$2:$AA$600,Q3)</f>
        <v>0</v>
      </c>
      <c r="R4" s="169">
        <f>SUMIFS([1]اردیبهشت!$AD$2:$AD$600,[1]اردیبهشت!$N$2:$N$600,7101,[1]اردیبهشت!$D$2:$D$600,$F$4,[1]اردیبهشت!$AA$2:$AA$600,R3)</f>
        <v>0</v>
      </c>
      <c r="S4" s="169">
        <f>SUMIFS([1]اردیبهشت!$AD$2:$AD$600,[1]اردیبهشت!$N$2:$N$600,7101,[1]اردیبهشت!$D$2:$D$600,$F$4,[1]اردیبهشت!$AA$2:$AA$600,S3)</f>
        <v>0</v>
      </c>
      <c r="T4" s="169">
        <f>SUMIFS([1]اردیبهشت!$AD$2:$AD$600,[1]اردیبهشت!$N$2:$N$600,7101,[1]اردیبهشت!$D$2:$D$600,$F$4,[1]اردیبهشت!$AA$2:$AA$600,T3)</f>
        <v>0</v>
      </c>
      <c r="U4" s="98">
        <f>SUMIFS([1]اردیبهشت!$AD$2:$AD$600,[1]اردیبهشت!$N$2:$N$600,7101,[1]اردیبهشت!$D$2:$D$600,$F$4,[1]اردیبهشت!$AA$2:$AA$600,U3)</f>
        <v>0</v>
      </c>
    </row>
    <row r="5" spans="1:21" ht="36" customHeight="1" x14ac:dyDescent="0.25">
      <c r="A5" s="261">
        <v>1</v>
      </c>
      <c r="B5" s="213" t="s">
        <v>14</v>
      </c>
      <c r="C5" s="256">
        <v>7101</v>
      </c>
      <c r="D5" s="2">
        <v>62.5</v>
      </c>
      <c r="E5" s="933"/>
      <c r="F5" s="259"/>
      <c r="G5" s="3">
        <f t="shared" ref="G5:G51" si="0">SUM(O5:T5)</f>
        <v>0</v>
      </c>
      <c r="H5" s="47">
        <f t="shared" ref="H5:H51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-62.5</v>
      </c>
      <c r="N5" s="929"/>
      <c r="O5" s="293">
        <f>SUMIFS([1]اردیبهشت!$AD$2:$AD$366,[1]اردیبهشت!$N$2:$N$366,7101,[1]اردیبهشت!$D$2:$D$366,$F$5,[1]اردیبهشت!$AA$2:$AA$366,O3)</f>
        <v>0</v>
      </c>
      <c r="P5" s="168">
        <f>SUMIFS([1]اردیبهشت!$AD$2:$AD$366,[1]اردیبهشت!$N$2:$N$366,7101,[1]اردیبهشت!$D$2:$D$366,$F$5,[1]اردیبهشت!$AA$2:$AA$366,P3)</f>
        <v>0</v>
      </c>
      <c r="Q5" s="168">
        <f>SUMIFS([1]اردیبهشت!$AD$2:$AD$366,[1]اردیبهشت!$N$2:$N$366,7101,[1]اردیبهشت!$D$2:$D$366,$F$5,[1]اردیبهشت!$AA$2:$AA$366,Q3)</f>
        <v>0</v>
      </c>
      <c r="R5" s="168">
        <f>SUMIFS([1]اردیبهشت!$AD$2:$AD$366,[1]اردیبهشت!$N$2:$N$366,7101,[1]اردیبهشت!$D$2:$D$366,$F$5,[1]اردیبهشت!$AA$2:$AA$366,R3)</f>
        <v>0</v>
      </c>
      <c r="S5" s="168">
        <f>SUMIFS([1]اردیبهشت!$AD$2:$AD$366,[1]اردیبهشت!$N$2:$N$366,7101,[1]اردیبهشت!$D$2:$D$366,$F$5,[1]اردیبهشت!$AA$2:$AA$366,S3)</f>
        <v>0</v>
      </c>
      <c r="T5" s="168">
        <f>SUMIFS([1]اردیبهشت!$AD$2:$AD$366,[1]اردیبهشت!$N$2:$N$366,7101,[1]اردیبهشت!$D$2:$D$366,$F$5,[1]اردیبهشت!$AA$2:$AA$366,T3)</f>
        <v>0</v>
      </c>
      <c r="U5" s="108">
        <f>SUMIFS([1]اردیبهشت!$AD$2:$AD$366,[1]اردیبهشت!$N$2:$N$366,7101,[1]اردیبهشت!$D$2:$D$366,$F$5,[1]اردیبهشت!$AA$2:$AA$366,U3)</f>
        <v>0</v>
      </c>
    </row>
    <row r="6" spans="1:21" ht="36" customHeight="1" thickBot="1" x14ac:dyDescent="0.3">
      <c r="A6" s="262"/>
      <c r="B6" s="88"/>
      <c r="C6" s="249"/>
      <c r="D6" s="247"/>
      <c r="E6" s="934"/>
      <c r="F6" s="5"/>
      <c r="G6" s="6">
        <f t="shared" si="0"/>
        <v>0</v>
      </c>
      <c r="H6" s="64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294">
        <f>SUMIFS([1]اردیبهشت!$AD$2:$AD$366,[1]اردیبهشت!$N$2:$N$366,7101,[1]اردیبهشت!$D$2:$D$366,$F$6,[1]اردیبهشت!$AA$2:$AA$366,O3)</f>
        <v>0</v>
      </c>
      <c r="P6" s="172">
        <f>SUMIFS([1]اردیبهشت!$AD$2:$AD$366,[1]اردیبهشت!$N$2:$N$366,7101,[1]اردیبهشت!$D$2:$D$366,$F$6,[1]اردیبهشت!$AA$2:$AA$366,P3)</f>
        <v>0</v>
      </c>
      <c r="Q6" s="172">
        <f>SUMIFS([1]اردیبهشت!$AD$2:$AD$366,[1]اردیبهشت!$N$2:$N$366,7101,[1]اردیبهشت!$D$2:$D$366,$F$6,[1]اردیبهشت!$AA$2:$AA$366,Q3)</f>
        <v>0</v>
      </c>
      <c r="R6" s="172">
        <f>SUMIFS([1]اردیبهشت!$AD$2:$AD$366,[1]اردیبهشت!$N$2:$N$366,7101,[1]اردیبهشت!$D$2:$D$366,$F$6,[1]اردیبهشت!$AA$2:$AA$366,R3)</f>
        <v>0</v>
      </c>
      <c r="S6" s="172">
        <f>SUMIFS([1]اردیبهشت!$AD$2:$AD$366,[1]اردیبهشت!$N$2:$N$366,7101,[1]اردیبهشت!$D$2:$D$366,$F$6,[1]اردیبهشت!$AA$2:$AA$366,S3)</f>
        <v>0</v>
      </c>
      <c r="T6" s="172">
        <f>SUMIFS([1]اردیبهشت!$AD$2:$AD$366,[1]اردیبهشت!$N$2:$N$366,7101,[1]اردیبهشت!$D$2:$D$366,$F$6,[1]اردیبهشت!$AA$2:$AA$366,T3)</f>
        <v>0</v>
      </c>
      <c r="U6" s="109">
        <f>SUMIFS([1]اردیبهشت!$AD$2:$AD$366,[1]اردیبهشت!$N$2:$N$366,7101,[1]اردیبهشت!$D$2:$D$366,$F$6,[1]اردیبهشت!$AA$2:$AA$366,U3)</f>
        <v>0</v>
      </c>
    </row>
    <row r="7" spans="1:21" ht="36" customHeight="1" x14ac:dyDescent="0.25">
      <c r="A7" s="214"/>
      <c r="B7" s="216"/>
      <c r="C7" s="224"/>
      <c r="D7" s="253"/>
      <c r="E7" s="932" t="s">
        <v>15</v>
      </c>
      <c r="F7" s="253"/>
      <c r="G7" s="1">
        <f t="shared" si="0"/>
        <v>0</v>
      </c>
      <c r="H7" s="49">
        <f t="shared" si="1"/>
        <v>0</v>
      </c>
      <c r="I7" s="1">
        <v>0</v>
      </c>
      <c r="J7" s="1">
        <v>0</v>
      </c>
      <c r="K7" s="1">
        <v>0</v>
      </c>
      <c r="L7" s="1">
        <v>0</v>
      </c>
      <c r="M7" s="69"/>
      <c r="N7" s="263"/>
      <c r="O7" s="292">
        <f>SUMIFS([1]اردیبهشت!$AD$2:$AD$366,[1]اردیبهشت!$N$2:$N$366,7102,[1]اردیبهشت!$D$2:$D$366,$F$7,[1]اردیبهشت!$AA$2:$AA$366,O3)</f>
        <v>0</v>
      </c>
      <c r="P7" s="169">
        <f>SUMIFS([1]اردیبهشت!$AD$2:$AD$366,[1]اردیبهشت!$N$2:$N$366,7102,[1]اردیبهشت!$D$2:$D$366,$F$7,[1]اردیبهشت!$AA$2:$AA$366,P3)</f>
        <v>0</v>
      </c>
      <c r="Q7" s="169">
        <f>SUMIFS([1]اردیبهشت!$AD$2:$AD$366,[1]اردیبهشت!$N$2:$N$366,7102,[1]اردیبهشت!$D$2:$D$366,$F$7,[1]اردیبهشت!$AA$2:$AA$366,Q3)</f>
        <v>0</v>
      </c>
      <c r="R7" s="169">
        <f>SUMIFS([1]اردیبهشت!$AD$2:$AD$366,[1]اردیبهشت!$N$2:$N$366,7102,[1]اردیبهشت!$D$2:$D$366,$F$7,[1]اردیبهشت!$AA$2:$AA$366,R3)</f>
        <v>0</v>
      </c>
      <c r="S7" s="169">
        <f>SUMIFS([1]اردیبهشت!$AD$2:$AD$366,[1]اردیبهشت!$N$2:$N$366,7102,[1]اردیبهشت!$D$2:$D$366,$F$7,[1]اردیبهشت!$AA$2:$AA$366,S3)</f>
        <v>0</v>
      </c>
      <c r="T7" s="169">
        <f>SUMIFS([1]اردیبهشت!$AD$2:$AD$366,[1]اردیبهشت!$N$2:$N$366,7102,[1]اردیبهشت!$D$2:$D$366,$F$7,[1]اردیبهشت!$AA$2:$AA$366,T3)</f>
        <v>0</v>
      </c>
      <c r="U7" s="107">
        <f>SUMIFS([1]اردیبهشت!$AD$2:$AD$366,[1]اردیبهشت!$N$2:$N$366,7102,[1]اردیبهشت!$D$2:$D$366,$F$7,[1]اردیبهشت!$AA$2:$AA$366,U3)</f>
        <v>0</v>
      </c>
    </row>
    <row r="8" spans="1:21" ht="36" customHeight="1" x14ac:dyDescent="0.25">
      <c r="A8" s="214">
        <v>2</v>
      </c>
      <c r="B8" s="216" t="s">
        <v>14</v>
      </c>
      <c r="C8" s="256">
        <v>7102</v>
      </c>
      <c r="D8" s="2">
        <v>62.5</v>
      </c>
      <c r="E8" s="933"/>
      <c r="F8" s="259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-62.5</v>
      </c>
      <c r="N8" s="251" t="s">
        <v>13</v>
      </c>
      <c r="O8" s="293">
        <f>SUMIFS([1]اردیبهشت!$AD$2:$AD$366,[1]اردیبهشت!$N$2:$N$366,7102,[1]اردیبهشت!$D$2:$D$366,$F$8,[1]اردیبهشت!$AA$2:$AA$366,O3)</f>
        <v>0</v>
      </c>
      <c r="P8" s="168">
        <f>SUMIFS([1]اردیبهشت!$AD$2:$AD$366,[1]اردیبهشت!$N$2:$N$366,7102,[1]اردیبهشت!$D$2:$D$366,$F$8,[1]اردیبهشت!$AA$2:$AA$366,P3)</f>
        <v>0</v>
      </c>
      <c r="Q8" s="168">
        <f>SUMIFS([1]اردیبهشت!$AD$2:$AD$366,[1]اردیبهشت!$N$2:$N$366,7102,[1]اردیبهشت!$D$2:$D$366,$F$8,[1]اردیبهشت!$AA$2:$AA$366,Q3)</f>
        <v>0</v>
      </c>
      <c r="R8" s="168">
        <f>SUMIFS([1]اردیبهشت!$AD$2:$AD$366,[1]اردیبهشت!$N$2:$N$366,7102,[1]اردیبهشت!$D$2:$D$366,$F$8,[1]اردیبهشت!$AA$2:$AA$366,R3)</f>
        <v>0</v>
      </c>
      <c r="S8" s="168">
        <f>SUMIFS([1]اردیبهشت!$AD$2:$AD$366,[1]اردیبهشت!$N$2:$N$366,7102,[1]اردیبهشت!$D$2:$D$366,$F$8,[1]اردیبهشت!$AA$2:$AA$366,S3)</f>
        <v>0</v>
      </c>
      <c r="T8" s="168">
        <f>SUMIFS([1]اردیبهشت!$AD$2:$AD$366,[1]اردیبهشت!$N$2:$N$366,7102,[1]اردیبهشت!$D$2:$D$366,$F$8,[1]اردیبهشت!$AA$2:$AA$366,T3)</f>
        <v>0</v>
      </c>
      <c r="U8" s="108">
        <f>SUMIFS([1]اردیبهشت!$AD$2:$AD$366,[1]اردیبهشت!$N$2:$N$366,7102,[1]اردیبهشت!$D$2:$D$366,$F$8,[1]اردیبهشت!$AA$2:$AA$366,U3)</f>
        <v>0</v>
      </c>
    </row>
    <row r="9" spans="1:21" ht="36" customHeight="1" thickBot="1" x14ac:dyDescent="0.3">
      <c r="A9" s="230"/>
      <c r="B9" s="43"/>
      <c r="C9" s="249"/>
      <c r="D9" s="247"/>
      <c r="E9" s="934"/>
      <c r="F9" s="5"/>
      <c r="G9" s="1">
        <f t="shared" si="0"/>
        <v>0</v>
      </c>
      <c r="H9" s="49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252"/>
      <c r="O9" s="294">
        <f>SUMIFS([1]اردیبهشت!$AD$2:$AD$366,[1]اردیبهشت!$N$2:$N$366,7102,[1]اردیبهشت!$D$2:$D$366,$F$9,[1]اردیبهشت!$AA$2:$AA$366,O3)</f>
        <v>0</v>
      </c>
      <c r="P9" s="172">
        <f>SUMIFS([1]اردیبهشت!$AD$2:$AD$366,[1]اردیبهشت!$N$2:$N$366,7102,[1]اردیبهشت!$D$2:$D$366,$F$9,[1]اردیبهشت!$AA$2:$AA$366,P3)</f>
        <v>0</v>
      </c>
      <c r="Q9" s="172">
        <f>SUMIFS([1]اردیبهشت!$AD$2:$AD$366,[1]اردیبهشت!$N$2:$N$366,7102,[1]اردیبهشت!$D$2:$D$366,$F$9,[1]اردیبهشت!$AA$2:$AA$366,Q3)</f>
        <v>0</v>
      </c>
      <c r="R9" s="172">
        <f>SUMIFS([1]اردیبهشت!$AD$2:$AD$366,[1]اردیبهشت!$N$2:$N$366,7102,[1]اردیبهشت!$D$2:$D$366,$F$9,[1]اردیبهشت!$AA$2:$AA$366,R3)</f>
        <v>0</v>
      </c>
      <c r="S9" s="172">
        <f>SUMIFS([1]اردیبهشت!$AD$2:$AD$366,[1]اردیبهشت!$N$2:$N$366,7102,[1]اردیبهشت!$D$2:$D$366,$F$9,[1]اردیبهشت!$AA$2:$AA$366,S3)</f>
        <v>0</v>
      </c>
      <c r="T9" s="172">
        <f>SUMIFS([1]اردیبهشت!$AD$2:$AD$366,[1]اردیبهشت!$N$2:$N$366,7102,[1]اردیبهشت!$D$2:$D$366,$F$9,[1]اردیبهشت!$AA$2:$AA$366,T3)</f>
        <v>0</v>
      </c>
      <c r="U9" s="109">
        <f>SUMIFS([1]اردیبهشت!$AD$2:$AD$366,[1]اردیبهشت!$N$2:$N$366,7102,[1]اردیبهشت!$D$2:$D$366,$F$9,[1]اردیبهشت!$AA$2:$AA$366,U3)</f>
        <v>0</v>
      </c>
    </row>
    <row r="10" spans="1:21" ht="36" customHeight="1" thickBot="1" x14ac:dyDescent="0.3">
      <c r="A10" s="230">
        <v>3</v>
      </c>
      <c r="B10" s="216" t="s">
        <v>14</v>
      </c>
      <c r="C10" s="246">
        <v>7103</v>
      </c>
      <c r="D10" s="2">
        <v>62.5</v>
      </c>
      <c r="E10" s="246" t="s">
        <v>15</v>
      </c>
      <c r="F10" s="246" t="s">
        <v>36</v>
      </c>
      <c r="G10" s="9">
        <f t="shared" si="0"/>
        <v>0</v>
      </c>
      <c r="H10" s="46">
        <f t="shared" si="1"/>
        <v>0</v>
      </c>
      <c r="I10" s="4">
        <v>0</v>
      </c>
      <c r="J10" s="4">
        <v>0</v>
      </c>
      <c r="K10" s="4">
        <v>0</v>
      </c>
      <c r="L10" s="4">
        <v>0</v>
      </c>
      <c r="M10" s="4">
        <f>SUM(G10:L10)-64</f>
        <v>-64</v>
      </c>
      <c r="N10" s="251" t="s">
        <v>40</v>
      </c>
      <c r="O10" s="295">
        <f>SUMIFS([1]اردیبهشت!$AD$2:$AD$366,[1]اردیبهشت!$N$2:$N$366,7103,[1]اردیبهشت!$D$2:$D$366,$F$10,[1]اردیبهشت!$AA$2:$AA$366,O3)</f>
        <v>0</v>
      </c>
      <c r="P10" s="177">
        <f>SUMIFS([1]اردیبهشت!$AD$2:$AD$366,[1]اردیبهشت!$N$2:$N$366,7103,[1]اردیبهشت!$D$2:$D$366,$F$10,[1]اردیبهشت!$AA$2:$AA$366,P3)</f>
        <v>0</v>
      </c>
      <c r="Q10" s="177">
        <f>SUMIFS([1]اردیبهشت!$AD$2:$AD$366,[1]اردیبهشت!$N$2:$N$366,7103,[1]اردیبهشت!$D$2:$D$366,$F$10,[1]اردیبهشت!$AA$2:$AA$366,Q3)</f>
        <v>0</v>
      </c>
      <c r="R10" s="177">
        <f>SUMIFS([1]اردیبهشت!$AD$2:$AD$366,[1]اردیبهشت!$N$2:$N$366,7103,[1]اردیبهشت!$D$2:$D$366,$F$10,[1]اردیبهشت!$AA$2:$AA$366,R3)</f>
        <v>0</v>
      </c>
      <c r="S10" s="177">
        <f>SUMIFS([1]اردیبهشت!$AD$2:$AD$366,[1]اردیبهشت!$N$2:$N$366,7103,[1]اردیبهشت!$D$2:$D$366,$F$10,[1]اردیبهشت!$AA$2:$AA$366,S3)</f>
        <v>0</v>
      </c>
      <c r="T10" s="177">
        <f>SUMIFS([1]اردیبهشت!$AD$2:$AD$366,[1]اردیبهشت!$N$2:$N$366,7103,[1]اردیبهشت!$D$2:$D$366,$F$10,[1]اردیبهشت!$AA$2:$AA$366,T3)</f>
        <v>0</v>
      </c>
      <c r="U10" s="113">
        <f>SUMIFS([1]اردیبهشت!$AD$2:$AD$366,[1]اردیبهشت!$N$2:$N$366,7103,[1]اردیبهشت!$D$2:$D$366,$F$10,[1]اردیبهشت!$AA$2:$AA$366,U3)</f>
        <v>0</v>
      </c>
    </row>
    <row r="11" spans="1:21" ht="36" customHeight="1" thickBot="1" x14ac:dyDescent="0.3">
      <c r="A11" s="214">
        <v>4</v>
      </c>
      <c r="B11" s="78" t="s">
        <v>18</v>
      </c>
      <c r="C11" s="265">
        <v>7201</v>
      </c>
      <c r="D11" s="265">
        <v>62.5</v>
      </c>
      <c r="E11" s="265" t="s">
        <v>19</v>
      </c>
      <c r="F11" s="140"/>
      <c r="G11" s="21">
        <f t="shared" si="0"/>
        <v>0</v>
      </c>
      <c r="H11" s="63">
        <f t="shared" si="1"/>
        <v>0</v>
      </c>
      <c r="I11" s="141">
        <v>0</v>
      </c>
      <c r="J11" s="141">
        <v>62</v>
      </c>
      <c r="K11" s="141">
        <v>0</v>
      </c>
      <c r="L11" s="141">
        <v>0</v>
      </c>
      <c r="M11" s="141">
        <f>SUM(G11:J11)-62</f>
        <v>0</v>
      </c>
      <c r="N11" s="142" t="s">
        <v>41</v>
      </c>
      <c r="O11" s="296"/>
      <c r="P11" s="201"/>
      <c r="Q11" s="201"/>
      <c r="R11" s="201"/>
      <c r="S11" s="201"/>
      <c r="T11" s="201"/>
      <c r="U11" s="111"/>
    </row>
    <row r="12" spans="1:21" ht="36" customHeight="1" thickBot="1" x14ac:dyDescent="0.3">
      <c r="A12" s="45">
        <v>5</v>
      </c>
      <c r="B12" s="12" t="s">
        <v>18</v>
      </c>
      <c r="C12" s="13">
        <v>7202</v>
      </c>
      <c r="D12" s="13">
        <v>62.5</v>
      </c>
      <c r="E12" s="13" t="s">
        <v>15</v>
      </c>
      <c r="F12" s="16" t="s">
        <v>20</v>
      </c>
      <c r="G12" s="14">
        <f t="shared" si="0"/>
        <v>0</v>
      </c>
      <c r="H12" s="48">
        <f t="shared" si="1"/>
        <v>0</v>
      </c>
      <c r="I12" s="14">
        <v>3</v>
      </c>
      <c r="J12" s="14">
        <v>0</v>
      </c>
      <c r="K12" s="14">
        <v>0</v>
      </c>
      <c r="L12" s="14">
        <v>0</v>
      </c>
      <c r="M12" s="14">
        <f>SUM(G12:L12)-62</f>
        <v>-59</v>
      </c>
      <c r="N12" s="271" t="s">
        <v>44</v>
      </c>
      <c r="O12" s="297">
        <f>SUMIFS([1]اردیبهشت!$AD$2:$AD$366,[1]اردیبهشت!$N$2:$N$366,$C$12,[1]اردیبهشت!$D$2:$D$366,$F$12,[1]اردیبهشت!$AA$2:$AA$366,O3)</f>
        <v>0</v>
      </c>
      <c r="P12" s="182">
        <f>SUMIFS([1]اردیبهشت!$AD$2:$AD$366,[1]اردیبهشت!$N$2:$N$366,$C$12,[1]اردیبهشت!$D$2:$D$366,$F$12,[1]اردیبهشت!$AA$2:$AA$366,P3)</f>
        <v>0</v>
      </c>
      <c r="Q12" s="182">
        <f>SUMIFS([1]اردیبهشت!$AD$2:$AD$366,[1]اردیبهشت!$N$2:$N$366,$C$12,[1]اردیبهشت!$D$2:$D$366,$F$12,[1]اردیبهشت!$AA$2:$AA$366,Q3)</f>
        <v>0</v>
      </c>
      <c r="R12" s="182">
        <f>SUMIFS([1]اردیبهشت!$AD$2:$AD$366,[1]اردیبهشت!$N$2:$N$366,$C$12,[1]اردیبهشت!$D$2:$D$366,$F$12,[1]اردیبهشت!$AA$2:$AA$366,R3)</f>
        <v>0</v>
      </c>
      <c r="S12" s="182">
        <f>SUMIFS([1]اردیبهشت!$AD$2:$AD$366,[1]اردیبهشت!$N$2:$N$366,$C$12,[1]اردیبهشت!$D$2:$D$366,$F$12,[1]اردیبهشت!$AA$2:$AA$366,S3)</f>
        <v>0</v>
      </c>
      <c r="T12" s="182">
        <f>SUMIFS([1]اردیبهشت!$AD$2:$AD$366,[1]اردیبهشت!$N$2:$N$366,$C$12,[1]اردیبهشت!$D$2:$D$366,$F$12,[1]اردیبهشت!$AA$2:$AA$366,T3)</f>
        <v>0</v>
      </c>
      <c r="U12" s="156">
        <f>SUMIFS([1]اردیبهشت!$AD$2:$AD$366,[1]اردیبهشت!$N$2:$N$366,$C$12,[1]اردیبهشت!$D$2:$D$366,$F$12,[1]اردیبهشت!$AA$2:$AA$366,U3)</f>
        <v>0</v>
      </c>
    </row>
    <row r="13" spans="1:21" ht="36" customHeight="1" thickBot="1" x14ac:dyDescent="0.3">
      <c r="A13" s="229">
        <v>6</v>
      </c>
      <c r="B13" s="213" t="s">
        <v>18</v>
      </c>
      <c r="C13" s="246">
        <v>7203</v>
      </c>
      <c r="D13" s="246">
        <v>62.5</v>
      </c>
      <c r="E13" s="246" t="s">
        <v>15</v>
      </c>
      <c r="F13" s="16"/>
      <c r="G13" s="4">
        <f t="shared" si="0"/>
        <v>0</v>
      </c>
      <c r="H13" s="67">
        <f t="shared" si="1"/>
        <v>0</v>
      </c>
      <c r="I13" s="4">
        <v>0</v>
      </c>
      <c r="J13" s="4">
        <v>0</v>
      </c>
      <c r="K13" s="4">
        <v>0</v>
      </c>
      <c r="L13" s="4">
        <v>0</v>
      </c>
      <c r="M13" s="4">
        <f>(G13+H13+I13+J13+K13)-D13</f>
        <v>-62.5</v>
      </c>
      <c r="N13" s="251"/>
      <c r="O13" s="295">
        <f>SUMIFS([1]اردیبهشت!$AD$2:$AD$366,[1]اردیبهشت!$N$2:$N$366,$C$13,[1]اردیبهشت!$D$2:$D$366,$F$13,[1]اردیبهشت!$AA$2:$AA$366,O3)</f>
        <v>0</v>
      </c>
      <c r="P13" s="177">
        <f>SUMIFS([1]اردیبهشت!$AD$2:$AD$366,[1]اردیبهشت!$N$2:$N$366,$C$13,[1]اردیبهشت!$D$2:$D$366,$F$13,[1]اردیبهشت!$AA$2:$AA$366,P3)</f>
        <v>0</v>
      </c>
      <c r="Q13" s="177">
        <f>SUMIFS([1]اردیبهشت!$AD$2:$AD$366,[1]اردیبهشت!$N$2:$N$366,$C$13,[1]اردیبهشت!$D$2:$D$366,$F$13,[1]اردیبهشت!$AA$2:$AA$366,Q3)</f>
        <v>0</v>
      </c>
      <c r="R13" s="177">
        <f>SUMIFS([1]اردیبهشت!$AD$2:$AD$366,[1]اردیبهشت!$N$2:$N$366,$C$13,[1]اردیبهشت!$D$2:$D$366,$F$13,[1]اردیبهشت!$AA$2:$AA$366,R3)</f>
        <v>0</v>
      </c>
      <c r="S13" s="177">
        <f>SUMIFS([1]اردیبهشت!$AD$2:$AD$366,[1]اردیبهشت!$N$2:$N$366,$C$13,[1]اردیبهشت!$D$2:$D$366,$F$13,[1]اردیبهشت!$AA$2:$AA$366,S3)</f>
        <v>0</v>
      </c>
      <c r="T13" s="177">
        <f>SUMIFS([1]اردیبهشت!$AD$2:$AD$366,[1]اردیبهشت!$N$2:$N$366,$C$13,[1]اردیبهشت!$D$2:$D$366,$F$13,[1]اردیبهشت!$AA$2:$AA$366,T3)</f>
        <v>0</v>
      </c>
      <c r="U13" s="113">
        <f>SUMIFS([1]اردیبهشت!$AD$2:$AD$366,[1]اردیبهشت!$N$2:$N$366,$C$13,[1]اردیبهشت!$D$2:$D$366,$F$13,[1]اردیبهشت!$AA$2:$AA$366,U3)</f>
        <v>0</v>
      </c>
    </row>
    <row r="14" spans="1:21" ht="36" customHeight="1" thickBot="1" x14ac:dyDescent="0.3">
      <c r="A14" s="45">
        <v>7</v>
      </c>
      <c r="B14" s="12" t="s">
        <v>18</v>
      </c>
      <c r="C14" s="13">
        <v>7204</v>
      </c>
      <c r="D14" s="13">
        <v>62.5</v>
      </c>
      <c r="E14" s="13" t="s">
        <v>15</v>
      </c>
      <c r="F14" s="16"/>
      <c r="G14" s="14">
        <f t="shared" si="0"/>
        <v>0</v>
      </c>
      <c r="H14" s="48">
        <f t="shared" si="1"/>
        <v>0</v>
      </c>
      <c r="I14" s="14">
        <v>0</v>
      </c>
      <c r="J14" s="14">
        <v>0</v>
      </c>
      <c r="K14" s="14">
        <v>0</v>
      </c>
      <c r="L14" s="14">
        <v>0</v>
      </c>
      <c r="M14" s="14">
        <f>SUM(G14:J14)-62</f>
        <v>-62</v>
      </c>
      <c r="N14" s="61"/>
      <c r="O14" s="295">
        <f>SUMIFS([1]اردیبهشت!$AD$2:$AD$366,[1]اردیبهشت!$N$2:$N$366,$C$14,[1]اردیبهشت!$D$2:$D$366,$F$14,[1]اردیبهشت!$AA$2:$AA$366,O3)</f>
        <v>0</v>
      </c>
      <c r="P14" s="177">
        <f>SUMIFS([1]اردیبهشت!$AD$2:$AD$366,[1]اردیبهشت!$N$2:$N$366,$C$14,[1]اردیبهشت!$D$2:$D$366,$F$14,[1]اردیبهشت!$AA$2:$AA$366,P3)</f>
        <v>0</v>
      </c>
      <c r="Q14" s="177">
        <f>SUMIFS([1]اردیبهشت!$AD$2:$AD$366,[1]اردیبهشت!$N$2:$N$366,$C$14,[1]اردیبهشت!$D$2:$D$366,$F$14,[1]اردیبهشت!$AA$2:$AA$366,Q3)</f>
        <v>0</v>
      </c>
      <c r="R14" s="177">
        <f>SUMIFS([1]اردیبهشت!$AD$2:$AD$366,[1]اردیبهشت!$N$2:$N$366,$C$14,[1]اردیبهشت!$D$2:$D$366,$F$14,[1]اردیبهشت!$AA$2:$AA$366,R3)</f>
        <v>0</v>
      </c>
      <c r="S14" s="177">
        <f>SUMIFS([1]اردیبهشت!$AD$2:$AD$366,[1]اردیبهشت!$N$2:$N$366,$C$14,[1]اردیبهشت!$D$2:$D$366,$F$14,[1]اردیبهشت!$AA$2:$AA$366,S3)</f>
        <v>0</v>
      </c>
      <c r="T14" s="177">
        <f>SUMIFS([1]اردیبهشت!$AD$2:$AD$366,[1]اردیبهشت!$N$2:$N$366,$C$14,[1]اردیبهشت!$D$2:$D$366,$F$14,[1]اردیبهشت!$AA$2:$AA$366,T3)</f>
        <v>0</v>
      </c>
      <c r="U14" s="113">
        <f>SUMIFS([1]اردیبهشت!$AD$2:$AD$366,[1]اردیبهشت!$N$2:$N$366,$C$14,[1]اردیبهشت!$D$2:$D$366,$F$14,[1]اردیبهشت!$AA$2:$AA$366,U3)</f>
        <v>0</v>
      </c>
    </row>
    <row r="15" spans="1:21" ht="36" customHeight="1" thickBot="1" x14ac:dyDescent="0.3">
      <c r="A15" s="45">
        <v>8</v>
      </c>
      <c r="B15" s="12" t="s">
        <v>21</v>
      </c>
      <c r="C15" s="13">
        <v>7301</v>
      </c>
      <c r="D15" s="13">
        <v>62.5</v>
      </c>
      <c r="E15" s="13" t="s">
        <v>15</v>
      </c>
      <c r="F15" s="19" t="s">
        <v>22</v>
      </c>
      <c r="G15" s="14">
        <f t="shared" si="0"/>
        <v>0</v>
      </c>
      <c r="H15" s="48">
        <f t="shared" si="1"/>
        <v>0</v>
      </c>
      <c r="I15" s="14">
        <v>7</v>
      </c>
      <c r="J15" s="14">
        <v>0</v>
      </c>
      <c r="K15" s="14">
        <v>0</v>
      </c>
      <c r="L15" s="14">
        <v>0</v>
      </c>
      <c r="M15" s="14">
        <f>SUM(G15:L15)-D15</f>
        <v>-55.5</v>
      </c>
      <c r="N15" s="15" t="s">
        <v>29</v>
      </c>
      <c r="O15" s="295">
        <f>SUMIFS([1]اردیبهشت!$AD$2:$AD$366,[1]اردیبهشت!$N$2:$N$366,$C$15,[1]اردیبهشت!$D$2:$D$366,$F$15,[1]اردیبهشت!$AA$2:$AA$366,O3)</f>
        <v>0</v>
      </c>
      <c r="P15" s="177">
        <f>SUMIFS([1]اردیبهشت!$AD$2:$AD$366,[1]اردیبهشت!$N$2:$N$366,$C$15,[1]اردیبهشت!$D$2:$D$366,$F$15,[1]اردیبهشت!$AA$2:$AA$366,P3)</f>
        <v>0</v>
      </c>
      <c r="Q15" s="177">
        <f>SUMIFS([1]اردیبهشت!$AD$2:$AD$366,[1]اردیبهشت!$N$2:$N$366,$C$15,[1]اردیبهشت!$D$2:$D$366,$F$15,[1]اردیبهشت!$AA$2:$AA$366,Q3)</f>
        <v>0</v>
      </c>
      <c r="R15" s="177">
        <f>SUMIFS([1]اردیبهشت!$AD$2:$AD$366,[1]اردیبهشت!$N$2:$N$366,$C$15,[1]اردیبهشت!$D$2:$D$366,$F$15,[1]اردیبهشت!$AA$2:$AA$366,R3)</f>
        <v>0</v>
      </c>
      <c r="S15" s="177">
        <f>SUMIFS([1]اردیبهشت!$AD$2:$AD$366,[1]اردیبهشت!$N$2:$N$366,$C$15,[1]اردیبهشت!$D$2:$D$366,$F$15,[1]اردیبهشت!$AA$2:$AA$366,S3)</f>
        <v>0</v>
      </c>
      <c r="T15" s="177">
        <f>SUMIFS([1]اردیبهشت!$AD$2:$AD$366,[1]اردیبهشت!$N$2:$N$366,$C$15,[1]اردیبهشت!$D$2:$D$366,$F$15,[1]اردیبهشت!$AA$2:$AA$366,T3)</f>
        <v>0</v>
      </c>
      <c r="U15" s="113">
        <f>SUMIFS([1]اردیبهشت!$AD$2:$AD$366,[1]اردیبهشت!$N$2:$N$366,$C$15,[1]اردیبهشت!$D$2:$D$366,$F$15,[1]اردیبهشت!$AA$2:$AA$366,U3)</f>
        <v>0</v>
      </c>
    </row>
    <row r="16" spans="1:21" ht="36" customHeight="1" x14ac:dyDescent="0.25">
      <c r="A16" s="214"/>
      <c r="B16" s="216"/>
      <c r="C16" s="224"/>
      <c r="D16" s="253"/>
      <c r="E16" s="932" t="s">
        <v>15</v>
      </c>
      <c r="F16" s="27"/>
      <c r="G16" s="1">
        <f t="shared" si="0"/>
        <v>0</v>
      </c>
      <c r="H16" s="49">
        <f t="shared" si="1"/>
        <v>0</v>
      </c>
      <c r="I16" s="1">
        <v>0</v>
      </c>
      <c r="J16" s="1">
        <v>0</v>
      </c>
      <c r="K16" s="1">
        <v>0</v>
      </c>
      <c r="L16" s="1">
        <v>0</v>
      </c>
      <c r="M16" s="4"/>
      <c r="N16" s="928" t="s">
        <v>44</v>
      </c>
      <c r="O16" s="292">
        <f>SUMIFS([1]اردیبهشت!$AD$2:$AD$366,[1]اردیبهشت!$N$2:$N$366,$C$17,[1]اردیبهشت!$D$2:$D$366,$F$16,[1]اردیبهشت!$AA$2:$AA$366,O3)</f>
        <v>0</v>
      </c>
      <c r="P16" s="169">
        <f>SUMIFS([1]اردیبهشت!$AD$2:$AD$366,[1]اردیبهشت!$N$2:$N$366,$C$17,[1]اردیبهشت!$D$2:$D$366,$F$16,[1]اردیبهشت!$AA$2:$AA$366,P3)</f>
        <v>0</v>
      </c>
      <c r="Q16" s="169">
        <f>SUMIFS([1]اردیبهشت!$AD$2:$AD$366,[1]اردیبهشت!$N$2:$N$366,$C$17,[1]اردیبهشت!$D$2:$D$366,$F$16,[1]اردیبهشت!$AA$2:$AA$366,Q3)</f>
        <v>0</v>
      </c>
      <c r="R16" s="169">
        <f>SUMIFS([1]اردیبهشت!$AD$2:$AD$366,[1]اردیبهشت!$N$2:$N$366,$C$17,[1]اردیبهشت!$D$2:$D$366,$F$16,[1]اردیبهشت!$AA$2:$AA$366,R3)</f>
        <v>0</v>
      </c>
      <c r="S16" s="169">
        <f>SUMIFS([1]اردیبهشت!$AD$2:$AD$366,[1]اردیبهشت!$N$2:$N$366,$C$17,[1]اردیبهشت!$D$2:$D$366,$F$16,[1]اردیبهشت!$AA$2:$AA$366,S3)</f>
        <v>0</v>
      </c>
      <c r="T16" s="169">
        <f>SUMIFS([1]اردیبهشت!$AD$2:$AD$366,[1]اردیبهشت!$N$2:$N$366,$C$17,[1]اردیبهشت!$D$2:$D$366,$F$16,[1]اردیبهشت!$AA$2:$AA$366,T3)</f>
        <v>0</v>
      </c>
      <c r="U16" s="107">
        <f>SUMIFS([1]اردیبهشت!$AD$2:$AD$366,[1]اردیبهشت!$N$2:$N$366,$C$17,[1]اردیبهشت!$D$2:$D$366,$F$16,[1]اردیبهشت!$AA$2:$AA$366,U3)</f>
        <v>0</v>
      </c>
    </row>
    <row r="17" spans="1:21" ht="36" customHeight="1" x14ac:dyDescent="0.25">
      <c r="A17" s="214">
        <v>9</v>
      </c>
      <c r="B17" s="216" t="s">
        <v>21</v>
      </c>
      <c r="C17" s="256">
        <v>7302</v>
      </c>
      <c r="D17" s="246">
        <v>62.5</v>
      </c>
      <c r="E17" s="933"/>
      <c r="F17" s="22" t="s">
        <v>17</v>
      </c>
      <c r="G17" s="3">
        <f t="shared" si="0"/>
        <v>0</v>
      </c>
      <c r="H17" s="47">
        <f t="shared" si="1"/>
        <v>0</v>
      </c>
      <c r="I17" s="3">
        <v>6</v>
      </c>
      <c r="J17" s="3">
        <v>0</v>
      </c>
      <c r="K17" s="3">
        <v>0</v>
      </c>
      <c r="L17" s="3">
        <v>0</v>
      </c>
      <c r="M17" s="4">
        <f>SUM(G16:L18)-D17</f>
        <v>-56.5</v>
      </c>
      <c r="N17" s="929"/>
      <c r="O17" s="293">
        <f>SUMIFS([1]اردیبهشت!$AD$2:$AD$366,[1]اردیبهشت!$N$2:$N$366,$C$17,[1]اردیبهشت!$D$2:$D$366,$F$17,[1]اردیبهشت!$AA$2:$AA$366,O3)</f>
        <v>0</v>
      </c>
      <c r="P17" s="168">
        <f>SUMIFS([1]اردیبهشت!$AD$2:$AD$366,[1]اردیبهشت!$N$2:$N$366,$C$17,[1]اردیبهشت!$D$2:$D$366,$F$17,[1]اردیبهشت!$AA$2:$AA$366,P3)</f>
        <v>0</v>
      </c>
      <c r="Q17" s="168">
        <f>SUMIFS([1]اردیبهشت!$AD$2:$AD$366,[1]اردیبهشت!$N$2:$N$366,$C$17,[1]اردیبهشت!$D$2:$D$366,$F$17,[1]اردیبهشت!$AA$2:$AA$366,Q3)</f>
        <v>0</v>
      </c>
      <c r="R17" s="168">
        <f>SUMIFS([1]اردیبهشت!$AD$2:$AD$366,[1]اردیبهشت!$N$2:$N$366,$C$17,[1]اردیبهشت!$D$2:$D$366,$F$17,[1]اردیبهشت!$AA$2:$AA$366,R3)</f>
        <v>0</v>
      </c>
      <c r="S17" s="168">
        <f>SUMIFS([1]اردیبهشت!$AD$2:$AD$366,[1]اردیبهشت!$N$2:$N$366,$C$17,[1]اردیبهشت!$D$2:$D$366,$F$17,[1]اردیبهشت!$AA$2:$AA$366,S3)</f>
        <v>0</v>
      </c>
      <c r="T17" s="168">
        <f>SUMIFS([1]اردیبهشت!$AD$2:$AD$366,[1]اردیبهشت!$N$2:$N$366,$C$17,[1]اردیبهشت!$D$2:$D$366,$F$17,[1]اردیبهشت!$AA$2:$AA$366,T3)</f>
        <v>0</v>
      </c>
      <c r="U17" s="108">
        <f>SUMIFS([1]اردیبهشت!$AD$2:$AD$366,[1]اردیبهشت!$N$2:$N$366,$C$17,[1]اردیبهشت!$D$2:$D$366,$F$17,[1]اردیبهشت!$AA$2:$AA$366,U3)</f>
        <v>0</v>
      </c>
    </row>
    <row r="18" spans="1:21" ht="36" customHeight="1" thickBot="1" x14ac:dyDescent="0.3">
      <c r="A18" s="230"/>
      <c r="B18" s="43"/>
      <c r="C18" s="249"/>
      <c r="D18" s="247"/>
      <c r="E18" s="934"/>
      <c r="F18" s="5"/>
      <c r="G18" s="1">
        <f t="shared" si="0"/>
        <v>0</v>
      </c>
      <c r="H18" s="49">
        <f t="shared" si="1"/>
        <v>0</v>
      </c>
      <c r="I18" s="7">
        <v>0</v>
      </c>
      <c r="J18" s="7">
        <v>0</v>
      </c>
      <c r="K18" s="6">
        <v>0</v>
      </c>
      <c r="L18" s="6">
        <v>0</v>
      </c>
      <c r="M18" s="6"/>
      <c r="N18" s="930"/>
      <c r="O18" s="294">
        <f>SUMIFS([1]اردیبهشت!$AD$2:$AD$366,[1]اردیبهشت!$N$2:$N$366,$C$17,[1]اردیبهشت!$D$2:$D$366,$F$17,[1]اردیبهشت!$AA$2:$AA$366,O4)</f>
        <v>0</v>
      </c>
      <c r="P18" s="172">
        <f>SUMIFS([1]اردیبهشت!$AD$2:$AD$366,[1]اردیبهشت!$N$2:$N$366,$C$17,[1]اردیبهشت!$D$2:$D$366,$F$17,[1]اردیبهشت!$AA$2:$AA$366,P4)</f>
        <v>0</v>
      </c>
      <c r="Q18" s="172">
        <f>SUMIFS([1]اردیبهشت!$AD$2:$AD$366,[1]اردیبهشت!$N$2:$N$366,$C$17,[1]اردیبهشت!$D$2:$D$366,$F$17,[1]اردیبهشت!$AA$2:$AA$366,Q4)</f>
        <v>0</v>
      </c>
      <c r="R18" s="172">
        <f>SUMIFS([1]اردیبهشت!$AD$2:$AD$366,[1]اردیبهشت!$N$2:$N$366,$C$17,[1]اردیبهشت!$D$2:$D$366,$F$17,[1]اردیبهشت!$AA$2:$AA$366,R4)</f>
        <v>0</v>
      </c>
      <c r="S18" s="172">
        <f>SUMIFS([1]اردیبهشت!$AD$2:$AD$366,[1]اردیبهشت!$N$2:$N$366,$C$17,[1]اردیبهشت!$D$2:$D$366,$F$17,[1]اردیبهشت!$AA$2:$AA$366,S4)</f>
        <v>0</v>
      </c>
      <c r="T18" s="172">
        <f>SUMIFS([1]اردیبهشت!$AD$2:$AD$366,[1]اردیبهشت!$N$2:$N$366,$C$17,[1]اردیبهشت!$D$2:$D$366,$F$17,[1]اردیبهشت!$AA$2:$AA$366,T4)</f>
        <v>0</v>
      </c>
      <c r="U18" s="109">
        <f>SUMIFS([1]اردیبهشت!$AD$2:$AD$366,[1]اردیبهشت!$N$2:$N$366,$C$17,[1]اردیبهشت!$D$2:$D$366,$F$17,[1]اردیبهشت!$AA$2:$AA$366,U4)</f>
        <v>0</v>
      </c>
    </row>
    <row r="19" spans="1:21" ht="36" customHeight="1" thickBot="1" x14ac:dyDescent="0.3">
      <c r="A19" s="147">
        <v>10</v>
      </c>
      <c r="B19" s="143" t="s">
        <v>21</v>
      </c>
      <c r="C19" s="269">
        <v>7303</v>
      </c>
      <c r="D19" s="269">
        <v>44</v>
      </c>
      <c r="E19" s="269" t="s">
        <v>19</v>
      </c>
      <c r="F19" s="144" t="s">
        <v>23</v>
      </c>
      <c r="G19" s="85">
        <f t="shared" si="0"/>
        <v>0</v>
      </c>
      <c r="H19" s="86">
        <f t="shared" si="1"/>
        <v>0</v>
      </c>
      <c r="I19" s="89">
        <v>14.5</v>
      </c>
      <c r="J19" s="89">
        <v>0</v>
      </c>
      <c r="K19" s="89">
        <v>0</v>
      </c>
      <c r="L19" s="89">
        <v>0</v>
      </c>
      <c r="M19" s="89">
        <f>SUM(G19:L19)-44</f>
        <v>-29.5</v>
      </c>
      <c r="N19" s="305" t="s">
        <v>29</v>
      </c>
      <c r="O19" s="297">
        <f>SUMIFS([1]اردیبهشت!$AD$2:$AD$366,[1]اردیبهشت!$N$2:$N$366,$C$19,[1]اردیبهشت!$D$2:$D$366,$F$19,[1]اردیبهشت!$AA$2:$AA$366,O3)</f>
        <v>0</v>
      </c>
      <c r="P19" s="182">
        <f>SUMIFS([1]اردیبهشت!$AD$2:$AD$366,[1]اردیبهشت!$N$2:$N$366,$C$19,[1]اردیبهشت!$D$2:$D$366,$F$19,[1]اردیبهشت!$AA$2:$AA$366,P3)</f>
        <v>0</v>
      </c>
      <c r="Q19" s="182">
        <f>SUMIFS([1]اردیبهشت!$AD$2:$AD$366,[1]اردیبهشت!$N$2:$N$366,$C$19,[1]اردیبهشت!$D$2:$D$366,$F$19,[1]اردیبهشت!$AA$2:$AA$366,Q3)</f>
        <v>0</v>
      </c>
      <c r="R19" s="182">
        <f>SUMIFS([1]اردیبهشت!$AD$2:$AD$366,[1]اردیبهشت!$N$2:$N$366,$C$19,[1]اردیبهشت!$D$2:$D$366,$F$19,[1]اردیبهشت!$AA$2:$AA$366,R3)</f>
        <v>0</v>
      </c>
      <c r="S19" s="182">
        <f>SUMIFS([1]اردیبهشت!$AD$2:$AD$366,[1]اردیبهشت!$N$2:$N$366,$C$19,[1]اردیبهشت!$D$2:$D$366,$F$19,[1]اردیبهشت!$AA$2:$AA$366,S3)</f>
        <v>0</v>
      </c>
      <c r="T19" s="182">
        <f>SUMIFS([1]اردیبهشت!$AD$2:$AD$366,[1]اردیبهشت!$N$2:$N$366,$C$19,[1]اردیبهشت!$D$2:$D$366,$F$19,[1]اردیبهشت!$AA$2:$AA$366,T3)</f>
        <v>0</v>
      </c>
      <c r="U19" s="156">
        <f>SUMIFS([1]اردیبهشت!$AD$2:$AD$366,[1]اردیبهشت!$N$2:$N$366,$C$19,[1]اردیبهشت!$D$2:$D$366,$F$19,[1]اردیبهشت!$AA$2:$AA$366,U3)</f>
        <v>0</v>
      </c>
    </row>
    <row r="20" spans="1:21" ht="36" customHeight="1" x14ac:dyDescent="0.25">
      <c r="A20" s="229"/>
      <c r="B20" s="42"/>
      <c r="C20" s="248"/>
      <c r="D20" s="244"/>
      <c r="E20" s="932" t="s">
        <v>15</v>
      </c>
      <c r="F20" s="20" t="s">
        <v>16</v>
      </c>
      <c r="G20" s="9">
        <f t="shared" si="0"/>
        <v>0</v>
      </c>
      <c r="H20" s="46">
        <f t="shared" si="1"/>
        <v>0</v>
      </c>
      <c r="I20" s="9">
        <v>0</v>
      </c>
      <c r="J20" s="9">
        <v>0</v>
      </c>
      <c r="K20" s="9">
        <v>0</v>
      </c>
      <c r="L20" s="9">
        <v>0</v>
      </c>
      <c r="M20" s="21"/>
      <c r="N20" s="931" t="s">
        <v>53</v>
      </c>
      <c r="O20" s="292">
        <f>SUMIFS([1]اردیبهشت!$AD$2:$AD$366,[1]اردیبهشت!$N$2:$N$366,$C$21,[1]اردیبهشت!$D$2:$D$366,$F$20,[1]اردیبهشت!$AA$2:$AA$366,O3)</f>
        <v>0</v>
      </c>
      <c r="P20" s="169">
        <f>SUMIFS([1]اردیبهشت!$AD$2:$AD$366,[1]اردیبهشت!$N$2:$N$366,$C$21,[1]اردیبهشت!$D$2:$D$366,$F$20,[1]اردیبهشت!$AA$2:$AA$366,P3)</f>
        <v>0</v>
      </c>
      <c r="Q20" s="169">
        <f>SUMIFS([1]اردیبهشت!$AD$2:$AD$366,[1]اردیبهشت!$N$2:$N$366,$C$21,[1]اردیبهشت!$D$2:$D$366,$F$20,[1]اردیبهشت!$AA$2:$AA$366,Q3)</f>
        <v>0</v>
      </c>
      <c r="R20" s="169">
        <f>SUMIFS([1]اردیبهشت!$AD$2:$AD$366,[1]اردیبهشت!$N$2:$N$366,$C$21,[1]اردیبهشت!$D$2:$D$366,$F$20,[1]اردیبهشت!$AA$2:$AA$366,R3)</f>
        <v>0</v>
      </c>
      <c r="S20" s="169">
        <f>SUMIFS([1]اردیبهشت!$AD$2:$AD$366,[1]اردیبهشت!$N$2:$N$366,$C$21,[1]اردیبهشت!$D$2:$D$366,$F$20,[1]اردیبهشت!$AA$2:$AA$366,S3)</f>
        <v>0</v>
      </c>
      <c r="T20" s="169">
        <f>SUMIFS([1]اردیبهشت!$AD$2:$AD$366,[1]اردیبهشت!$N$2:$N$366,$C$21,[1]اردیبهشت!$D$2:$D$366,$F$20,[1]اردیبهشت!$AA$2:$AA$366,T3)</f>
        <v>0</v>
      </c>
      <c r="U20" s="107">
        <f>SUMIFS([1]اردیبهشت!$AD$2:$AD$366,[1]اردیبهشت!$N$2:$N$366,$C$21,[1]اردیبهشت!$D$2:$D$366,$F$20,[1]اردیبهشت!$AA$2:$AA$366,U3)</f>
        <v>0</v>
      </c>
    </row>
    <row r="21" spans="1:21" ht="36" customHeight="1" x14ac:dyDescent="0.25">
      <c r="A21" s="214">
        <v>11</v>
      </c>
      <c r="B21" s="216" t="s">
        <v>24</v>
      </c>
      <c r="C21" s="256">
        <v>7401</v>
      </c>
      <c r="D21" s="246">
        <v>62.5</v>
      </c>
      <c r="E21" s="933"/>
      <c r="F21" s="22" t="s">
        <v>54</v>
      </c>
      <c r="G21" s="3">
        <f t="shared" si="0"/>
        <v>0</v>
      </c>
      <c r="H21" s="47">
        <f t="shared" si="1"/>
        <v>0</v>
      </c>
      <c r="I21" s="3">
        <v>0</v>
      </c>
      <c r="J21" s="3">
        <v>0</v>
      </c>
      <c r="K21" s="3">
        <v>0</v>
      </c>
      <c r="L21" s="3">
        <v>0</v>
      </c>
      <c r="M21" s="1">
        <f>SUM(G20:L22)-D21</f>
        <v>-62.5</v>
      </c>
      <c r="N21" s="929"/>
      <c r="O21" s="293">
        <f>SUMIFS([1]اردیبهشت!$AD$2:$AD$366,[1]اردیبهشت!$N$2:$N$366,$C$21,[1]اردیبهشت!$D$2:$D$366,$F$21,[1]اردیبهشت!$AA$2:$AA$366,O3)</f>
        <v>0</v>
      </c>
      <c r="P21" s="168">
        <f>SUMIFS([1]اردیبهشت!$AD$2:$AD$366,[1]اردیبهشت!$N$2:$N$366,$C$21,[1]اردیبهشت!$D$2:$D$366,$F$21,[1]اردیبهشت!$AA$2:$AA$366,P3)</f>
        <v>0</v>
      </c>
      <c r="Q21" s="168">
        <f>SUMIFS([1]اردیبهشت!$AD$2:$AD$366,[1]اردیبهشت!$N$2:$N$366,$C$21,[1]اردیبهشت!$D$2:$D$366,$F$21,[1]اردیبهشت!$AA$2:$AA$366,Q3)</f>
        <v>0</v>
      </c>
      <c r="R21" s="168">
        <f>SUMIFS([1]اردیبهشت!$AD$2:$AD$366,[1]اردیبهشت!$N$2:$N$366,$C$21,[1]اردیبهشت!$D$2:$D$366,$F$21,[1]اردیبهشت!$AA$2:$AA$366,R3)</f>
        <v>0</v>
      </c>
      <c r="S21" s="168">
        <f>SUMIFS([1]اردیبهشت!$AD$2:$AD$366,[1]اردیبهشت!$N$2:$N$366,$C$21,[1]اردیبهشت!$D$2:$D$366,$F$21,[1]اردیبهشت!$AA$2:$AA$366,S3)</f>
        <v>0</v>
      </c>
      <c r="T21" s="168">
        <f>SUMIFS([1]اردیبهشت!$AD$2:$AD$366,[1]اردیبهشت!$N$2:$N$366,$C$21,[1]اردیبهشت!$D$2:$D$366,$F$21,[1]اردیبهشت!$AA$2:$AA$366,T3)</f>
        <v>0</v>
      </c>
      <c r="U21" s="108">
        <f>SUMIFS([1]اردیبهشت!$AD$2:$AD$366,[1]اردیبهشت!$N$2:$N$366,$C$21,[1]اردیبهشت!$D$2:$D$366,$F$21,[1]اردیبهشت!$AA$2:$AA$366,U3)</f>
        <v>0</v>
      </c>
    </row>
    <row r="22" spans="1:21" ht="36" customHeight="1" thickBot="1" x14ac:dyDescent="0.3">
      <c r="A22" s="230"/>
      <c r="B22" s="43" t="s">
        <v>24</v>
      </c>
      <c r="C22" s="249"/>
      <c r="D22" s="246"/>
      <c r="E22" s="934"/>
      <c r="F22" s="5"/>
      <c r="G22" s="1">
        <f t="shared" si="0"/>
        <v>0</v>
      </c>
      <c r="H22" s="49">
        <f t="shared" si="1"/>
        <v>0</v>
      </c>
      <c r="I22" s="7">
        <v>0</v>
      </c>
      <c r="J22" s="7">
        <v>0</v>
      </c>
      <c r="K22" s="6">
        <v>0</v>
      </c>
      <c r="L22" s="6">
        <v>0</v>
      </c>
      <c r="M22" s="6"/>
      <c r="N22" s="930"/>
      <c r="O22" s="294">
        <f>SUMIFS([1]اردیبهشت!$AD$2:$AD$366,[1]اردیبهشت!$N$2:$N$366,$C$22,[1]اردیبهشت!$D$2:$D$366,$F$22,[1]اردیبهشت!$AA$2:$AA$366,O3)</f>
        <v>0</v>
      </c>
      <c r="P22" s="172">
        <f>SUMIFS([1]اردیبهشت!$AD$2:$AD$366,[1]اردیبهشت!$N$2:$N$366,$C$22,[1]اردیبهشت!$D$2:$D$366,$F$22,[1]اردیبهشت!$AA$2:$AA$366,P3)</f>
        <v>0</v>
      </c>
      <c r="Q22" s="172">
        <f>SUMIFS([1]اردیبهشت!$AD$2:$AD$366,[1]اردیبهشت!$N$2:$N$366,$C$22,[1]اردیبهشت!$D$2:$D$366,$F$22,[1]اردیبهشت!$AA$2:$AA$366,Q3)</f>
        <v>0</v>
      </c>
      <c r="R22" s="172">
        <f>SUMIFS([1]اردیبهشت!$AD$2:$AD$366,[1]اردیبهشت!$N$2:$N$366,$C$22,[1]اردیبهشت!$D$2:$D$366,$F$22,[1]اردیبهشت!$AA$2:$AA$366,R3)</f>
        <v>0</v>
      </c>
      <c r="S22" s="172">
        <f>SUMIFS([1]اردیبهشت!$AD$2:$AD$366,[1]اردیبهشت!$N$2:$N$366,$C$22,[1]اردیبهشت!$D$2:$D$366,$F$22,[1]اردیبهشت!$AA$2:$AA$366,S3)</f>
        <v>0</v>
      </c>
      <c r="T22" s="172">
        <f>SUMIFS([1]اردیبهشت!$AD$2:$AD$366,[1]اردیبهشت!$N$2:$N$366,$C$22,[1]اردیبهشت!$D$2:$D$366,$F$22,[1]اردیبهشت!$AA$2:$AA$366,T3)</f>
        <v>0</v>
      </c>
      <c r="U22" s="109">
        <f>SUMIFS([1]اردیبهشت!$AD$2:$AD$366,[1]اردیبهشت!$N$2:$N$366,$C$22,[1]اردیبهشت!$D$2:$D$366,$F$22,[1]اردیبهشت!$AA$2:$AA$366,U3)</f>
        <v>0</v>
      </c>
    </row>
    <row r="23" spans="1:21" ht="36" customHeight="1" x14ac:dyDescent="0.25">
      <c r="A23" s="214"/>
      <c r="B23" s="248"/>
      <c r="C23" s="244"/>
      <c r="D23" s="244"/>
      <c r="E23" s="932" t="s">
        <v>19</v>
      </c>
      <c r="F23" s="20"/>
      <c r="G23" s="9">
        <f t="shared" si="0"/>
        <v>0</v>
      </c>
      <c r="H23" s="46">
        <f t="shared" si="1"/>
        <v>0</v>
      </c>
      <c r="I23" s="9">
        <v>0</v>
      </c>
      <c r="J23" s="9">
        <v>0</v>
      </c>
      <c r="K23" s="9">
        <v>0</v>
      </c>
      <c r="L23" s="9">
        <v>0</v>
      </c>
      <c r="M23" s="21"/>
      <c r="N23" s="931" t="s">
        <v>28</v>
      </c>
      <c r="O23" s="292">
        <f>SUMIFS([1]اردیبهشت!$AD$2:$AD$366,[1]اردیبهشت!$N$2:$N$366,$C$24,[1]اردیبهشت!$D$2:$D$366,$F$23,[1]اردیبهشت!$AA$2:$AA$366,O3)</f>
        <v>0</v>
      </c>
      <c r="P23" s="169">
        <f>SUMIFS([1]اردیبهشت!$AD$2:$AD$366,[1]اردیبهشت!$N$2:$N$366,$C$24,[1]اردیبهشت!$D$2:$D$366,$F$23,[1]اردیبهشت!$AA$2:$AA$366,P3)</f>
        <v>0</v>
      </c>
      <c r="Q23" s="169">
        <f>SUMIFS([1]اردیبهشت!$AD$2:$AD$366,[1]اردیبهشت!$N$2:$N$366,$C$24,[1]اردیبهشت!$D$2:$D$366,$F$23,[1]اردیبهشت!$AA$2:$AA$366,Q3)</f>
        <v>0</v>
      </c>
      <c r="R23" s="169">
        <f>SUMIFS([1]اردیبهشت!$AD$2:$AD$366,[1]اردیبهشت!$N$2:$N$366,$C$24,[1]اردیبهشت!$D$2:$D$366,$F$23,[1]اردیبهشت!$AA$2:$AA$366,R3)</f>
        <v>0</v>
      </c>
      <c r="S23" s="169">
        <f>SUMIFS([1]اردیبهشت!$AD$2:$AD$366,[1]اردیبهشت!$N$2:$N$366,$C$24,[1]اردیبهشت!$D$2:$D$366,$F$23,[1]اردیبهشت!$AA$2:$AA$366,S3)</f>
        <v>0</v>
      </c>
      <c r="T23" s="169">
        <f>SUMIFS([1]اردیبهشت!$AD$2:$AD$366,[1]اردیبهشت!$N$2:$N$366,$C$24,[1]اردیبهشت!$D$2:$D$366,$F$23,[1]اردیبهشت!$AA$2:$AA$366,T3)</f>
        <v>0</v>
      </c>
      <c r="U23" s="107">
        <f>SUMIFS([1]اردیبهشت!$AD$2:$AD$366,[1]اردیبهشت!$N$2:$N$366,$C$24,[1]اردیبهشت!$D$2:$D$366,$F$23,[1]اردیبهشت!$AA$2:$AA$366,U3)</f>
        <v>0</v>
      </c>
    </row>
    <row r="24" spans="1:21" ht="36" customHeight="1" x14ac:dyDescent="0.25">
      <c r="A24" s="214">
        <v>12</v>
      </c>
      <c r="B24" s="256" t="s">
        <v>25</v>
      </c>
      <c r="C24" s="259">
        <v>7501</v>
      </c>
      <c r="D24" s="246">
        <v>62.5</v>
      </c>
      <c r="E24" s="933"/>
      <c r="F24" s="22" t="s">
        <v>36</v>
      </c>
      <c r="G24" s="3">
        <f t="shared" si="0"/>
        <v>0</v>
      </c>
      <c r="H24" s="47">
        <f t="shared" si="1"/>
        <v>0</v>
      </c>
      <c r="I24" s="3">
        <v>0</v>
      </c>
      <c r="J24" s="3">
        <v>0</v>
      </c>
      <c r="K24" s="3">
        <v>0</v>
      </c>
      <c r="L24" s="3">
        <v>0</v>
      </c>
      <c r="M24" s="4">
        <f>SUM(G23:L25)-D24</f>
        <v>-62.5</v>
      </c>
      <c r="N24" s="929"/>
      <c r="O24" s="293">
        <f>SUMIFS([1]اردیبهشت!$AD$2:$AD$366,[1]اردیبهشت!$N$2:$N$366,$C$24,[1]اردیبهشت!$D$2:$D$366,$F$24,[1]اردیبهشت!$AA$2:$AA$366,O3)</f>
        <v>0</v>
      </c>
      <c r="P24" s="168">
        <f>SUMIFS([1]اردیبهشت!$AD$2:$AD$366,[1]اردیبهشت!$N$2:$N$366,$C$24,[1]اردیبهشت!$D$2:$D$366,$F$24,[1]اردیبهشت!$AA$2:$AA$366,P3)</f>
        <v>0</v>
      </c>
      <c r="Q24" s="168">
        <f>SUMIFS([1]اردیبهشت!$AD$2:$AD$366,[1]اردیبهشت!$N$2:$N$366,$C$24,[1]اردیبهشت!$D$2:$D$366,$F$24,[1]اردیبهشت!$AA$2:$AA$366,Q3)</f>
        <v>0</v>
      </c>
      <c r="R24" s="168">
        <f>SUMIFS([1]اردیبهشت!$AD$2:$AD$366,[1]اردیبهشت!$N$2:$N$366,$C$24,[1]اردیبهشت!$D$2:$D$366,$F$24,[1]اردیبهشت!$AA$2:$AA$366,R3)</f>
        <v>0</v>
      </c>
      <c r="S24" s="168">
        <f>SUMIFS([1]اردیبهشت!$AD$2:$AD$366,[1]اردیبهشت!$N$2:$N$366,$C$24,[1]اردیبهشت!$D$2:$D$366,$F$24,[1]اردیبهشت!$AA$2:$AA$366,S3)</f>
        <v>0</v>
      </c>
      <c r="T24" s="168">
        <f>SUMIFS([1]اردیبهشت!$AD$2:$AD$366,[1]اردیبهشت!$N$2:$N$366,$C$24,[1]اردیبهشت!$D$2:$D$366,$F$24,[1]اردیبهشت!$AA$2:$AA$366,T3)</f>
        <v>0</v>
      </c>
      <c r="U24" s="108">
        <f>SUMIFS([1]اردیبهشت!$AD$2:$AD$366,[1]اردیبهشت!$N$2:$N$366,$C$24,[1]اردیبهشت!$D$2:$D$366,$F$24,[1]اردیبهشت!$AA$2:$AA$366,U3)</f>
        <v>0</v>
      </c>
    </row>
    <row r="25" spans="1:21" ht="36" customHeight="1" thickBot="1" x14ac:dyDescent="0.3">
      <c r="A25" s="230"/>
      <c r="B25" s="249"/>
      <c r="C25" s="247"/>
      <c r="D25" s="247"/>
      <c r="E25" s="934"/>
      <c r="F25" s="5"/>
      <c r="G25" s="1">
        <f t="shared" si="0"/>
        <v>0</v>
      </c>
      <c r="H25" s="49">
        <f t="shared" si="1"/>
        <v>0</v>
      </c>
      <c r="I25" s="7">
        <v>0</v>
      </c>
      <c r="J25" s="7">
        <v>0</v>
      </c>
      <c r="K25" s="6">
        <v>0</v>
      </c>
      <c r="L25" s="6">
        <v>0</v>
      </c>
      <c r="M25" s="6"/>
      <c r="N25" s="930"/>
      <c r="O25" s="294">
        <f>SUMIFS([1]اردیبهشت!$AD$2:$AD$366,[1]اردیبهشت!$N$2:$N$366,$C$24,[1]اردیبهشت!$D$2:$D$366,$F$25,[1]اردیبهشت!$AA$2:$AA$366,O3)</f>
        <v>0</v>
      </c>
      <c r="P25" s="172">
        <f>SUMIFS([1]اردیبهشت!$AD$2:$AD$366,[1]اردیبهشت!$N$2:$N$366,$C$24,[1]اردیبهشت!$D$2:$D$366,$F$25,[1]اردیبهشت!$AA$2:$AA$366,P3)</f>
        <v>0</v>
      </c>
      <c r="Q25" s="172">
        <f>SUMIFS([1]اردیبهشت!$AD$2:$AD$366,[1]اردیبهشت!$N$2:$N$366,$C$24,[1]اردیبهشت!$D$2:$D$366,$F$25,[1]اردیبهشت!$AA$2:$AA$366,Q3)</f>
        <v>0</v>
      </c>
      <c r="R25" s="172">
        <f>SUMIFS([1]اردیبهشت!$AD$2:$AD$366,[1]اردیبهشت!$N$2:$N$366,$C$24,[1]اردیبهشت!$D$2:$D$366,$F$25,[1]اردیبهشت!$AA$2:$AA$366,R3)</f>
        <v>0</v>
      </c>
      <c r="S25" s="172">
        <f>SUMIFS([1]اردیبهشت!$AD$2:$AD$366,[1]اردیبهشت!$N$2:$N$366,$C$24,[1]اردیبهشت!$D$2:$D$366,$F$25,[1]اردیبهشت!$AA$2:$AA$366,S3)</f>
        <v>0</v>
      </c>
      <c r="T25" s="172">
        <f>SUMIFS([1]اردیبهشت!$AD$2:$AD$366,[1]اردیبهشت!$N$2:$N$366,$C$24,[1]اردیبهشت!$D$2:$D$366,$F$25,[1]اردیبهشت!$AA$2:$AA$366,T3)</f>
        <v>0</v>
      </c>
      <c r="U25" s="109">
        <f>SUMIFS([1]اردیبهشت!$AD$2:$AD$366,[1]اردیبهشت!$N$2:$N$366,$C$24,[1]اردیبهشت!$D$2:$D$366,$F$25,[1]اردیبهشت!$AA$2:$AA$366,U3)</f>
        <v>0</v>
      </c>
    </row>
    <row r="26" spans="1:21" ht="36" customHeight="1" x14ac:dyDescent="0.25">
      <c r="A26" s="214"/>
      <c r="B26" s="248"/>
      <c r="C26" s="244"/>
      <c r="D26" s="244"/>
      <c r="E26" s="935" t="s">
        <v>50</v>
      </c>
      <c r="F26" s="20"/>
      <c r="G26" s="9">
        <f t="shared" si="0"/>
        <v>0</v>
      </c>
      <c r="H26" s="46">
        <f t="shared" si="1"/>
        <v>0</v>
      </c>
      <c r="I26" s="85">
        <v>0</v>
      </c>
      <c r="J26" s="85">
        <v>0</v>
      </c>
      <c r="K26" s="85">
        <v>0</v>
      </c>
      <c r="L26" s="85">
        <v>0</v>
      </c>
      <c r="M26" s="21"/>
      <c r="N26" s="938" t="s">
        <v>42</v>
      </c>
      <c r="O26" s="292">
        <f>SUMIFS([1]اردیبهشت!$AD$2:$AD$366,[1]اردیبهشت!$N$2:$N$366,$C$27,[1]اردیبهشت!$D$2:$D$366,$F$26,[1]اردیبهشت!$AA$2:$AA$366,O3)</f>
        <v>0</v>
      </c>
      <c r="P26" s="169">
        <f>SUMIFS([1]اردیبهشت!$AD$2:$AD$366,[1]اردیبهشت!$N$2:$N$366,$C$27,[1]اردیبهشت!$D$2:$D$366,$F$26,[1]اردیبهشت!$AA$2:$AA$366,P3)</f>
        <v>0</v>
      </c>
      <c r="Q26" s="169">
        <f>SUMIFS([1]اردیبهشت!$AD$2:$AD$366,[1]اردیبهشت!$N$2:$N$366,$C$27,[1]اردیبهشت!$D$2:$D$366,$F$26,[1]اردیبهشت!$AA$2:$AA$366,Q3)</f>
        <v>0</v>
      </c>
      <c r="R26" s="169">
        <f>SUMIFS([1]اردیبهشت!$AD$2:$AD$366,[1]اردیبهشت!$N$2:$N$366,$C$27,[1]اردیبهشت!$D$2:$D$366,$F$26,[1]اردیبهشت!$AA$2:$AA$366,R3)</f>
        <v>0</v>
      </c>
      <c r="S26" s="169">
        <f>SUMIFS([1]اردیبهشت!$AD$2:$AD$366,[1]اردیبهشت!$N$2:$N$366,$C$27,[1]اردیبهشت!$D$2:$D$366,$F$26,[1]اردیبهشت!$AA$2:$AA$366,S3)</f>
        <v>0</v>
      </c>
      <c r="T26" s="169">
        <f>SUMIFS([1]اردیبهشت!$AD$2:$AD$366,[1]اردیبهشت!$N$2:$N$366,$C$27,[1]اردیبهشت!$D$2:$D$366,$F$26,[1]اردیبهشت!$AA$2:$AA$366,T3)</f>
        <v>0</v>
      </c>
      <c r="U26" s="107">
        <f>SUMIFS([1]اردیبهشت!$AD$2:$AD$366,[1]اردیبهشت!$N$2:$N$366,$C$27,[1]اردیبهشت!$D$2:$D$366,$F$26,[1]اردیبهشت!$AA$2:$AA$366,U3)</f>
        <v>0</v>
      </c>
    </row>
    <row r="27" spans="1:21" ht="36" customHeight="1" x14ac:dyDescent="0.25">
      <c r="A27" s="214">
        <v>13</v>
      </c>
      <c r="B27" s="146" t="s">
        <v>25</v>
      </c>
      <c r="C27" s="95">
        <v>7502</v>
      </c>
      <c r="D27" s="246">
        <v>62.5</v>
      </c>
      <c r="E27" s="936"/>
      <c r="F27" s="22" t="s">
        <v>36</v>
      </c>
      <c r="G27" s="3">
        <f t="shared" si="0"/>
        <v>0</v>
      </c>
      <c r="H27" s="47">
        <f t="shared" si="1"/>
        <v>0</v>
      </c>
      <c r="I27" s="3">
        <v>0</v>
      </c>
      <c r="J27" s="3">
        <v>0</v>
      </c>
      <c r="K27" s="3">
        <v>0</v>
      </c>
      <c r="L27" s="3">
        <v>0</v>
      </c>
      <c r="M27" s="4">
        <f>SUM(G26:L28)-D27</f>
        <v>-62.5</v>
      </c>
      <c r="N27" s="929"/>
      <c r="O27" s="293">
        <f>SUMIFS([1]اردیبهشت!$AD$2:$AD$366,[1]اردیبهشت!$N$2:$N$366,$C$27,[1]اردیبهشت!$D$2:$D$366,$F$27,[1]اردیبهشت!$AA$2:$AA$366,O3)</f>
        <v>0</v>
      </c>
      <c r="P27" s="168">
        <f>SUMIFS([1]اردیبهشت!$AD$2:$AD$366,[1]اردیبهشت!$N$2:$N$366,$C$27,[1]اردیبهشت!$D$2:$D$366,$F$27,[1]اردیبهشت!$AA$2:$AA$366,P3)</f>
        <v>0</v>
      </c>
      <c r="Q27" s="168">
        <f>SUMIFS([1]اردیبهشت!$AD$2:$AD$366,[1]اردیبهشت!$N$2:$N$366,$C$27,[1]اردیبهشت!$D$2:$D$366,$F$27,[1]اردیبهشت!$AA$2:$AA$366,Q3)</f>
        <v>0</v>
      </c>
      <c r="R27" s="168">
        <f>SUMIFS([1]اردیبهشت!$AD$2:$AD$366,[1]اردیبهشت!$N$2:$N$366,$C$27,[1]اردیبهشت!$D$2:$D$366,$F$27,[1]اردیبهشت!$AA$2:$AA$366,R3)</f>
        <v>0</v>
      </c>
      <c r="S27" s="168">
        <f>SUMIFS([1]اردیبهشت!$AD$2:$AD$366,[1]اردیبهشت!$N$2:$N$366,$C$27,[1]اردیبهشت!$D$2:$D$366,$F$27,[1]اردیبهشت!$AA$2:$AA$366,S3)</f>
        <v>0</v>
      </c>
      <c r="T27" s="168">
        <f>SUMIFS([1]اردیبهشت!$AD$2:$AD$366,[1]اردیبهشت!$N$2:$N$366,$C$27,[1]اردیبهشت!$D$2:$D$366,$F$27,[1]اردیبهشت!$AA$2:$AA$366,T3)</f>
        <v>0</v>
      </c>
      <c r="U27" s="108">
        <f>SUMIFS([1]اردیبهشت!$AD$2:$AD$366,[1]اردیبهشت!$N$2:$N$366,$C$27,[1]اردیبهشت!$D$2:$D$366,$F$27,[1]اردیبهشت!$AA$2:$AA$366,U3)</f>
        <v>0</v>
      </c>
    </row>
    <row r="28" spans="1:21" ht="36" customHeight="1" thickBot="1" x14ac:dyDescent="0.3">
      <c r="A28" s="230"/>
      <c r="B28" s="249"/>
      <c r="C28" s="247"/>
      <c r="D28" s="247"/>
      <c r="E28" s="937"/>
      <c r="F28" s="5"/>
      <c r="G28" s="6">
        <f t="shared" si="0"/>
        <v>0</v>
      </c>
      <c r="H28" s="64">
        <f t="shared" si="1"/>
        <v>0</v>
      </c>
      <c r="I28" s="7">
        <v>0</v>
      </c>
      <c r="J28" s="7">
        <v>0</v>
      </c>
      <c r="K28" s="6">
        <v>0</v>
      </c>
      <c r="L28" s="6">
        <v>0</v>
      </c>
      <c r="M28" s="6"/>
      <c r="N28" s="930"/>
      <c r="O28" s="294">
        <f>SUMIFS([1]اردیبهشت!$AD$2:$AD$366,[1]اردیبهشت!$N$2:$N$366,$C$27,[1]اردیبهشت!$D$2:$D$366,$F$28,[1]اردیبهشت!$AA$2:$AA$366,O3)</f>
        <v>0</v>
      </c>
      <c r="P28" s="172">
        <f>SUMIFS([1]اردیبهشت!$AD$2:$AD$366,[1]اردیبهشت!$N$2:$N$366,$C$27,[1]اردیبهشت!$D$2:$D$366,$F$28,[1]اردیبهشت!$AA$2:$AA$366,P3)</f>
        <v>0</v>
      </c>
      <c r="Q28" s="172">
        <f>SUMIFS([1]اردیبهشت!$AD$2:$AD$366,[1]اردیبهشت!$N$2:$N$366,$C$27,[1]اردیبهشت!$D$2:$D$366,$F$28,[1]اردیبهشت!$AA$2:$AA$366,Q3)</f>
        <v>0</v>
      </c>
      <c r="R28" s="172">
        <f>SUMIFS([1]اردیبهشت!$AD$2:$AD$366,[1]اردیبهشت!$N$2:$N$366,$C$27,[1]اردیبهشت!$D$2:$D$366,$F$28,[1]اردیبهشت!$AA$2:$AA$366,R3)</f>
        <v>0</v>
      </c>
      <c r="S28" s="172">
        <f>SUMIFS([1]اردیبهشت!$AD$2:$AD$366,[1]اردیبهشت!$N$2:$N$366,$C$27,[1]اردیبهشت!$D$2:$D$366,$F$28,[1]اردیبهشت!$AA$2:$AA$366,S3)</f>
        <v>0</v>
      </c>
      <c r="T28" s="172">
        <f>SUMIFS([1]اردیبهشت!$AD$2:$AD$366,[1]اردیبهشت!$N$2:$N$366,$C$27,[1]اردیبهشت!$D$2:$D$366,$F$28,[1]اردیبهشت!$AA$2:$AA$366,T3)</f>
        <v>0</v>
      </c>
      <c r="U28" s="109">
        <f>SUMIFS([1]اردیبهشت!$AD$2:$AD$366,[1]اردیبهشت!$N$2:$N$366,$C$27,[1]اردیبهشت!$D$2:$D$366,$F$28,[1]اردیبهشت!$AA$2:$AA$366,U3)</f>
        <v>0</v>
      </c>
    </row>
    <row r="29" spans="1:21" ht="42" customHeight="1" x14ac:dyDescent="0.25">
      <c r="A29" s="939">
        <v>14</v>
      </c>
      <c r="B29" s="83" t="s">
        <v>26</v>
      </c>
      <c r="C29" s="266">
        <v>7601</v>
      </c>
      <c r="D29" s="266">
        <v>68</v>
      </c>
      <c r="E29" s="914" t="s">
        <v>15</v>
      </c>
      <c r="F29" s="84" t="s">
        <v>27</v>
      </c>
      <c r="G29" s="85">
        <f t="shared" si="0"/>
        <v>0</v>
      </c>
      <c r="H29" s="86">
        <f t="shared" si="1"/>
        <v>0</v>
      </c>
      <c r="I29" s="85">
        <v>16</v>
      </c>
      <c r="J29" s="85">
        <v>0</v>
      </c>
      <c r="K29" s="85">
        <v>0</v>
      </c>
      <c r="L29" s="85">
        <v>0</v>
      </c>
      <c r="M29" s="87">
        <f>(J29+J30+I30+I29+H29+H30+G30+G29+L29+K29)-D29</f>
        <v>-52</v>
      </c>
      <c r="N29" s="941" t="s">
        <v>29</v>
      </c>
      <c r="O29" s="298">
        <f>SUMIFS([1]اردیبهشت!$AD$2:$AD$366,[1]اردیبهشت!$N$2:$N$366,$C$29,[1]اردیبهشت!$D$2:$D$366,$F$29,[1]اردیبهشت!$AA$2:$AA$366,O3)</f>
        <v>0</v>
      </c>
      <c r="P29" s="188">
        <f>SUMIFS([1]اردیبهشت!$AD$2:$AD$366,[1]اردیبهشت!$N$2:$N$366,$C$29,[1]اردیبهشت!$D$2:$D$366,$F$29,[1]اردیبهشت!$AA$2:$AA$366,P3)</f>
        <v>0</v>
      </c>
      <c r="Q29" s="188">
        <f>SUMIFS([1]اردیبهشت!$AD$2:$AD$366,[1]اردیبهشت!$N$2:$N$366,$C$29,[1]اردیبهشت!$D$2:$D$366,$F$29,[1]اردیبهشت!$AA$2:$AA$366,Q3)</f>
        <v>0</v>
      </c>
      <c r="R29" s="188">
        <f>SUMIFS([1]اردیبهشت!$AD$2:$AD$366,[1]اردیبهشت!$N$2:$N$366,$C$29,[1]اردیبهشت!$D$2:$D$366,$F$29,[1]اردیبهشت!$AA$2:$AA$366,R3)</f>
        <v>0</v>
      </c>
      <c r="S29" s="188">
        <f>SUMIFS([1]اردیبهشت!$AD$2:$AD$366,[1]اردیبهشت!$N$2:$N$366,$C$29,[1]اردیبهشت!$D$2:$D$366,$F$29,[1]اردیبهشت!$AA$2:$AA$366,S3)</f>
        <v>0</v>
      </c>
      <c r="T29" s="188">
        <f>SUMIFS([1]اردیبهشت!$AD$2:$AD$366,[1]اردیبهشت!$N$2:$N$366,$C$29,[1]اردیبهشت!$D$2:$D$366,$F$29,[1]اردیبهشت!$AA$2:$AA$366,T3)</f>
        <v>0</v>
      </c>
      <c r="U29" s="128">
        <f>SUMIFS([1]اردیبهشت!$AD$2:$AD$366,[1]اردیبهشت!$N$2:$N$366,$C$29,[1]اردیبهشت!$D$2:$D$366,$F$29,[1]اردیبهشت!$AA$2:$AA$366,U3)</f>
        <v>0</v>
      </c>
    </row>
    <row r="30" spans="1:21" ht="42" customHeight="1" thickBot="1" x14ac:dyDescent="0.3">
      <c r="A30" s="940"/>
      <c r="B30" s="123"/>
      <c r="C30" s="270"/>
      <c r="D30" s="270"/>
      <c r="E30" s="915"/>
      <c r="F30" s="124"/>
      <c r="G30" s="93">
        <f t="shared" si="0"/>
        <v>0</v>
      </c>
      <c r="H30" s="92">
        <f t="shared" si="1"/>
        <v>0</v>
      </c>
      <c r="I30" s="125">
        <v>0</v>
      </c>
      <c r="J30" s="125">
        <v>0</v>
      </c>
      <c r="K30" s="126">
        <v>0</v>
      </c>
      <c r="L30" s="126">
        <v>0</v>
      </c>
      <c r="M30" s="127"/>
      <c r="N30" s="917"/>
      <c r="O30" s="299">
        <f>SUMIFS([1]اردیبهشت!$AD$2:$AD$366,[1]اردیبهشت!$N$2:$N$366,$C$29,[1]اردیبهشت!$D$2:$D$366,$F$30,[1]اردیبهشت!$AA$2:$AA$366,O3)</f>
        <v>0</v>
      </c>
      <c r="P30" s="275">
        <f>SUMIFS([1]اردیبهشت!$AD$2:$AD$366,[1]اردیبهشت!$N$2:$N$366,$C$29,[1]اردیبهشت!$D$2:$D$366,$F$30,[1]اردیبهشت!$AA$2:$AA$366,P3)</f>
        <v>0</v>
      </c>
      <c r="Q30" s="275">
        <f>SUMIFS([1]اردیبهشت!$AD$2:$AD$366,[1]اردیبهشت!$N$2:$N$366,$C$29,[1]اردیبهشت!$D$2:$D$366,$F$30,[1]اردیبهشت!$AA$2:$AA$366,Q3)</f>
        <v>0</v>
      </c>
      <c r="R30" s="275">
        <f>SUMIFS([1]اردیبهشت!$AD$2:$AD$366,[1]اردیبهشت!$N$2:$N$366,$C$29,[1]اردیبهشت!$D$2:$D$366,$F$30,[1]اردیبهشت!$AA$2:$AA$366,R3)</f>
        <v>0</v>
      </c>
      <c r="S30" s="275">
        <f>SUMIFS([1]اردیبهشت!$AD$2:$AD$366,[1]اردیبهشت!$N$2:$N$366,$C$29,[1]اردیبهشت!$D$2:$D$366,$F$30,[1]اردیبهشت!$AA$2:$AA$366,S3)</f>
        <v>0</v>
      </c>
      <c r="T30" s="275">
        <f>SUMIFS([1]اردیبهشت!$AD$2:$AD$366,[1]اردیبهشت!$N$2:$N$366,$C$29,[1]اردیبهشت!$D$2:$D$366,$F$30,[1]اردیبهشت!$AA$2:$AA$366,T3)</f>
        <v>0</v>
      </c>
      <c r="U30" s="121">
        <f>SUMIFS([1]اردیبهشت!$AD$2:$AD$366,[1]اردیبهشت!$N$2:$N$366,$C$29,[1]اردیبهشت!$D$2:$D$366,$F$30,[1]اردیبهشت!$AA$2:$AA$366,U3)</f>
        <v>0</v>
      </c>
    </row>
    <row r="31" spans="1:21" ht="42" customHeight="1" x14ac:dyDescent="0.25">
      <c r="A31" s="912">
        <v>15</v>
      </c>
      <c r="B31" s="83" t="s">
        <v>26</v>
      </c>
      <c r="C31" s="266">
        <v>7602</v>
      </c>
      <c r="D31" s="266">
        <v>68</v>
      </c>
      <c r="E31" s="914" t="s">
        <v>15</v>
      </c>
      <c r="F31" s="84" t="s">
        <v>27</v>
      </c>
      <c r="G31" s="9">
        <f t="shared" si="0"/>
        <v>0</v>
      </c>
      <c r="H31" s="46">
        <f t="shared" si="1"/>
        <v>0</v>
      </c>
      <c r="I31" s="85">
        <v>16</v>
      </c>
      <c r="J31" s="85">
        <v>0</v>
      </c>
      <c r="K31" s="85">
        <v>0</v>
      </c>
      <c r="L31" s="85">
        <v>0</v>
      </c>
      <c r="M31" s="87">
        <f>(J31+J32+I32+I31+H31+H32+G32+G31)-D31</f>
        <v>-52</v>
      </c>
      <c r="N31" s="916" t="s">
        <v>29</v>
      </c>
      <c r="O31" s="292">
        <f>SUMIFS([1]اردیبهشت!$AD$2:$AD$366,[1]اردیبهشت!$N$2:$N$366,$C$31,[1]اردیبهشت!$D$2:$D$366,$F$31,[1]اردیبهشت!$AA$2:$AA$366,O3)</f>
        <v>0</v>
      </c>
      <c r="P31" s="169">
        <f>SUMIFS([1]اردیبهشت!$AD$2:$AD$366,[1]اردیبهشت!$N$2:$N$366,$C$31,[1]اردیبهشت!$D$2:$D$366,$F$31,[1]اردیبهشت!$AA$2:$AA$366,P3)</f>
        <v>0</v>
      </c>
      <c r="Q31" s="169">
        <f>SUMIFS([1]اردیبهشت!$AD$2:$AD$366,[1]اردیبهشت!$N$2:$N$366,$C$31,[1]اردیبهشت!$D$2:$D$366,$F$31,[1]اردیبهشت!$AA$2:$AA$366,Q3)</f>
        <v>0</v>
      </c>
      <c r="R31" s="169">
        <f>SUMIFS([1]اردیبهشت!$AD$2:$AD$366,[1]اردیبهشت!$N$2:$N$366,$C$31,[1]اردیبهشت!$D$2:$D$366,$F$31,[1]اردیبهشت!$AA$2:$AA$366,R3)</f>
        <v>0</v>
      </c>
      <c r="S31" s="169">
        <f>SUMIFS([1]اردیبهشت!$AD$2:$AD$366,[1]اردیبهشت!$N$2:$N$366,$C$31,[1]اردیبهشت!$D$2:$D$366,$F$31,[1]اردیبهشت!$AA$2:$AA$366,S3)</f>
        <v>0</v>
      </c>
      <c r="T31" s="169">
        <f>SUMIFS([1]اردیبهشت!$AD$2:$AD$366,[1]اردیبهشت!$N$2:$N$366,$C$31,[1]اردیبهشت!$D$2:$D$366,$F$31,[1]اردیبهشت!$AA$2:$AA$366,T3)</f>
        <v>0</v>
      </c>
      <c r="U31" s="107">
        <f>SUMIFS([1]اردیبهشت!$AD$2:$AD$366,[1]اردیبهشت!$N$2:$N$366,$C$31,[1]اردیبهشت!$D$2:$D$366,$F$31,[1]اردیبهشت!$AA$2:$AA$366,U3)</f>
        <v>0</v>
      </c>
    </row>
    <row r="32" spans="1:21" ht="42" customHeight="1" thickBot="1" x14ac:dyDescent="0.3">
      <c r="A32" s="913"/>
      <c r="B32" s="123"/>
      <c r="C32" s="270"/>
      <c r="D32" s="270"/>
      <c r="E32" s="915"/>
      <c r="F32" s="124"/>
      <c r="G32" s="6">
        <f t="shared" si="0"/>
        <v>0</v>
      </c>
      <c r="H32" s="64">
        <f t="shared" si="1"/>
        <v>0</v>
      </c>
      <c r="I32" s="125">
        <v>0</v>
      </c>
      <c r="J32" s="125">
        <v>0</v>
      </c>
      <c r="K32" s="126">
        <v>0</v>
      </c>
      <c r="L32" s="126">
        <v>0</v>
      </c>
      <c r="M32" s="127"/>
      <c r="N32" s="917"/>
      <c r="O32" s="294">
        <f>SUMIFS([1]اردیبهشت!$AD$2:$AD$366,[1]اردیبهشت!$N$2:$N$366,$C$31,[1]اردیبهشت!$D$2:$D$366,$F$32,[1]اردیبهشت!$AA$2:$AA$366,O3)</f>
        <v>0</v>
      </c>
      <c r="P32" s="172">
        <f>SUMIFS([1]اردیبهشت!$AD$2:$AD$366,[1]اردیبهشت!$N$2:$N$366,$C$31,[1]اردیبهشت!$D$2:$D$366,$F$32,[1]اردیبهشت!$AA$2:$AA$366,P3)</f>
        <v>0</v>
      </c>
      <c r="Q32" s="172">
        <f>SUMIFS([1]اردیبهشت!$AD$2:$AD$366,[1]اردیبهشت!$N$2:$N$366,$C$31,[1]اردیبهشت!$D$2:$D$366,$F$32,[1]اردیبهشت!$AA$2:$AA$366,Q3)</f>
        <v>0</v>
      </c>
      <c r="R32" s="172">
        <f>SUMIFS([1]اردیبهشت!$AD$2:$AD$366,[1]اردیبهشت!$N$2:$N$366,$C$31,[1]اردیبهشت!$D$2:$D$366,$F$32,[1]اردیبهشت!$AA$2:$AA$366,R3)</f>
        <v>0</v>
      </c>
      <c r="S32" s="172">
        <f>SUMIFS([1]اردیبهشت!$AD$2:$AD$366,[1]اردیبهشت!$N$2:$N$366,$C$31,[1]اردیبهشت!$D$2:$D$366,$F$32,[1]اردیبهشت!$AA$2:$AA$366,S3)</f>
        <v>0</v>
      </c>
      <c r="T32" s="172">
        <f>SUMIFS([1]اردیبهشت!$AD$2:$AD$366,[1]اردیبهشت!$N$2:$N$366,$C$31,[1]اردیبهشت!$D$2:$D$366,$F$32,[1]اردیبهشت!$AA$2:$AA$366,T3)</f>
        <v>0</v>
      </c>
      <c r="U32" s="109">
        <f>SUMIFS([1]اردیبهشت!$AD$2:$AD$366,[1]اردیبهشت!$N$2:$N$366,$C$31,[1]اردیبهشت!$D$2:$D$366,$F$32,[1]اردیبهشت!$AA$2:$AA$366,U3)</f>
        <v>0</v>
      </c>
    </row>
    <row r="33" spans="1:21" ht="36" customHeight="1" x14ac:dyDescent="0.25">
      <c r="A33" s="912">
        <v>16</v>
      </c>
      <c r="B33" s="257" t="s">
        <v>26</v>
      </c>
      <c r="C33" s="244">
        <v>7603</v>
      </c>
      <c r="D33" s="244">
        <v>68</v>
      </c>
      <c r="E33" s="943" t="s">
        <v>15</v>
      </c>
      <c r="F33" s="84" t="s">
        <v>27</v>
      </c>
      <c r="G33" s="9">
        <f t="shared" si="0"/>
        <v>0</v>
      </c>
      <c r="H33" s="46">
        <f t="shared" si="1"/>
        <v>0</v>
      </c>
      <c r="I33" s="9">
        <v>0</v>
      </c>
      <c r="J33" s="9">
        <v>0</v>
      </c>
      <c r="K33" s="9">
        <v>0</v>
      </c>
      <c r="L33" s="9">
        <v>0</v>
      </c>
      <c r="M33" s="23">
        <f>(J33+J34+I34+I33+H33+H34+G34+G33+L33+L34)-D33</f>
        <v>-68</v>
      </c>
      <c r="N33" s="945" t="s">
        <v>29</v>
      </c>
      <c r="O33" s="292">
        <f>SUMIFS([1]اردیبهشت!$AD$2:$AD$366,[1]اردیبهشت!$N$2:$N$366,$C$33,[1]اردیبهشت!$D$2:$D$366,$F$33,[1]اردیبهشت!$AA$2:$AA$366,O3)</f>
        <v>0</v>
      </c>
      <c r="P33" s="169">
        <f>SUMIFS([1]اردیبهشت!$AD$2:$AD$366,[1]اردیبهشت!$N$2:$N$366,$C$33,[1]اردیبهشت!$D$2:$D$366,$F$33,[1]اردیبهشت!$AA$2:$AA$366,P3)</f>
        <v>0</v>
      </c>
      <c r="Q33" s="169">
        <f>SUMIFS([1]اردیبهشت!$AD$2:$AD$366,[1]اردیبهشت!$N$2:$N$366,$C$33,[1]اردیبهشت!$D$2:$D$366,$F$33,[1]اردیبهشت!$AA$2:$AA$366,Q3)</f>
        <v>0</v>
      </c>
      <c r="R33" s="169">
        <f>SUMIFS([1]اردیبهشت!$AD$2:$AD$366,[1]اردیبهشت!$N$2:$N$366,$C$33,[1]اردیبهشت!$D$2:$D$366,$F$33,[1]اردیبهشت!$AA$2:$AA$366,R3)</f>
        <v>0</v>
      </c>
      <c r="S33" s="169">
        <f>SUMIFS([1]اردیبهشت!$AD$2:$AD$366,[1]اردیبهشت!$N$2:$N$366,$C$33,[1]اردیبهشت!$D$2:$D$366,$F$33,[1]اردیبهشت!$AA$2:$AA$366,S3)</f>
        <v>0</v>
      </c>
      <c r="T33" s="169">
        <f>SUMIFS([1]اردیبهشت!$AD$2:$AD$366,[1]اردیبهشت!$N$2:$N$366,$C$33,[1]اردیبهشت!$D$2:$D$366,$F$33,[1]اردیبهشت!$AA$2:$AA$366,T3)</f>
        <v>0</v>
      </c>
      <c r="U33" s="107">
        <f>SUMIFS([1]اردیبهشت!$AD$2:$AD$366,[1]اردیبهشت!$N$2:$N$366,$C$33,[1]اردیبهشت!$D$2:$D$366,$F$33,[1]اردیبهشت!$AA$2:$AA$366,U3)</f>
        <v>0</v>
      </c>
    </row>
    <row r="34" spans="1:21" ht="36" customHeight="1" thickBot="1" x14ac:dyDescent="0.3">
      <c r="A34" s="942"/>
      <c r="B34" s="258"/>
      <c r="C34" s="247"/>
      <c r="D34" s="247"/>
      <c r="E34" s="944"/>
      <c r="F34" s="5"/>
      <c r="G34" s="1">
        <f t="shared" si="0"/>
        <v>0</v>
      </c>
      <c r="H34" s="49">
        <f t="shared" si="1"/>
        <v>0</v>
      </c>
      <c r="I34" s="7">
        <v>0</v>
      </c>
      <c r="J34" s="7">
        <v>0</v>
      </c>
      <c r="K34" s="6">
        <v>0</v>
      </c>
      <c r="L34" s="6">
        <v>0</v>
      </c>
      <c r="M34" s="8"/>
      <c r="N34" s="946"/>
      <c r="O34" s="294">
        <f>SUMIFS([1]اردیبهشت!$AD$2:$AD$600,[1]اردیبهشت!$N$2:$N$600,$C$33,[1]اردیبهشت!$D$2:$D$600,$F$34,[1]اردیبهشت!$AA$2:$AA$600,O3)</f>
        <v>0</v>
      </c>
      <c r="P34" s="172">
        <f>SUMIFS([1]اردیبهشت!$AD$2:$AD$366,[1]اردیبهشت!$N$2:$N$366,$C$33,[1]اردیبهشت!$D$2:$D$366,$F$34,[1]اردیبهشت!$AA$2:$AA$366,P3)</f>
        <v>0</v>
      </c>
      <c r="Q34" s="172">
        <f>SUMIFS([1]اردیبهشت!$AD$2:$AD$366,[1]اردیبهشت!$N$2:$N$366,$C$33,[1]اردیبهشت!$D$2:$D$366,$F$34,[1]اردیبهشت!$AA$2:$AA$366,Q3)</f>
        <v>0</v>
      </c>
      <c r="R34" s="172">
        <f>SUMIFS([1]اردیبهشت!$AD$2:$AD$366,[1]اردیبهشت!$N$2:$N$366,$C$33,[1]اردیبهشت!$D$2:$D$366,$F$34,[1]اردیبهشت!$AA$2:$AA$366,R3)</f>
        <v>0</v>
      </c>
      <c r="S34" s="172">
        <f>SUMIFS([1]اردیبهشت!$AD$2:$AD$366,[1]اردیبهشت!$N$2:$N$366,$C$33,[1]اردیبهشت!$D$2:$D$366,$F$34,[1]اردیبهشت!$AA$2:$AA$366,S3)</f>
        <v>0</v>
      </c>
      <c r="T34" s="172">
        <f>SUMIFS([1]اردیبهشت!$AD$2:$AD$366,[1]اردیبهشت!$N$2:$N$366,$C$33,[1]اردیبهشت!$D$2:$D$366,$F$34,[1]اردیبهشت!$AA$2:$AA$366,T3)</f>
        <v>0</v>
      </c>
      <c r="U34" s="109">
        <f>SUMIFS([1]اردیبهشت!$AD$2:$AD$366,[1]اردیبهشت!$N$2:$N$366,$C$33,[1]اردیبهشت!$D$2:$D$366,$F$34,[1]اردیبهشت!$AA$2:$AA$366,U3)</f>
        <v>0</v>
      </c>
    </row>
    <row r="35" spans="1:21" ht="36" customHeight="1" x14ac:dyDescent="0.25">
      <c r="A35" s="912">
        <v>17</v>
      </c>
      <c r="B35" s="81" t="s">
        <v>26</v>
      </c>
      <c r="C35" s="90">
        <v>7604</v>
      </c>
      <c r="D35" s="267">
        <v>68</v>
      </c>
      <c r="E35" s="947" t="s">
        <v>19</v>
      </c>
      <c r="F35" s="79"/>
      <c r="G35" s="9" t="s">
        <v>83</v>
      </c>
      <c r="H35" s="46">
        <f t="shared" si="1"/>
        <v>0</v>
      </c>
      <c r="I35" s="80">
        <v>0</v>
      </c>
      <c r="J35" s="80">
        <v>68</v>
      </c>
      <c r="K35" s="80">
        <v>0</v>
      </c>
      <c r="L35" s="80">
        <v>0</v>
      </c>
      <c r="M35" s="60"/>
      <c r="N35" s="949" t="s">
        <v>28</v>
      </c>
      <c r="O35" s="300"/>
      <c r="P35" s="193"/>
      <c r="Q35" s="193"/>
      <c r="R35" s="193"/>
      <c r="S35" s="193"/>
      <c r="T35" s="193"/>
      <c r="U35" s="155"/>
    </row>
    <row r="36" spans="1:21" ht="36" customHeight="1" thickBot="1" x14ac:dyDescent="0.3">
      <c r="A36" s="913"/>
      <c r="B36" s="213"/>
      <c r="C36" s="254"/>
      <c r="D36" s="245"/>
      <c r="E36" s="948"/>
      <c r="F36" s="24"/>
      <c r="G36" s="1">
        <f t="shared" si="0"/>
        <v>0</v>
      </c>
      <c r="H36" s="49">
        <f t="shared" si="1"/>
        <v>0</v>
      </c>
      <c r="I36" s="25">
        <v>0</v>
      </c>
      <c r="J36" s="25">
        <v>0</v>
      </c>
      <c r="K36" s="4">
        <v>0</v>
      </c>
      <c r="L36" s="4">
        <v>0</v>
      </c>
      <c r="M36" s="60"/>
      <c r="N36" s="950"/>
      <c r="O36" s="301"/>
      <c r="P36" s="282"/>
      <c r="Q36" s="282"/>
      <c r="R36" s="282"/>
      <c r="S36" s="282"/>
      <c r="T36" s="282"/>
      <c r="U36" s="157"/>
    </row>
    <row r="37" spans="1:21" ht="36" customHeight="1" x14ac:dyDescent="0.25">
      <c r="A37" s="954">
        <v>18</v>
      </c>
      <c r="B37" s="83" t="s">
        <v>26</v>
      </c>
      <c r="C37" s="266">
        <v>7605</v>
      </c>
      <c r="D37" s="266">
        <v>68</v>
      </c>
      <c r="E37" s="914" t="s">
        <v>15</v>
      </c>
      <c r="F37" s="84" t="s">
        <v>27</v>
      </c>
      <c r="G37" s="85">
        <f t="shared" si="0"/>
        <v>0</v>
      </c>
      <c r="H37" s="86">
        <f t="shared" si="1"/>
        <v>0</v>
      </c>
      <c r="I37" s="85">
        <v>16</v>
      </c>
      <c r="J37" s="85">
        <v>68</v>
      </c>
      <c r="K37" s="85">
        <v>0</v>
      </c>
      <c r="L37" s="153">
        <v>0</v>
      </c>
      <c r="M37" s="87">
        <f>(G37+H37+I37+J37+K37+L37)-D37</f>
        <v>16</v>
      </c>
      <c r="N37" s="955" t="s">
        <v>28</v>
      </c>
      <c r="O37" s="298">
        <f>SUMIFS([1]اردیبهشت!$AD$2:$AD$366,[1]اردیبهشت!$N$2:$N$366,$C$37,[1]اردیبهشت!$D$2:$D$366,$F$37,[1]اردیبهشت!$AA$2:$AA$366,O3)</f>
        <v>0</v>
      </c>
      <c r="P37" s="188">
        <f>SUMIFS([1]اردیبهشت!$AD$2:$AD$366,[1]اردیبهشت!$N$2:$N$366,$C$37,[1]اردیبهشت!$D$2:$D$366,$F$37,[1]اردیبهشت!$AA$2:$AA$366,P3)</f>
        <v>0</v>
      </c>
      <c r="Q37" s="188">
        <f>SUMIFS([1]اردیبهشت!$AD$2:$AD$366,[1]اردیبهشت!$N$2:$N$366,$C$37,[1]اردیبهشت!$D$2:$D$366,$F$37,[1]اردیبهشت!$AA$2:$AA$366,Q3)</f>
        <v>0</v>
      </c>
      <c r="R37" s="188">
        <f>SUMIFS([1]اردیبهشت!$AD$2:$AD$366,[1]اردیبهشت!$N$2:$N$366,$C$37,[1]اردیبهشت!$D$2:$D$366,$F$37,[1]اردیبهشت!$AA$2:$AA$366,R3)</f>
        <v>0</v>
      </c>
      <c r="S37" s="188">
        <f>SUMIFS([1]اردیبهشت!$AD$2:$AD$366,[1]اردیبهشت!$N$2:$N$366,$C$37,[1]اردیبهشت!$D$2:$D$366,$F$37,[1]اردیبهشت!$AA$2:$AA$366,S3)</f>
        <v>0</v>
      </c>
      <c r="T37" s="188">
        <f>SUMIFS([1]اردیبهشت!$AD$2:$AD$366,[1]اردیبهشت!$N$2:$N$366,$C$37,[1]اردیبهشت!$D$2:$D$366,$F$37,[1]اردیبهشت!$AA$2:$AA$366,T3)</f>
        <v>0</v>
      </c>
      <c r="U37" s="128">
        <f>SUMIFS([1]اردیبهشت!$AD$2:$AD$366,[1]اردیبهشت!$N$2:$N$366,$C$37,[1]اردیبهشت!$D$2:$D$366,$F$37,[1]اردیبهشت!$AA$2:$AA$366,U3)</f>
        <v>0</v>
      </c>
    </row>
    <row r="38" spans="1:21" ht="36" customHeight="1" thickBot="1" x14ac:dyDescent="0.3">
      <c r="A38" s="942"/>
      <c r="B38" s="123"/>
      <c r="C38" s="270"/>
      <c r="D38" s="270"/>
      <c r="E38" s="915"/>
      <c r="F38" s="124"/>
      <c r="G38" s="93">
        <f t="shared" si="0"/>
        <v>0</v>
      </c>
      <c r="H38" s="92">
        <f t="shared" si="1"/>
        <v>0</v>
      </c>
      <c r="I38" s="125">
        <v>0</v>
      </c>
      <c r="J38" s="125">
        <v>0</v>
      </c>
      <c r="K38" s="126">
        <v>0</v>
      </c>
      <c r="L38" s="126">
        <v>0</v>
      </c>
      <c r="M38" s="154"/>
      <c r="N38" s="917"/>
      <c r="O38" s="299">
        <f>SUMIFS([1]اردیبهشت!$AD$2:$AD$366,[1]اردیبهشت!$N$2:$N$366,$C$37,[1]اردیبهشت!$D$2:$D$366,$F$38,[1]اردیبهشت!$AA$2:$AA$366,O3)</f>
        <v>0</v>
      </c>
      <c r="P38" s="275">
        <f>SUMIFS([1]اردیبهشت!$AD$2:$AD$366,[1]اردیبهشت!$N$2:$N$366,$C$37,[1]اردیبهشت!$D$2:$D$366,$F$38,[1]اردیبهشت!$AA$2:$AA$366,P3)</f>
        <v>0</v>
      </c>
      <c r="Q38" s="275">
        <f>SUMIFS([1]اردیبهشت!$AD$2:$AD$366,[1]اردیبهشت!$N$2:$N$366,$C$37,[1]اردیبهشت!$D$2:$D$366,$F$38,[1]اردیبهشت!$AA$2:$AA$366,Q3)</f>
        <v>0</v>
      </c>
      <c r="R38" s="275">
        <f>SUMIFS([1]اردیبهشت!$AD$2:$AD$366,[1]اردیبهشت!$N$2:$N$366,$C$37,[1]اردیبهشت!$D$2:$D$366,$F$38,[1]اردیبهشت!$AA$2:$AA$366,R3)</f>
        <v>0</v>
      </c>
      <c r="S38" s="275">
        <f>SUMIFS([1]اردیبهشت!$AD$2:$AD$366,[1]اردیبهشت!$N$2:$N$366,$C$37,[1]اردیبهشت!$D$2:$D$366,$F$38,[1]اردیبهشت!$AA$2:$AA$366,S3)</f>
        <v>0</v>
      </c>
      <c r="T38" s="275">
        <f>SUMIFS([1]اردیبهشت!$AD$2:$AD$366,[1]اردیبهشت!$N$2:$N$366,$C$37,[1]اردیبهشت!$D$2:$D$366,$F$38,[1]اردیبهشت!$AA$2:$AA$366,T3)</f>
        <v>0</v>
      </c>
      <c r="U38" s="121">
        <f>SUMIFS([1]اردیبهشت!$AD$2:$AD$366,[1]اردیبهشت!$N$2:$N$366,$C$37,[1]اردیبهشت!$D$2:$D$366,$F$38,[1]اردیبهشت!$AA$2:$AA$366,U3)</f>
        <v>0</v>
      </c>
    </row>
    <row r="39" spans="1:21" ht="36" customHeight="1" x14ac:dyDescent="0.25">
      <c r="A39" s="229"/>
      <c r="B39" s="248"/>
      <c r="C39" s="244"/>
      <c r="D39" s="244"/>
      <c r="E39" s="932" t="s">
        <v>15</v>
      </c>
      <c r="F39" s="20"/>
      <c r="G39" s="9">
        <f t="shared" si="0"/>
        <v>0</v>
      </c>
      <c r="H39" s="46">
        <f t="shared" si="1"/>
        <v>0</v>
      </c>
      <c r="I39" s="9">
        <v>0</v>
      </c>
      <c r="J39" s="9">
        <v>0</v>
      </c>
      <c r="K39" s="9">
        <v>0</v>
      </c>
      <c r="L39" s="9">
        <v>0</v>
      </c>
      <c r="M39" s="28"/>
      <c r="N39" s="945" t="s">
        <v>13</v>
      </c>
      <c r="O39" s="292">
        <f>SUMIFS([1]اردیبهشت!$AD$2:$AD$366,[1]اردیبهشت!$N$2:$N$366,$C$40,[1]اردیبهشت!$D$2:$D$366,$F$39,[1]اردیبهشت!$AA$2:$AA$366,O3)</f>
        <v>0</v>
      </c>
      <c r="P39" s="169">
        <f>SUMIFS([1]اردیبهشت!$AD$2:$AD$366,[1]اردیبهشت!$N$2:$N$366,$C$40,[1]اردیبهشت!$D$2:$D$366,$F$39,[1]اردیبهشت!$AA$2:$AA$366,P3)</f>
        <v>0</v>
      </c>
      <c r="Q39" s="169">
        <f>SUMIFS([1]اردیبهشت!$AD$2:$AD$366,[1]اردیبهشت!$N$2:$N$366,$C$40,[1]اردیبهشت!$D$2:$D$366,$F$39,[1]اردیبهشت!$AA$2:$AA$366,Q3)</f>
        <v>0</v>
      </c>
      <c r="R39" s="169">
        <f>SUMIFS([1]اردیبهشت!$AD$2:$AD$366,[1]اردیبهشت!$N$2:$N$366,$C$40,[1]اردیبهشت!$D$2:$D$366,$F$39,[1]اردیبهشت!$AA$2:$AA$366,R3)</f>
        <v>0</v>
      </c>
      <c r="S39" s="169">
        <f>SUMIFS([1]اردیبهشت!$AD$2:$AD$366,[1]اردیبهشت!$N$2:$N$366,$C$40,[1]اردیبهشت!$D$2:$D$366,$F$39,[1]اردیبهشت!$AA$2:$AA$366,S3)</f>
        <v>0</v>
      </c>
      <c r="T39" s="169">
        <f>SUMIFS([1]اردیبهشت!$AD$2:$AD$366,[1]اردیبهشت!$N$2:$N$366,$C$40,[1]اردیبهشت!$D$2:$D$366,$F$39,[1]اردیبهشت!$AA$2:$AA$366,T3)</f>
        <v>0</v>
      </c>
      <c r="U39" s="107">
        <f>SUMIFS([1]اردیبهشت!$AD$2:$AD$366,[1]اردیبهشت!$N$2:$N$366,$C$40,[1]اردیبهشت!$D$2:$D$366,$F$39,[1]اردیبهشت!$AA$2:$AA$366,U3)</f>
        <v>0</v>
      </c>
    </row>
    <row r="40" spans="1:21" ht="36" customHeight="1" x14ac:dyDescent="0.25">
      <c r="A40" s="214">
        <v>19</v>
      </c>
      <c r="B40" s="256" t="s">
        <v>30</v>
      </c>
      <c r="C40" s="259">
        <v>7701</v>
      </c>
      <c r="D40" s="259">
        <v>62.5</v>
      </c>
      <c r="E40" s="933"/>
      <c r="F40" s="29"/>
      <c r="G40" s="3">
        <f t="shared" si="0"/>
        <v>0</v>
      </c>
      <c r="H40" s="47">
        <f t="shared" si="1"/>
        <v>0</v>
      </c>
      <c r="I40" s="3">
        <v>0</v>
      </c>
      <c r="J40" s="25">
        <v>0</v>
      </c>
      <c r="K40" s="25">
        <v>0</v>
      </c>
      <c r="L40" s="70">
        <v>0</v>
      </c>
      <c r="M40" s="4">
        <f>(J39+J40+J41+I41+I40+I39+H39+H40+H41+G41+G40+G39)-D40</f>
        <v>-62.5</v>
      </c>
      <c r="N40" s="956"/>
      <c r="O40" s="293">
        <f>SUMIFS([1]اردیبهشت!$AD$2:$AD$366,[1]اردیبهشت!$N$2:$N$366,$C$40,[1]اردیبهشت!$D$2:$D$366,$F$40,[1]اردیبهشت!$AA$2:$AA$366,O3)</f>
        <v>0</v>
      </c>
      <c r="P40" s="168">
        <f>SUMIFS([1]اردیبهشت!$AD$2:$AD$366,[1]اردیبهشت!$N$2:$N$366,$C$40,[1]اردیبهشت!$D$2:$D$366,$F$40,[1]اردیبهشت!$AA$2:$AA$366,P3)</f>
        <v>0</v>
      </c>
      <c r="Q40" s="168">
        <f>SUMIFS([1]اردیبهشت!$AD$2:$AD$366,[1]اردیبهشت!$N$2:$N$366,$C$40,[1]اردیبهشت!$D$2:$D$366,$F$40,[1]اردیبهشت!$AA$2:$AA$366,Q3)</f>
        <v>0</v>
      </c>
      <c r="R40" s="168">
        <f>SUMIFS([1]اردیبهشت!$AD$2:$AD$366,[1]اردیبهشت!$N$2:$N$366,$C$40,[1]اردیبهشت!$D$2:$D$366,$F$40,[1]اردیبهشت!$AA$2:$AA$366,R3)</f>
        <v>0</v>
      </c>
      <c r="S40" s="168">
        <f>SUMIFS([1]اردیبهشت!$AD$2:$AD$366,[1]اردیبهشت!$N$2:$N$366,$C$40,[1]اردیبهشت!$D$2:$D$366,$F$40,[1]اردیبهشت!$AA$2:$AA$366,S3)</f>
        <v>0</v>
      </c>
      <c r="T40" s="168">
        <f>SUMIFS([1]اردیبهشت!$AD$2:$AD$366,[1]اردیبهشت!$N$2:$N$366,$C$40,[1]اردیبهشت!$D$2:$D$366,$F$40,[1]اردیبهشت!$AA$2:$AA$366,T3)</f>
        <v>0</v>
      </c>
      <c r="U40" s="108">
        <f>SUMIFS([1]اردیبهشت!$AD$2:$AD$366,[1]اردیبهشت!$N$2:$N$366,$C$40,[1]اردیبهشت!$D$2:$D$366,$F$40,[1]اردیبهشت!$AA$2:$AA$366,U3)</f>
        <v>0</v>
      </c>
    </row>
    <row r="41" spans="1:21" ht="36" customHeight="1" thickBot="1" x14ac:dyDescent="0.3">
      <c r="A41" s="230"/>
      <c r="B41" s="249"/>
      <c r="C41" s="247"/>
      <c r="D41" s="247"/>
      <c r="E41" s="934"/>
      <c r="F41" s="30"/>
      <c r="G41" s="1">
        <f t="shared" si="0"/>
        <v>0</v>
      </c>
      <c r="H41" s="49">
        <f t="shared" si="1"/>
        <v>0</v>
      </c>
      <c r="I41" s="7">
        <v>0</v>
      </c>
      <c r="J41" s="7">
        <v>0</v>
      </c>
      <c r="K41" s="7">
        <v>0</v>
      </c>
      <c r="L41" s="7">
        <v>0</v>
      </c>
      <c r="M41" s="8"/>
      <c r="N41" s="946"/>
      <c r="O41" s="294">
        <f>SUMIFS([1]اردیبهشت!$AD$2:$AD$366,[1]اردیبهشت!$N$2:$N$366,$C$40,[1]اردیبهشت!$D$2:$D$366,$F$41,[1]اردیبهشت!$AA$2:$AA$366,O3)</f>
        <v>0</v>
      </c>
      <c r="P41" s="172">
        <f>SUMIFS([1]اردیبهشت!$AD$2:$AD$366,[1]اردیبهشت!$N$2:$N$366,$C$40,[1]اردیبهشت!$D$2:$D$366,$F$41,[1]اردیبهشت!$AA$2:$AA$366,P3)</f>
        <v>0</v>
      </c>
      <c r="Q41" s="172">
        <f>SUMIFS([1]اردیبهشت!$AD$2:$AD$366,[1]اردیبهشت!$N$2:$N$366,$C$40,[1]اردیبهشت!$D$2:$D$366,$F$41,[1]اردیبهشت!$AA$2:$AA$366,Q3)</f>
        <v>0</v>
      </c>
      <c r="R41" s="172">
        <f>SUMIFS([1]اردیبهشت!$AD$2:$AD$366,[1]اردیبهشت!$N$2:$N$366,$C$40,[1]اردیبهشت!$D$2:$D$366,$F$41,[1]اردیبهشت!$AA$2:$AA$366,R3)</f>
        <v>0</v>
      </c>
      <c r="S41" s="172">
        <f>SUMIFS([1]اردیبهشت!$AD$2:$AD$366,[1]اردیبهشت!$N$2:$N$366,$C$40,[1]اردیبهشت!$D$2:$D$366,$F$41,[1]اردیبهشت!$AA$2:$AA$366,S3)</f>
        <v>0</v>
      </c>
      <c r="T41" s="172">
        <f>SUMIFS([1]اردیبهشت!$AD$2:$AD$366,[1]اردیبهشت!$N$2:$N$366,$C$40,[1]اردیبهشت!$D$2:$D$366,$F$41,[1]اردیبهشت!$AA$2:$AA$366,T3)</f>
        <v>0</v>
      </c>
      <c r="U41" s="109">
        <f>SUMIFS([1]اردیبهشت!$AD$2:$AD$366,[1]اردیبهشت!$N$2:$N$366,$C$40,[1]اردیبهشت!$D$2:$D$366,$F$41,[1]اردیبهشت!$AA$2:$AA$366,U3)</f>
        <v>0</v>
      </c>
    </row>
    <row r="42" spans="1:21" ht="36" customHeight="1" thickBot="1" x14ac:dyDescent="0.3">
      <c r="A42" s="230">
        <v>20</v>
      </c>
      <c r="B42" s="216" t="s">
        <v>63</v>
      </c>
      <c r="C42" s="246">
        <v>8009</v>
      </c>
      <c r="D42" s="246">
        <v>62.5</v>
      </c>
      <c r="E42" s="246" t="s">
        <v>15</v>
      </c>
      <c r="F42" s="54"/>
      <c r="G42" s="9">
        <f t="shared" si="0"/>
        <v>0</v>
      </c>
      <c r="H42" s="46">
        <f t="shared" si="1"/>
        <v>0</v>
      </c>
      <c r="I42" s="4">
        <v>0</v>
      </c>
      <c r="J42" s="4">
        <v>0</v>
      </c>
      <c r="K42" s="4">
        <v>0</v>
      </c>
      <c r="L42" s="4">
        <v>0</v>
      </c>
      <c r="M42" s="4">
        <f>SUM(G42:J42)-62</f>
        <v>-62</v>
      </c>
      <c r="N42" s="264" t="s">
        <v>31</v>
      </c>
      <c r="O42" s="297">
        <f>SUMIFS([1]اردیبهشت!$AD$2:$AD$366,[1]اردیبهشت!$N$2:$N$366,$C$42,[1]اردیبهشت!$D$2:$D$366,$F$42,[1]اردیبهشت!$AA$2:$AA$366,O3)</f>
        <v>0</v>
      </c>
      <c r="P42" s="182">
        <f>SUMIFS([1]اردیبهشت!$AD$2:$AD$366,[1]اردیبهشت!$N$2:$N$366,$C$42,[1]اردیبهشت!$D$2:$D$366,$F$42,[1]اردیبهشت!$AA$2:$AA$366,P3)</f>
        <v>0</v>
      </c>
      <c r="Q42" s="182">
        <f>SUMIFS([1]اردیبهشت!$AD$2:$AD$366,[1]اردیبهشت!$N$2:$N$366,$C$42,[1]اردیبهشت!$D$2:$D$366,$F$42,[1]اردیبهشت!$AA$2:$AA$366,Q3)</f>
        <v>0</v>
      </c>
      <c r="R42" s="182">
        <f>SUMIFS([1]اردیبهشت!$AD$2:$AD$366,[1]اردیبهشت!$N$2:$N$366,$C$42,[1]اردیبهشت!$D$2:$D$366,$F$42,[1]اردیبهشت!$AA$2:$AA$366,R3)</f>
        <v>0</v>
      </c>
      <c r="S42" s="182">
        <f>SUMIFS([1]اردیبهشت!$AD$2:$AD$366,[1]اردیبهشت!$N$2:$N$366,$C$42,[1]اردیبهشت!$D$2:$D$366,$F$42,[1]اردیبهشت!$AA$2:$AA$366,S3)</f>
        <v>0</v>
      </c>
      <c r="T42" s="182">
        <f>SUMIFS([1]اردیبهشت!$AD$2:$AD$366,[1]اردیبهشت!$N$2:$N$366,$C$42,[1]اردیبهشت!$D$2:$D$366,$F$42,[1]اردیبهشت!$AA$2:$AA$366,T3)</f>
        <v>0</v>
      </c>
      <c r="U42" s="156">
        <f>SUMIFS([1]اردیبهشت!$AD$2:$AD$366,[1]اردیبهشت!$N$2:$N$366,$C$42,[1]اردیبهشت!$D$2:$D$366,$F$42,[1]اردیبهشت!$AA$2:$AA$366,U3)</f>
        <v>0</v>
      </c>
    </row>
    <row r="43" spans="1:21" ht="36" customHeight="1" thickBot="1" x14ac:dyDescent="0.3">
      <c r="A43" s="229">
        <v>21</v>
      </c>
      <c r="B43" s="12" t="s">
        <v>32</v>
      </c>
      <c r="C43" s="13">
        <v>8002</v>
      </c>
      <c r="D43" s="13">
        <v>44</v>
      </c>
      <c r="E43" s="13" t="s">
        <v>15</v>
      </c>
      <c r="F43" s="31" t="s">
        <v>23</v>
      </c>
      <c r="G43" s="9">
        <f t="shared" si="0"/>
        <v>0</v>
      </c>
      <c r="H43" s="46">
        <f t="shared" si="1"/>
        <v>0</v>
      </c>
      <c r="I43" s="14">
        <v>0</v>
      </c>
      <c r="J43" s="14">
        <v>0</v>
      </c>
      <c r="K43" s="14">
        <v>0</v>
      </c>
      <c r="L43" s="14">
        <v>0</v>
      </c>
      <c r="M43" s="14">
        <f>SUM(G43:L43)-(D43)</f>
        <v>-44</v>
      </c>
      <c r="N43" s="250" t="s">
        <v>29</v>
      </c>
      <c r="O43" s="318">
        <f>SUMIFS([1]اردیبهشت!$AD$2:$AD$366,[1]اردیبهشت!$N$2:$N$366,$C$43,[1]اردیبهشت!$D$2:$D$366,$F$43,[1]اردیبهشت!$AA$2:$AA$366,O3)</f>
        <v>0</v>
      </c>
      <c r="P43" s="276">
        <f>SUMIFS([1]اردیبهشت!$AD$2:$AD$366,[1]اردیبهشت!$N$2:$N$366,$C$43,[1]اردیبهشت!$D$2:$D$366,$F$43,[1]اردیبهشت!$AA$2:$AA$366,P3)</f>
        <v>0</v>
      </c>
      <c r="Q43" s="276">
        <f>SUMIFS([1]اردیبهشت!$AD$2:$AD$366,[1]اردیبهشت!$N$2:$N$366,$C$43,[1]اردیبهشت!$D$2:$D$366,$F$43,[1]اردیبهشت!$AA$2:$AA$366,Q3)</f>
        <v>0</v>
      </c>
      <c r="R43" s="276">
        <f>SUMIFS([1]اردیبهشت!$AD$2:$AD$366,[1]اردیبهشت!$N$2:$N$366,$C$43,[1]اردیبهشت!$D$2:$D$366,$F$43,[1]اردیبهشت!$AA$2:$AA$366,R3)</f>
        <v>0</v>
      </c>
      <c r="S43" s="276">
        <f>SUMIFS([1]اردیبهشت!$AD$2:$AD$366,[1]اردیبهشت!$N$2:$N$366,$C$43,[1]اردیبهشت!$D$2:$D$366,$F$43,[1]اردیبهشت!$AA$2:$AA$366,S3)</f>
        <v>0</v>
      </c>
      <c r="T43" s="276">
        <f>SUMIFS([1]اردیبهشت!$AD$2:$AD$366,[1]اردیبهشت!$N$2:$N$366,$C$43,[1]اردیبهشت!$D$2:$D$366,$F$43,[1]اردیبهشت!$AA$2:$AA$366,T3)</f>
        <v>0</v>
      </c>
      <c r="U43" s="288">
        <f>SUMIFS([1]اردیبهشت!$AD$2:$AD$366,[1]اردیبهشت!$N$2:$N$366,$C$43,[1]اردیبهشت!$D$2:$D$366,$F$43,[1]اردیبهشت!$AA$2:$AA$366,U3)</f>
        <v>0</v>
      </c>
    </row>
    <row r="44" spans="1:21" ht="36" customHeight="1" x14ac:dyDescent="0.25">
      <c r="A44" s="957">
        <v>22</v>
      </c>
      <c r="B44" s="961" t="s">
        <v>33</v>
      </c>
      <c r="C44" s="943" t="s">
        <v>33</v>
      </c>
      <c r="D44" s="932">
        <v>62.5</v>
      </c>
      <c r="E44" s="943"/>
      <c r="F44" s="32" t="s">
        <v>16</v>
      </c>
      <c r="G44" s="9">
        <f t="shared" si="0"/>
        <v>0</v>
      </c>
      <c r="H44" s="46">
        <f t="shared" si="1"/>
        <v>0</v>
      </c>
      <c r="I44" s="9">
        <v>0</v>
      </c>
      <c r="J44" s="9">
        <v>0</v>
      </c>
      <c r="K44" s="9">
        <v>0</v>
      </c>
      <c r="L44" s="9">
        <v>0</v>
      </c>
      <c r="M44" s="9">
        <f>(SUM(G44:L44))-D44</f>
        <v>-62.5</v>
      </c>
      <c r="N44" s="33" t="s">
        <v>29</v>
      </c>
      <c r="O44" s="292">
        <f>SUMIFS([1]اردیبهشت!$AD$2:$AD$366,[1]اردیبهشت!$N$2:$N$366,"مونتاژ",[1]اردیبهشت!$D$2:$D$366,$F$44,[1]اردیبهشت!$AA$2:$AA$366,O3)</f>
        <v>0</v>
      </c>
      <c r="P44" s="169">
        <f>SUMIFS([1]اردیبهشت!$AD$2:$AD$366,[1]اردیبهشت!$N$2:$N$366,"مونتاژ",[1]اردیبهشت!$D$2:$D$366,$F$44,[1]اردیبهشت!$AA$2:$AA$366,P3)</f>
        <v>0</v>
      </c>
      <c r="Q44" s="169">
        <f>SUMIFS([1]اردیبهشت!$AD$2:$AD$366,[1]اردیبهشت!$N$2:$N$366,"مونتاژ",[1]اردیبهشت!$D$2:$D$366,$F$44,[1]اردیبهشت!$AA$2:$AA$366,Q3)</f>
        <v>0</v>
      </c>
      <c r="R44" s="169">
        <f>SUMIFS([1]اردیبهشت!$AD$2:$AD$366,[1]اردیبهشت!$N$2:$N$366,"مونتاژ",[1]اردیبهشت!$D$2:$D$366,$F$44,[1]اردیبهشت!$AA$2:$AA$366,R3)</f>
        <v>0</v>
      </c>
      <c r="S44" s="169">
        <f>SUMIFS([1]اردیبهشت!$AD$2:$AD$366,[1]اردیبهشت!$N$2:$N$366,"مونتاژ",[1]اردیبهشت!$D$2:$D$366,$F$44,[1]اردیبهشت!$AA$2:$AA$366,S3)</f>
        <v>0</v>
      </c>
      <c r="T44" s="169">
        <f>SUMIFS([1]اردیبهشت!$AD$2:$AD$366,[1]اردیبهشت!$N$2:$N$366,"مونتاژ",[1]اردیبهشت!$D$2:$D$366,$F$44,[1]اردیبهشت!$AA$2:$AA$366,T3)</f>
        <v>0</v>
      </c>
      <c r="U44" s="107">
        <f>SUMIFS([1]اردیبهشت!$AD$2:$AD$366,[1]اردیبهشت!$N$2:$N$366,"مونتاژ",[1]اردیبهشت!$D$2:$D$366,$F$44,[1]اردیبهشت!$AA$2:$AA$366,U3)</f>
        <v>0</v>
      </c>
    </row>
    <row r="45" spans="1:21" ht="36" customHeight="1" x14ac:dyDescent="0.25">
      <c r="A45" s="958"/>
      <c r="B45" s="962"/>
      <c r="C45" s="965"/>
      <c r="D45" s="933"/>
      <c r="E45" s="965"/>
      <c r="F45" s="29"/>
      <c r="G45" s="3">
        <f t="shared" si="0"/>
        <v>0</v>
      </c>
      <c r="H45" s="47">
        <f t="shared" si="1"/>
        <v>0</v>
      </c>
      <c r="I45" s="3">
        <v>0</v>
      </c>
      <c r="J45" s="3">
        <v>0</v>
      </c>
      <c r="K45" s="3">
        <v>0</v>
      </c>
      <c r="L45" s="3">
        <v>0</v>
      </c>
      <c r="M45" s="3">
        <f>(SUM(G45:L45))-D44</f>
        <v>-62.5</v>
      </c>
      <c r="N45" s="62"/>
      <c r="O45" s="293">
        <f>SUMIFS([1]اردیبهشت!$AD$2:$AD$366,[1]اردیبهشت!$N$2:$N$366,"مونتاژ",[1]اردیبهشت!$D$2:$D$366,$F$45,[1]اردیبهشت!$AA$2:$AA$366,O3)</f>
        <v>0</v>
      </c>
      <c r="P45" s="168">
        <f>SUMIFS([1]اردیبهشت!$AD$2:$AD$366,[1]اردیبهشت!$N$2:$N$366,"مونتاژ",[1]اردیبهشت!$D$2:$D$366,$F$45,[1]اردیبهشت!$AA$2:$AA$366,P3)</f>
        <v>0</v>
      </c>
      <c r="Q45" s="168">
        <f>SUMIFS([1]اردیبهشت!$AD$2:$AD$366,[1]اردیبهشت!$N$2:$N$366,"مونتاژ",[1]اردیبهشت!$D$2:$D$366,$F$45,[1]اردیبهشت!$AA$2:$AA$366,Q3)</f>
        <v>0</v>
      </c>
      <c r="R45" s="168">
        <f>SUMIFS([1]اردیبهشت!$AD$2:$AD$366,[1]اردیبهشت!$N$2:$N$366,"مونتاژ",[1]اردیبهشت!$D$2:$D$366,$F$45,[1]اردیبهشت!$AA$2:$AA$366,R3)</f>
        <v>0</v>
      </c>
      <c r="S45" s="168">
        <f>SUMIFS([1]اردیبهشت!$AD$2:$AD$366,[1]اردیبهشت!$N$2:$N$366,"مونتاژ",[1]اردیبهشت!$D$2:$D$366,$F$45,[1]اردیبهشت!$AA$2:$AA$366,S3)</f>
        <v>0</v>
      </c>
      <c r="T45" s="168">
        <f>SUMIFS([1]اردیبهشت!$AD$2:$AD$366,[1]اردیبهشت!$N$2:$N$366,"مونتاژ",[1]اردیبهشت!$D$2:$D$366,$F$45,[1]اردیبهشت!$AA$2:$AA$366,T3)</f>
        <v>0</v>
      </c>
      <c r="U45" s="108">
        <f>SUMIFS([1]اردیبهشت!$AD$2:$AD$366,[1]اردیبهشت!$N$2:$N$366,"مونتاژ",[1]اردیبهشت!$D$2:$D$366,$F$45,[1]اردیبهشت!$AA$2:$AA$366,U3)</f>
        <v>0</v>
      </c>
    </row>
    <row r="46" spans="1:21" ht="36" customHeight="1" x14ac:dyDescent="0.25">
      <c r="A46" s="959"/>
      <c r="B46" s="963"/>
      <c r="C46" s="966"/>
      <c r="D46" s="933"/>
      <c r="E46" s="966"/>
      <c r="F46" s="29" t="s">
        <v>54</v>
      </c>
      <c r="G46" s="3">
        <f t="shared" si="0"/>
        <v>0</v>
      </c>
      <c r="H46" s="47">
        <f t="shared" si="1"/>
        <v>0</v>
      </c>
      <c r="I46" s="3">
        <v>0</v>
      </c>
      <c r="J46" s="3">
        <v>0</v>
      </c>
      <c r="K46" s="3">
        <v>0</v>
      </c>
      <c r="L46" s="3">
        <v>0</v>
      </c>
      <c r="M46" s="3">
        <f>(SUM(G46:L46))-62</f>
        <v>-62</v>
      </c>
      <c r="N46" s="58"/>
      <c r="O46" s="293">
        <f>SUMIFS([1]اردیبهشت!$AD$2:$AD$366,[1]اردیبهشت!$N$2:$N$366,"مونتاژ",[1]اردیبهشت!$D$2:$D$366,$F$46,[1]اردیبهشت!$AA$2:$AA$366,O3)</f>
        <v>0</v>
      </c>
      <c r="P46" s="168">
        <f>SUMIFS([1]اردیبهشت!$AD$2:$AD$366,[1]اردیبهشت!$N$2:$N$366,"مونتاژ",[1]اردیبهشت!$D$2:$D$366,$F$46,[1]اردیبهشت!$AA$2:$AA$366,P3)</f>
        <v>0</v>
      </c>
      <c r="Q46" s="168">
        <f>SUMIFS([1]اردیبهشت!$AD$2:$AD$366,[1]اردیبهشت!$N$2:$N$366,"مونتاژ",[1]اردیبهشت!$D$2:$D$366,$F$46,[1]اردیبهشت!$AA$2:$AA$366,Q3)</f>
        <v>0</v>
      </c>
      <c r="R46" s="168">
        <f>SUMIFS([1]اردیبهشت!$AD$2:$AD$366,[1]اردیبهشت!$N$2:$N$366,"مونتاژ",[1]اردیبهشت!$D$2:$D$366,$F$46,[1]اردیبهشت!$AA$2:$AA$366,R3)</f>
        <v>0</v>
      </c>
      <c r="S46" s="168">
        <f>SUMIFS([1]اردیبهشت!$AD$2:$AD$366,[1]اردیبهشت!$N$2:$N$366,"مونتاژ",[1]اردیبهشت!$D$2:$D$366,$F$46,[1]اردیبهشت!$AA$2:$AA$366,S3)</f>
        <v>0</v>
      </c>
      <c r="T46" s="168">
        <f>SUMIFS([1]اردیبهشت!$AD$2:$AD$366,[1]اردیبهشت!$N$2:$N$366,"مونتاژ",[1]اردیبهشت!$D$2:$D$366,$F$46,[1]اردیبهشت!$AA$2:$AA$366,T3)</f>
        <v>0</v>
      </c>
      <c r="U46" s="108">
        <f>SUMIFS([1]اردیبهشت!$AD$2:$AD$366,[1]اردیبهشت!$N$2:$N$366,"مونتاژ",[1]اردیبهشت!$D$2:$D$366,$F$46,[1]اردیبهشت!$AA$2:$AA$366,U3)</f>
        <v>0</v>
      </c>
    </row>
    <row r="47" spans="1:21" ht="36" customHeight="1" thickBot="1" x14ac:dyDescent="0.3">
      <c r="A47" s="960"/>
      <c r="B47" s="964"/>
      <c r="C47" s="944"/>
      <c r="D47" s="934"/>
      <c r="E47" s="944"/>
      <c r="F47" s="30"/>
      <c r="G47" s="6">
        <f t="shared" si="0"/>
        <v>0</v>
      </c>
      <c r="H47" s="64">
        <f t="shared" si="1"/>
        <v>0</v>
      </c>
      <c r="I47" s="7">
        <v>0</v>
      </c>
      <c r="J47" s="7">
        <v>0</v>
      </c>
      <c r="K47" s="7">
        <v>0</v>
      </c>
      <c r="L47" s="7">
        <v>0</v>
      </c>
      <c r="M47" s="7">
        <f>SUM(G47:J47)-62</f>
        <v>-62</v>
      </c>
      <c r="N47" s="34"/>
      <c r="O47" s="294">
        <f>SUMIFS([1]اردیبهشت!$AD$2:$AD$366,[1]اردیبهشت!$N$2:$N$366,"مونتاژ",[1]اردیبهشت!$D$2:$D$366,$F$47,[1]اردیبهشت!$AA$2:$AA$366,O3)</f>
        <v>0</v>
      </c>
      <c r="P47" s="172">
        <f>SUMIFS([1]اردیبهشت!$AD$2:$AD$366,[1]اردیبهشت!$N$2:$N$366,"مونتاژ",[1]اردیبهشت!$D$2:$D$366,$F$47,[1]اردیبهشت!$AA$2:$AA$366,P3)</f>
        <v>0</v>
      </c>
      <c r="Q47" s="172">
        <f>SUMIFS([1]اردیبهشت!$AD$2:$AD$366,[1]اردیبهشت!$N$2:$N$366,"مونتاژ",[1]اردیبهشت!$D$2:$D$366,$F$47,[1]اردیبهشت!$AA$2:$AA$366,Q3)</f>
        <v>0</v>
      </c>
      <c r="R47" s="172">
        <f>SUMIFS([1]اردیبهشت!$AD$2:$AD$366,[1]اردیبهشت!$N$2:$N$366,"مونتاژ",[1]اردیبهشت!$D$2:$D$366,$F$47,[1]اردیبهشت!$AA$2:$AA$366,R3)</f>
        <v>0</v>
      </c>
      <c r="S47" s="172">
        <f>SUMIFS([1]اردیبهشت!$AD$2:$AD$366,[1]اردیبهشت!$N$2:$N$366,"مونتاژ",[1]اردیبهشت!$D$2:$D$366,$F$47,[1]اردیبهشت!$AA$2:$AA$366,S3)</f>
        <v>0</v>
      </c>
      <c r="T47" s="172">
        <f>SUMIFS([1]اردیبهشت!$AD$2:$AD$366,[1]اردیبهشت!$N$2:$N$366,"مونتاژ",[1]اردیبهشت!$D$2:$D$366,$F$47,[1]اردیبهشت!$AA$2:$AA$366,T3)</f>
        <v>0</v>
      </c>
      <c r="U47" s="109">
        <f>SUMIFS([1]اردیبهشت!$AD$2:$AD$366,[1]اردیبهشت!$N$2:$N$366,"مونتاژ",[1]اردیبهشت!$D$2:$D$366,$F$47,[1]اردیبهشت!$AA$2:$AA$366,U3)</f>
        <v>0</v>
      </c>
    </row>
    <row r="48" spans="1:21" ht="36" customHeight="1" x14ac:dyDescent="0.25">
      <c r="A48" s="967">
        <v>23</v>
      </c>
      <c r="B48" s="961" t="s">
        <v>33</v>
      </c>
      <c r="C48" s="943" t="s">
        <v>34</v>
      </c>
      <c r="D48" s="932">
        <v>62.5</v>
      </c>
      <c r="E48" s="932"/>
      <c r="F48" s="32" t="s">
        <v>16</v>
      </c>
      <c r="G48" s="9">
        <f t="shared" si="0"/>
        <v>0</v>
      </c>
      <c r="H48" s="46">
        <f t="shared" si="1"/>
        <v>0</v>
      </c>
      <c r="I48" s="9">
        <v>0</v>
      </c>
      <c r="J48" s="9">
        <v>0</v>
      </c>
      <c r="K48" s="9">
        <v>0</v>
      </c>
      <c r="L48" s="9">
        <v>0</v>
      </c>
      <c r="M48" s="9">
        <f>SUM(G48:L48)-62</f>
        <v>-62</v>
      </c>
      <c r="N48" s="56"/>
      <c r="O48" s="292">
        <f>SUMIFS([1]اردیبهشت!$AD$2:$AD$366,[1]اردیبهشت!$N$2:$N$366,"دمونتاژ",[1]اردیبهشت!$D$2:$D$366,$F$48,[1]اردیبهشت!$AA$2:$AA$366,O3)</f>
        <v>0</v>
      </c>
      <c r="P48" s="169">
        <f>SUMIFS([1]اردیبهشت!$AD$2:$AD$366,[1]اردیبهشت!$N$2:$N$366,"دمونتاژ",[1]اردیبهشت!$D$2:$D$366,$F$48,[1]اردیبهشت!$AA$2:$AA$366,P3)</f>
        <v>0</v>
      </c>
      <c r="Q48" s="169">
        <f>SUMIFS([1]اردیبهشت!$AD$2:$AD$366,[1]اردیبهشت!$N$2:$N$366,"دمونتاژ",[1]اردیبهشت!$D$2:$D$366,$F$48,[1]اردیبهشت!$AA$2:$AA$366,Q3)</f>
        <v>0</v>
      </c>
      <c r="R48" s="169">
        <f>SUMIFS([1]اردیبهشت!$AD$2:$AD$366,[1]اردیبهشت!$N$2:$N$366,"دمونتاژ",[1]اردیبهشت!$D$2:$D$366,$F$48,[1]اردیبهشت!$AA$2:$AA$366,R3)</f>
        <v>0</v>
      </c>
      <c r="S48" s="169">
        <f>SUMIFS([1]اردیبهشت!$AD$2:$AD$366,[1]اردیبهشت!$N$2:$N$366,"دمونتاژ",[1]اردیبهشت!$D$2:$D$366,$F$48,[1]اردیبهشت!$AA$2:$AA$366,S3)</f>
        <v>0</v>
      </c>
      <c r="T48" s="169">
        <f>SUMIFS([1]اردیبهشت!$AD$2:$AD$366,[1]اردیبهشت!$N$2:$N$366,"دمونتاژ",[1]اردیبهشت!$D$2:$D$366,$F$48,[1]اردیبهشت!$AA$2:$AA$366,T3)</f>
        <v>0</v>
      </c>
      <c r="U48" s="107">
        <f>SUMIFS([1]اردیبهشت!$AD$2:$AD$366,[1]اردیبهشت!$N$2:$N$366,"دمونتاژ",[1]اردیبهشت!$D$2:$D$366,$F$48,[1]اردیبهشت!$AA$2:$AA$366,U3)</f>
        <v>0</v>
      </c>
    </row>
    <row r="49" spans="1:21" ht="36" customHeight="1" x14ac:dyDescent="0.25">
      <c r="A49" s="967"/>
      <c r="B49" s="962"/>
      <c r="C49" s="965"/>
      <c r="D49" s="933"/>
      <c r="E49" s="933"/>
      <c r="F49" s="29"/>
      <c r="G49" s="3">
        <f t="shared" si="0"/>
        <v>0</v>
      </c>
      <c r="H49" s="47">
        <f t="shared" si="1"/>
        <v>0</v>
      </c>
      <c r="I49" s="3">
        <v>0</v>
      </c>
      <c r="J49" s="3">
        <v>0</v>
      </c>
      <c r="K49" s="3">
        <v>0</v>
      </c>
      <c r="L49" s="3">
        <v>0</v>
      </c>
      <c r="M49" s="3">
        <f>SUM(G49:L49)-62</f>
        <v>-62</v>
      </c>
      <c r="N49" s="62"/>
      <c r="O49" s="293">
        <f>SUMIFS([1]اردیبهشت!$AD$2:$AD$366,[1]اردیبهشت!$N$2:$N$366,"دمونتاژ",[1]اردیبهشت!$D$2:$D$366,$F$48,[1]اردیبهشت!$AA$2:$AA$366,O3)</f>
        <v>0</v>
      </c>
      <c r="P49" s="168">
        <f>SUMIFS([1]اردیبهشت!$AD$2:$AD$366,[1]اردیبهشت!$N$2:$N$366,"دمونتاژ",[1]اردیبهشت!$D$2:$D$366,$F$48,[1]اردیبهشت!$AA$2:$AA$366,P3)</f>
        <v>0</v>
      </c>
      <c r="Q49" s="168">
        <f>SUMIFS([1]اردیبهشت!$AD$2:$AD$366,[1]اردیبهشت!$N$2:$N$366,"دمونتاژ",[1]اردیبهشت!$D$2:$D$366,$F$48,[1]اردیبهشت!$AA$2:$AA$366,Q3)</f>
        <v>0</v>
      </c>
      <c r="R49" s="168">
        <f>SUMIFS([1]اردیبهشت!$AD$2:$AD$366,[1]اردیبهشت!$N$2:$N$366,"دمونتاژ",[1]اردیبهشت!$D$2:$D$366,$F$48,[1]اردیبهشت!$AA$2:$AA$366,R3)</f>
        <v>0</v>
      </c>
      <c r="S49" s="168">
        <f>SUMIFS([1]اردیبهشت!$AD$2:$AD$366,[1]اردیبهشت!$N$2:$N$366,"دمونتاژ",[1]اردیبهشت!$D$2:$D$366,$F$48,[1]اردیبهشت!$AA$2:$AA$366,S3)</f>
        <v>0</v>
      </c>
      <c r="T49" s="168">
        <f>SUMIFS([1]اردیبهشت!$AD$2:$AD$366,[1]اردیبهشت!$N$2:$N$366,"دمونتاژ",[1]اردیبهشت!$D$2:$D$366,$F$49,[1]اردیبهشت!$AA$2:$AA$366,T3)</f>
        <v>0</v>
      </c>
      <c r="U49" s="108">
        <f>SUMIFS([1]اردیبهشت!$AD$2:$AD$366,[1]اردیبهشت!$N$2:$N$366,"دمونتاژ",[1]اردیبهشت!$D$2:$D$366,$F$48,[1]اردیبهشت!$AA$2:$AA$366,U3)</f>
        <v>0</v>
      </c>
    </row>
    <row r="50" spans="1:21" ht="36" customHeight="1" x14ac:dyDescent="0.25">
      <c r="A50" s="967"/>
      <c r="B50" s="962"/>
      <c r="C50" s="965"/>
      <c r="D50" s="933"/>
      <c r="E50" s="933"/>
      <c r="F50" s="29" t="s">
        <v>54</v>
      </c>
      <c r="G50" s="3">
        <f t="shared" si="0"/>
        <v>0</v>
      </c>
      <c r="H50" s="47">
        <f t="shared" si="1"/>
        <v>0</v>
      </c>
      <c r="I50" s="3">
        <v>0</v>
      </c>
      <c r="J50" s="3">
        <v>0</v>
      </c>
      <c r="K50" s="3">
        <v>0</v>
      </c>
      <c r="L50" s="3">
        <v>0</v>
      </c>
      <c r="M50" s="3">
        <f>SUM(G50:L50)-62</f>
        <v>-62</v>
      </c>
      <c r="N50" s="62"/>
      <c r="O50" s="293">
        <f>SUMIFS([1]اردیبهشت!$AD$2:$AD$366,[1]اردیبهشت!$N$2:$N$366,"دمونتاژ",[1]اردیبهشت!$D$2:$D$366,$F$50,[1]اردیبهشت!$AA$2:$AA$366,O3)</f>
        <v>0</v>
      </c>
      <c r="P50" s="168">
        <f>SUMIFS([1]اردیبهشت!$AD$2:$AD$366,[1]اردیبهشت!$N$2:$N$366,"دمونتاژ",[1]اردیبهشت!$D$2:$D$366,$F$50,[1]اردیبهشت!$AA$2:$AA$366,P3)</f>
        <v>0</v>
      </c>
      <c r="Q50" s="168">
        <f>SUMIFS([1]اردیبهشت!$AD$2:$AD$366,[1]اردیبهشت!$N$2:$N$366,"دمونتاژ",[1]اردیبهشت!$D$2:$D$366,$F$50,[1]اردیبهشت!$AA$2:$AA$366,Q3)</f>
        <v>0</v>
      </c>
      <c r="R50" s="168">
        <f>SUMIFS([1]اردیبهشت!$AD$2:$AD$366,[1]اردیبهشت!$N$2:$N$366,"دمونتاژ",[1]اردیبهشت!$D$2:$D$366,$F$50,[1]اردیبهشت!$AA$2:$AA$366,R3)</f>
        <v>0</v>
      </c>
      <c r="S50" s="168">
        <f>SUMIFS([1]اردیبهشت!$AD$2:$AD$366,[1]اردیبهشت!$N$2:$N$366,"دمونتاژ",[1]اردیبهشت!$D$2:$D$366,$F$50,[1]اردیبهشت!$AA$2:$AA$366,S3)</f>
        <v>0</v>
      </c>
      <c r="T50" s="168">
        <f>SUMIFS([1]اردیبهشت!$AD$2:$AD$366,[1]اردیبهشت!$N$2:$N$366,"دمونتاژ",[1]اردیبهشت!$D$2:$D$366,$F$50,[1]اردیبهشت!$AA$2:$AA$366,T3)</f>
        <v>0</v>
      </c>
      <c r="U50" s="108">
        <f>SUMIFS([1]اردیبهشت!$AD$2:$AD$366,[1]اردیبهشت!$N$2:$N$366,"دمونتاژ",[1]اردیبهشت!$D$2:$D$366,$F$50,[1]اردیبهشت!$AA$2:$AA$366,U3)</f>
        <v>0</v>
      </c>
    </row>
    <row r="51" spans="1:21" ht="36" customHeight="1" thickBot="1" x14ac:dyDescent="0.3">
      <c r="A51" s="967"/>
      <c r="B51" s="963"/>
      <c r="C51" s="966"/>
      <c r="D51" s="934"/>
      <c r="E51" s="934"/>
      <c r="F51" s="245"/>
      <c r="G51" s="4">
        <f t="shared" si="0"/>
        <v>0</v>
      </c>
      <c r="H51" s="49">
        <f t="shared" si="1"/>
        <v>0</v>
      </c>
      <c r="I51" s="25">
        <v>0</v>
      </c>
      <c r="J51" s="25">
        <v>0</v>
      </c>
      <c r="K51" s="25">
        <v>0</v>
      </c>
      <c r="L51" s="25">
        <v>0</v>
      </c>
      <c r="M51" s="25">
        <f>SUM(G51:L51)-62</f>
        <v>-62</v>
      </c>
      <c r="N51" s="58"/>
      <c r="O51" s="294">
        <f>SUMIFS([1]اردیبهشت!$AD$2:$AD$366,[1]اردیبهشت!$N$2:$N$366,"دمونتاژ",[1]اردیبهشت!$D$2:$D$366,$F$51,[1]اردیبهشت!$AA$2:$AA$366,O3)</f>
        <v>0</v>
      </c>
      <c r="P51" s="172">
        <f>SUMIFS([1]اردیبهشت!$AD$2:$AD$366,[1]اردیبهشت!$N$2:$N$366,"دمونتاژ",[1]اردیبهشت!$D$2:$D$366,$F$51,[1]اردیبهشت!$AA$2:$AA$366,P3)</f>
        <v>0</v>
      </c>
      <c r="Q51" s="172">
        <f>SUMIFS([1]اردیبهشت!$AD$2:$AD$366,[1]اردیبهشت!$N$2:$N$366,"دمونتاژ",[1]اردیبهشت!$D$2:$D$366,$F$51,[1]اردیبهشت!$AA$2:$AA$366,Q3)</f>
        <v>0</v>
      </c>
      <c r="R51" s="172">
        <f>SUMIFS([1]اردیبهشت!$AD$2:$AD$366,[1]اردیبهشت!$N$2:$N$366,"دمونتاژ",[1]اردیبهشت!$D$2:$D$366,$F$51,[1]اردیبهشت!$AA$2:$AA$366,R3)</f>
        <v>0</v>
      </c>
      <c r="S51" s="172">
        <f>SUMIFS([1]اردیبهشت!$AD$2:$AD$366,[1]اردیبهشت!$N$2:$N$366,"دمونتاژ",[1]اردیبهشت!$D$2:$D$366,$F$51,[1]اردیبهشت!$AA$2:$AA$366,S3)</f>
        <v>0</v>
      </c>
      <c r="T51" s="172">
        <f>SUMIFS([1]اردیبهشت!$AD$2:$AD$366,[1]اردیبهشت!$N$2:$N$366,"دمونتاژ",[1]اردیبهشت!$D$2:$D$366,$F$51,[1]اردیبهشت!$AA$2:$AA$366,T3)</f>
        <v>0</v>
      </c>
      <c r="U51" s="109">
        <f>SUMIFS([1]اردیبهشت!$AD$2:$AD$366,[1]اردیبهشت!$N$2:$N$366,"دمونتاژ",[1]اردیبهشت!$D$2:$D$366,$F$51,[1]اردیبهشت!$AA$2:$AA$366,U3)</f>
        <v>0</v>
      </c>
    </row>
    <row r="52" spans="1:21" ht="42.75" customHeight="1" thickBot="1" x14ac:dyDescent="0.3">
      <c r="A52" s="951" t="s">
        <v>49</v>
      </c>
      <c r="B52" s="952"/>
      <c r="C52" s="952"/>
      <c r="D52" s="952"/>
      <c r="E52" s="952"/>
      <c r="F52" s="953"/>
      <c r="G52" s="148">
        <f>SUM(G4:G50)-G43</f>
        <v>0</v>
      </c>
      <c r="H52" s="148">
        <f>SUM(H4:H51)</f>
        <v>0</v>
      </c>
      <c r="I52" s="148">
        <f>SUM(I4:I51)</f>
        <v>78.5</v>
      </c>
      <c r="J52" s="148">
        <f>SUM(J4:J51)</f>
        <v>198</v>
      </c>
      <c r="K52" s="148"/>
      <c r="L52" s="148"/>
      <c r="M52" s="149">
        <f>SUMIFS(M4:M51,F4:F51,"*")</f>
        <v>-900.5</v>
      </c>
      <c r="N52" s="306"/>
      <c r="O52" s="302">
        <f>SUM(O4:O51)</f>
        <v>0</v>
      </c>
      <c r="P52" s="198">
        <f t="shared" ref="P52:U52" si="2">SUM(P4:P51)</f>
        <v>0</v>
      </c>
      <c r="Q52" s="198">
        <f t="shared" si="2"/>
        <v>0</v>
      </c>
      <c r="R52" s="198">
        <f t="shared" si="2"/>
        <v>0</v>
      </c>
      <c r="S52" s="198">
        <f t="shared" si="2"/>
        <v>0</v>
      </c>
      <c r="T52" s="198">
        <f t="shared" si="2"/>
        <v>0</v>
      </c>
      <c r="U52" s="150">
        <f t="shared" si="2"/>
        <v>0</v>
      </c>
    </row>
  </sheetData>
  <mergeCells count="41">
    <mergeCell ref="E20:E22"/>
    <mergeCell ref="E39:E41"/>
    <mergeCell ref="E48:E51"/>
    <mergeCell ref="A31:A32"/>
    <mergeCell ref="E31:E32"/>
    <mergeCell ref="A33:A34"/>
    <mergeCell ref="E33:E34"/>
    <mergeCell ref="C48:C51"/>
    <mergeCell ref="D48:D51"/>
    <mergeCell ref="N31:N32"/>
    <mergeCell ref="A1:L2"/>
    <mergeCell ref="O1:U2"/>
    <mergeCell ref="N4:N6"/>
    <mergeCell ref="N16:N18"/>
    <mergeCell ref="N20:N22"/>
    <mergeCell ref="E23:E25"/>
    <mergeCell ref="N23:N25"/>
    <mergeCell ref="E4:E6"/>
    <mergeCell ref="E7:E9"/>
    <mergeCell ref="E16:E18"/>
    <mergeCell ref="E26:E28"/>
    <mergeCell ref="N26:N28"/>
    <mergeCell ref="A29:A30"/>
    <mergeCell ref="E29:E30"/>
    <mergeCell ref="N29:N30"/>
    <mergeCell ref="N33:N34"/>
    <mergeCell ref="A35:A36"/>
    <mergeCell ref="E35:E36"/>
    <mergeCell ref="N35:N36"/>
    <mergeCell ref="A52:F52"/>
    <mergeCell ref="A37:A38"/>
    <mergeCell ref="E37:E38"/>
    <mergeCell ref="N37:N38"/>
    <mergeCell ref="N39:N41"/>
    <mergeCell ref="A44:A47"/>
    <mergeCell ref="B44:B47"/>
    <mergeCell ref="C44:C47"/>
    <mergeCell ref="D44:D47"/>
    <mergeCell ref="E44:E47"/>
    <mergeCell ref="A48:A51"/>
    <mergeCell ref="B48:B51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T49" formula="1"/>
    <ignoredError sqref="M5:M34 M36:M51" formulaRange="1"/>
  </ignoredError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CCF4-7E9E-45EC-9EBE-FF5DE5D0CD7C}">
  <sheetPr>
    <pageSetUpPr fitToPage="1"/>
  </sheetPr>
  <dimension ref="A1:U52"/>
  <sheetViews>
    <sheetView rightToLeft="1" view="pageLayout" zoomScaleNormal="100" workbookViewId="0">
      <selection activeCell="E4" sqref="E4:E6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20" width="6.42578125" style="52" hidden="1" customWidth="1"/>
    <col min="21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7</v>
      </c>
      <c r="O2" s="926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291" t="s">
        <v>94</v>
      </c>
      <c r="P3" s="158" t="s">
        <v>95</v>
      </c>
      <c r="Q3" s="158" t="s">
        <v>96</v>
      </c>
      <c r="R3" s="158" t="s">
        <v>97</v>
      </c>
      <c r="S3" s="158" t="s">
        <v>98</v>
      </c>
      <c r="T3" s="158" t="s">
        <v>99</v>
      </c>
      <c r="U3" s="119" t="s">
        <v>100</v>
      </c>
    </row>
    <row r="4" spans="1:21" ht="36" customHeight="1" x14ac:dyDescent="0.25">
      <c r="A4" s="235"/>
      <c r="B4" s="212"/>
      <c r="C4" s="215"/>
      <c r="D4" s="39"/>
      <c r="E4" s="932" t="s">
        <v>15</v>
      </c>
      <c r="F4" s="221" t="s">
        <v>55</v>
      </c>
      <c r="G4" s="9">
        <f>SUM(O4:T4)</f>
        <v>0</v>
      </c>
      <c r="H4" s="46">
        <f>U4</f>
        <v>0</v>
      </c>
      <c r="I4" s="9">
        <v>12</v>
      </c>
      <c r="J4" s="9">
        <v>0</v>
      </c>
      <c r="K4" s="9">
        <v>0</v>
      </c>
      <c r="L4" s="9">
        <v>0</v>
      </c>
      <c r="M4" s="28"/>
      <c r="N4" s="945" t="s">
        <v>101</v>
      </c>
      <c r="O4" s="292">
        <f>SUMIFS([1]اردیبهشت!$AD$2:$AD$600,[1]اردیبهشت!$N$2:$N$600,7101,[1]اردیبهشت!$D$2:$D$600,$F$4,[1]اردیبهشت!$AA$2:$AA$600,O3)</f>
        <v>0</v>
      </c>
      <c r="P4" s="169">
        <f>SUMIFS([1]اردیبهشت!$AD$2:$AD$600,[1]اردیبهشت!$N$2:$N$600,7101,[1]اردیبهشت!$D$2:$D$600,$F$4,[1]اردیبهشت!$AA$2:$AA$600,P3)</f>
        <v>0</v>
      </c>
      <c r="Q4" s="169">
        <f>SUMIFS([1]اردیبهشت!$AD$2:$AD$600,[1]اردیبهشت!$N$2:$N$600,7101,[1]اردیبهشت!$D$2:$D$600,$F$4,[1]اردیبهشت!$AA$2:$AA$600,Q3)</f>
        <v>0</v>
      </c>
      <c r="R4" s="169">
        <f>SUMIFS([1]اردیبهشت!$AD$2:$AD$600,[1]اردیبهشت!$N$2:$N$600,7101,[1]اردیبهشت!$D$2:$D$600,$F$4,[1]اردیبهشت!$AA$2:$AA$600,R3)</f>
        <v>0</v>
      </c>
      <c r="S4" s="169">
        <f>SUMIFS([1]اردیبهشت!$AD$2:$AD$600,[1]اردیبهشت!$N$2:$N$600,7101,[1]اردیبهشت!$D$2:$D$600,$F$4,[1]اردیبهشت!$AA$2:$AA$600,S3)</f>
        <v>0</v>
      </c>
      <c r="T4" s="169">
        <f>SUMIFS([1]اردیبهشت!$AD$2:$AD$600,[1]اردیبهشت!$N$2:$N$600,7101,[1]اردیبهشت!$D$2:$D$600,$F$4,[1]اردیبهشت!$AA$2:$AA$600,T3)</f>
        <v>0</v>
      </c>
      <c r="U4" s="98">
        <f>SUMIFS([1]اردیبهشت!$AD$2:$AD$600,[1]اردیبهشت!$N$2:$N$600,7101,[1]اردیبهشت!$D$2:$D$600,$F$4,[1]اردیبهشت!$AA$2:$AA$600,U3)</f>
        <v>0</v>
      </c>
    </row>
    <row r="5" spans="1:21" ht="36" customHeight="1" x14ac:dyDescent="0.25">
      <c r="A5" s="236">
        <v>1</v>
      </c>
      <c r="B5" s="213" t="s">
        <v>14</v>
      </c>
      <c r="C5" s="228">
        <v>7101</v>
      </c>
      <c r="D5" s="2">
        <v>62.5</v>
      </c>
      <c r="E5" s="933"/>
      <c r="F5" s="233"/>
      <c r="G5" s="3">
        <f t="shared" ref="G5:G51" si="0">SUM(O5:T5)</f>
        <v>0</v>
      </c>
      <c r="H5" s="47">
        <f t="shared" ref="H5:H51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-50.5</v>
      </c>
      <c r="N5" s="929"/>
      <c r="O5" s="293">
        <f>SUMIFS([1]اردیبهشت!$AD$2:$AD$600,[1]اردیبهشت!$N$2:$N$600,7101,[1]اردیبهشت!$D$2:$D$600,$F$5,[1]اردیبهشت!$AA$2:$AA$600,O3)</f>
        <v>0</v>
      </c>
      <c r="P5" s="168">
        <f>SUMIFS([1]اردیبهشت!$AD$2:$AD$600,[1]اردیبهشت!$N$2:$N$600,7101,[1]اردیبهشت!$D$2:$D$600,$F$5,[1]اردیبهشت!$AA$2:$AA$600,P3)</f>
        <v>0</v>
      </c>
      <c r="Q5" s="168">
        <f>SUMIFS([1]اردیبهشت!$AD$2:$AD$600,[1]اردیبهشت!$N$2:$N$600,7101,[1]اردیبهشت!$D$2:$D$600,$F$5,[1]اردیبهشت!$AA$2:$AA$600,Q3)</f>
        <v>0</v>
      </c>
      <c r="R5" s="168">
        <f>SUMIFS([1]اردیبهشت!$AD$2:$AD$600,[1]اردیبهشت!$N$2:$N$600,7101,[1]اردیبهشت!$D$2:$D$600,$F$5,[1]اردیبهشت!$AA$2:$AA$600,R3)</f>
        <v>0</v>
      </c>
      <c r="S5" s="168">
        <f>SUMIFS([1]اردیبهشت!$AD$2:$AD$600,[1]اردیبهشت!$N$2:$N$600,7101,[1]اردیبهشت!$D$2:$D$600,$F$5,[1]اردیبهشت!$AA$2:$AA$600,S3)</f>
        <v>0</v>
      </c>
      <c r="T5" s="168">
        <f>SUMIFS([1]اردیبهشت!$AD$2:$AD$600,[1]اردیبهشت!$N$2:$N$600,7101,[1]اردیبهشت!$D$2:$D$600,$F$5,[1]اردیبهشت!$AA$2:$AA$600,T3)</f>
        <v>0</v>
      </c>
      <c r="U5" s="96">
        <f>SUMIFS([1]اردیبهشت!$AD$2:$AD$600,[1]اردیبهشت!$N$2:$N$600,7101,[1]اردیبهشت!$D$2:$D$600,$F$5,[1]اردیبهشت!$AA$2:$AA$600,U3)</f>
        <v>0</v>
      </c>
    </row>
    <row r="6" spans="1:21" ht="36" customHeight="1" thickBot="1" x14ac:dyDescent="0.3">
      <c r="A6" s="237"/>
      <c r="B6" s="88"/>
      <c r="C6" s="217"/>
      <c r="D6" s="222"/>
      <c r="E6" s="934"/>
      <c r="F6" s="5"/>
      <c r="G6" s="6">
        <f t="shared" si="0"/>
        <v>0</v>
      </c>
      <c r="H6" s="64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294">
        <f>SUMIFS([1]اردیبهشت!$AD$2:$AD$600,[1]اردیبهشت!$N$2:$N$600,7101,[1]اردیبهشت!$D$2:$D$600,$F$6,[1]اردیبهشت!$AA$2:$AA$600,O3)</f>
        <v>0</v>
      </c>
      <c r="P6" s="172">
        <f>SUMIFS([1]اردیبهشت!$AD$2:$AD$600,[1]اردیبهشت!$N$2:$N$600,7101,[1]اردیبهشت!$D$2:$D$600,$F$6,[1]اردیبهشت!$AA$2:$AA$600,P3)</f>
        <v>0</v>
      </c>
      <c r="Q6" s="172">
        <f>SUMIFS([1]اردیبهشت!$AD$2:$AD$600,[1]اردیبهشت!$N$2:$N$600,7101,[1]اردیبهشت!$D$2:$D$600,$F$6,[1]اردیبهشت!$AA$2:$AA$600,Q3)</f>
        <v>0</v>
      </c>
      <c r="R6" s="172">
        <f>SUMIFS([1]اردیبهشت!$AD$2:$AD$600,[1]اردیبهشت!$N$2:$N$600,7101,[1]اردیبهشت!$D$2:$D$600,$F$6,[1]اردیبهشت!$AA$2:$AA$600,R3)</f>
        <v>0</v>
      </c>
      <c r="S6" s="172">
        <f>SUMIFS([1]اردیبهشت!$AD$2:$AD$600,[1]اردیبهشت!$N$2:$N$600,7101,[1]اردیبهشت!$D$2:$D$600,$F$6,[1]اردیبهشت!$AA$2:$AA$600,S3)</f>
        <v>0</v>
      </c>
      <c r="T6" s="172">
        <f>SUMIFS([1]اردیبهشت!$AD$2:$AD$600,[1]اردیبهشت!$N$2:$N$600,7101,[1]اردیبهشت!$D$2:$D$600,$F$6,[1]اردیبهشت!$AA$2:$AA$600,T3)</f>
        <v>0</v>
      </c>
      <c r="U6" s="103">
        <f>SUMIFS([1]اردیبهشت!$AD$2:$AD$600,[1]اردیبهشت!$N$2:$N$600,7101,[1]اردیبهشت!$D$2:$D$600,$F$6,[1]اردیبهشت!$AA$2:$AA$600,U3)</f>
        <v>0</v>
      </c>
    </row>
    <row r="7" spans="1:21" ht="36" customHeight="1" x14ac:dyDescent="0.25">
      <c r="A7" s="214"/>
      <c r="B7" s="216"/>
      <c r="C7" s="224"/>
      <c r="D7" s="223"/>
      <c r="E7" s="932" t="s">
        <v>15</v>
      </c>
      <c r="F7" s="223"/>
      <c r="G7" s="1">
        <f t="shared" si="0"/>
        <v>0</v>
      </c>
      <c r="H7" s="49">
        <f t="shared" si="1"/>
        <v>0</v>
      </c>
      <c r="I7" s="1">
        <v>0</v>
      </c>
      <c r="J7" s="1">
        <v>0</v>
      </c>
      <c r="K7" s="1">
        <v>0</v>
      </c>
      <c r="L7" s="1">
        <v>0</v>
      </c>
      <c r="M7" s="69"/>
      <c r="N7" s="234"/>
      <c r="O7" s="292">
        <f>SUMIFS([1]اردیبهشت!$AD$2:$AD$600,[1]اردیبهشت!$N$2:$N$600,7102,[1]اردیبهشت!$D$2:$D$600,$F$7,[1]اردیبهشت!$AA$2:$AA$600,O3)</f>
        <v>0</v>
      </c>
      <c r="P7" s="165">
        <f>SUMIFS([1]اردیبهشت!$AD$2:$AD$600,[1]اردیبهشت!$N$2:$N$600,7102,[1]اردیبهشت!$D$2:$D$600,$F$7,[1]اردیبهشت!$AA$2:$AA$600,P3)</f>
        <v>0</v>
      </c>
      <c r="Q7" s="165">
        <f>SUMIFS([1]اردیبهشت!$AD$2:$AD$600,[1]اردیبهشت!$N$2:$N$600,7102,[1]اردیبهشت!$D$2:$D$600,$F$7,[1]اردیبهشت!$AA$2:$AA$600,Q3)</f>
        <v>0</v>
      </c>
      <c r="R7" s="165">
        <f>SUMIFS([1]اردیبهشت!$AD$2:$AD$600,[1]اردیبهشت!$N$2:$N$600,7102,[1]اردیبهشت!$D$2:$D$600,$F$7,[1]اردیبهشت!$AA$2:$AA$600,R3)</f>
        <v>0</v>
      </c>
      <c r="S7" s="165">
        <f>SUMIFS([1]اردیبهشت!$AD$2:$AD$600,[1]اردیبهشت!$N$2:$N$600,7102,[1]اردیبهشت!$D$2:$D$600,$F$7,[1]اردیبهشت!$AA$2:$AA$600,S3)</f>
        <v>0</v>
      </c>
      <c r="T7" s="165">
        <f>SUMIFS([1]اردیبهشت!$AD$2:$AD$600,[1]اردیبهشت!$N$2:$N$600,7102,[1]اردیبهشت!$D$2:$D$600,$F$7,[1]اردیبهشت!$AA$2:$AA$600,T3)</f>
        <v>0</v>
      </c>
      <c r="U7" s="159">
        <f>SUMIFS([1]اردیبهشت!$AD$2:$AD$600,[1]اردیبهشت!$N$2:$N$600,7102,[1]اردیبهشت!$D$2:$D$600,$F$7,[1]اردیبهشت!$AA$2:$AA$600,U3)</f>
        <v>0</v>
      </c>
    </row>
    <row r="8" spans="1:21" ht="36" customHeight="1" x14ac:dyDescent="0.25">
      <c r="A8" s="214">
        <v>2</v>
      </c>
      <c r="B8" s="216" t="s">
        <v>14</v>
      </c>
      <c r="C8" s="228">
        <v>7102</v>
      </c>
      <c r="D8" s="2">
        <v>62.5</v>
      </c>
      <c r="E8" s="933"/>
      <c r="F8" s="233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-62.5</v>
      </c>
      <c r="N8" s="219" t="s">
        <v>13</v>
      </c>
      <c r="O8" s="293">
        <f>SUMIFS([1]اردیبهشت!$AD$2:$AD$600,[1]اردیبهشت!$N$2:$N$600,7102,[1]اردیبهشت!$D$2:$D$600,$F$8,[1]اردیبهشت!$AA$2:$AA$600,O3)</f>
        <v>0</v>
      </c>
      <c r="P8" s="166">
        <f>SUMIFS([1]اردیبهشت!$AD$2:$AD$600,[1]اردیبهشت!$N$2:$N$600,7102,[1]اردیبهشت!$D$2:$D$600,$F$8,[1]اردیبهشت!$AA$2:$AA$600,P3)</f>
        <v>0</v>
      </c>
      <c r="Q8" s="166">
        <f>SUMIFS([1]اردیبهشت!$AD$2:$AD$600,[1]اردیبهشت!$N$2:$N$600,7102,[1]اردیبهشت!$D$2:$D$600,$F$8,[1]اردیبهشت!$AA$2:$AA$600,Q3)</f>
        <v>0</v>
      </c>
      <c r="R8" s="166">
        <f>SUMIFS([1]اردیبهشت!$AD$2:$AD$600,[1]اردیبهشت!$N$2:$N$600,7102,[1]اردیبهشت!$D$2:$D$600,$F$8,[1]اردیبهشت!$AA$2:$AA$600,R3)</f>
        <v>0</v>
      </c>
      <c r="S8" s="166">
        <f>SUMIFS([1]اردیبهشت!$AD$2:$AD$600,[1]اردیبهشت!$N$2:$N$600,7102,[1]اردیبهشت!$D$2:$D$600,$F$8,[1]اردیبهشت!$AA$2:$AA$600,S3)</f>
        <v>0</v>
      </c>
      <c r="T8" s="166">
        <f>SUMIFS([1]اردیبهشت!$AD$2:$AD$600,[1]اردیبهشت!$N$2:$N$600,7102,[1]اردیبهشت!$D$2:$D$600,$F$8,[1]اردیبهشت!$AA$2:$AA$600,T3)</f>
        <v>0</v>
      </c>
      <c r="U8" s="160">
        <f>SUMIFS([1]اردیبهشت!$AD$2:$AD$600,[1]اردیبهشت!$N$2:$N$600,7102,[1]اردیبهشت!$D$2:$D$600,$F$8,[1]اردیبهشت!$AA$2:$AA$600,U3)</f>
        <v>0</v>
      </c>
    </row>
    <row r="9" spans="1:21" ht="36" customHeight="1" thickBot="1" x14ac:dyDescent="0.3">
      <c r="A9" s="230"/>
      <c r="B9" s="43"/>
      <c r="C9" s="217"/>
      <c r="D9" s="222"/>
      <c r="E9" s="934"/>
      <c r="F9" s="5"/>
      <c r="G9" s="1">
        <f t="shared" si="0"/>
        <v>0</v>
      </c>
      <c r="H9" s="49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220"/>
      <c r="O9" s="294">
        <f>SUMIFS([1]اردیبهشت!$AD$2:$AD$600,[1]اردیبهشت!$N$2:$N$600,7102,[1]اردیبهشت!$D$2:$D$600,$F$9,[1]اردیبهشت!$AA$2:$AA$600,O3)</f>
        <v>0</v>
      </c>
      <c r="P9" s="171">
        <f>SUMIFS([1]اردیبهشت!$AD$2:$AD$600,[1]اردیبهشت!$N$2:$N$600,7102,[1]اردیبهشت!$D$2:$D$600,$F$9,[1]اردیبهشت!$AA$2:$AA$600,P3)</f>
        <v>0</v>
      </c>
      <c r="Q9" s="171">
        <f>SUMIFS([1]اردیبهشت!$AD$2:$AD$600,[1]اردیبهشت!$N$2:$N$600,7102,[1]اردیبهشت!$D$2:$D$600,$F$9,[1]اردیبهشت!$AA$2:$AA$600,Q3)</f>
        <v>0</v>
      </c>
      <c r="R9" s="171">
        <f>SUMIFS([1]اردیبهشت!$AD$2:$AD$600,[1]اردیبهشت!$N$2:$N$600,7102,[1]اردیبهشت!$D$2:$D$600,$F$9,[1]اردیبهشت!$AA$2:$AA$600,R3)</f>
        <v>0</v>
      </c>
      <c r="S9" s="171">
        <f>SUMIFS([1]اردیبهشت!$AD$2:$AD$600,[1]اردیبهشت!$N$2:$N$600,7102,[1]اردیبهشت!$D$2:$D$600,$F$9,[1]اردیبهشت!$AA$2:$AA$600,S3)</f>
        <v>0</v>
      </c>
      <c r="T9" s="171">
        <f>SUMIFS([1]اردیبهشت!$AD$2:$AD$600,[1]اردیبهشت!$N$2:$N$600,7102,[1]اردیبهشت!$D$2:$D$600,$F$9,[1]اردیبهشت!$AA$2:$AA$600,T3)</f>
        <v>0</v>
      </c>
      <c r="U9" s="164">
        <f>SUMIFS([1]اردیبهشت!$AD$2:$AD$600,[1]اردیبهشت!$N$2:$N$600,7102,[1]اردیبهشت!$D$2:$D$600,$F$9,[1]اردیبهشت!$AA$2:$AA$600,U3)</f>
        <v>0</v>
      </c>
    </row>
    <row r="10" spans="1:21" ht="36" customHeight="1" thickBot="1" x14ac:dyDescent="0.3">
      <c r="A10" s="230">
        <v>3</v>
      </c>
      <c r="B10" s="216" t="s">
        <v>14</v>
      </c>
      <c r="C10" s="227">
        <v>7103</v>
      </c>
      <c r="D10" s="2">
        <v>62.5</v>
      </c>
      <c r="E10" s="227" t="s">
        <v>15</v>
      </c>
      <c r="F10" s="227" t="s">
        <v>36</v>
      </c>
      <c r="G10" s="9">
        <f t="shared" si="0"/>
        <v>0</v>
      </c>
      <c r="H10" s="46">
        <f t="shared" si="1"/>
        <v>0</v>
      </c>
      <c r="I10" s="4">
        <v>0</v>
      </c>
      <c r="J10" s="4">
        <v>0</v>
      </c>
      <c r="K10" s="4">
        <v>0</v>
      </c>
      <c r="L10" s="4">
        <v>0</v>
      </c>
      <c r="M10" s="4">
        <f>SUM(G10:L10)-64</f>
        <v>-64</v>
      </c>
      <c r="N10" s="219" t="s">
        <v>40</v>
      </c>
      <c r="O10" s="295">
        <f>SUMIFS([1]اردیبهشت!$AD$2:$AD$600,[1]اردیبهشت!$N$2:$N$600,7103,[1]اردیبهشت!$D$2:$D$600,$F$10,[1]اردیبهشت!$AA$2:$AA$600,O3)</f>
        <v>0</v>
      </c>
      <c r="P10" s="176">
        <f>SUMIFS([1]اردیبهشت!$AD$2:$AD$600,[1]اردیبهشت!$N$2:$N$600,7103,[1]اردیبهشت!$D$2:$D$600,$F$10,[1]اردیبهشت!$AA$2:$AA$600,P3)</f>
        <v>0</v>
      </c>
      <c r="Q10" s="176">
        <f>SUMIFS([1]اردیبهشت!$AD$2:$AD$600,[1]اردیبهشت!$N$2:$N$600,7103,[1]اردیبهشت!$D$2:$D$600,$F$10,[1]اردیبهشت!$AA$2:$AA$600,Q3)</f>
        <v>0</v>
      </c>
      <c r="R10" s="176">
        <f>SUMIFS([1]اردیبهشت!$AD$2:$AD$600,[1]اردیبهشت!$N$2:$N$600,7103,[1]اردیبهشت!$D$2:$D$600,$F$10,[1]اردیبهشت!$AA$2:$AA$600,R3)</f>
        <v>0</v>
      </c>
      <c r="S10" s="176">
        <f>SUMIFS([1]اردیبهشت!$AD$2:$AD$600,[1]اردیبهشت!$N$2:$N$600,7103,[1]اردیبهشت!$D$2:$D$600,$F$10,[1]اردیبهشت!$AA$2:$AA$600,S3)</f>
        <v>0</v>
      </c>
      <c r="T10" s="176">
        <f>SUMIFS([1]اردیبهشت!$AD$2:$AD$600,[1]اردیبهشت!$N$2:$N$600,7103,[1]اردیبهشت!$D$2:$D$600,$F$10,[1]اردیبهشت!$AA$2:$AA$600,T3)</f>
        <v>0</v>
      </c>
      <c r="U10" s="162">
        <f>SUMIFS([1]اردیبهشت!$AD$2:$AD$600,[1]اردیبهشت!$N$2:$N$600,7103,[1]اردیبهشت!$D$2:$D$600,$F$10,[1]اردیبهشت!$AA$2:$AA$600,U3)</f>
        <v>0</v>
      </c>
    </row>
    <row r="11" spans="1:21" ht="36" customHeight="1" thickBot="1" x14ac:dyDescent="0.3">
      <c r="A11" s="214">
        <v>4</v>
      </c>
      <c r="B11" s="78" t="s">
        <v>18</v>
      </c>
      <c r="C11" s="239">
        <v>7201</v>
      </c>
      <c r="D11" s="239">
        <v>62.5</v>
      </c>
      <c r="E11" s="239" t="s">
        <v>19</v>
      </c>
      <c r="F11" s="140"/>
      <c r="G11" s="21">
        <f t="shared" si="0"/>
        <v>0</v>
      </c>
      <c r="H11" s="63">
        <f t="shared" si="1"/>
        <v>0</v>
      </c>
      <c r="I11" s="141">
        <v>0</v>
      </c>
      <c r="J11" s="141">
        <v>62</v>
      </c>
      <c r="K11" s="141">
        <v>0</v>
      </c>
      <c r="L11" s="141">
        <v>0</v>
      </c>
      <c r="M11" s="141">
        <f>SUM(G11:J11)-62</f>
        <v>0</v>
      </c>
      <c r="N11" s="142" t="s">
        <v>41</v>
      </c>
      <c r="O11" s="296"/>
      <c r="P11" s="201"/>
      <c r="Q11" s="201"/>
      <c r="R11" s="201"/>
      <c r="S11" s="201"/>
      <c r="T11" s="201"/>
      <c r="U11" s="111"/>
    </row>
    <row r="12" spans="1:21" ht="36" customHeight="1" thickBot="1" x14ac:dyDescent="0.3">
      <c r="A12" s="45">
        <v>5</v>
      </c>
      <c r="B12" s="12" t="s">
        <v>18</v>
      </c>
      <c r="C12" s="13">
        <v>7202</v>
      </c>
      <c r="D12" s="13">
        <v>62.5</v>
      </c>
      <c r="E12" s="13" t="s">
        <v>15</v>
      </c>
      <c r="F12" s="16" t="s">
        <v>20</v>
      </c>
      <c r="G12" s="14">
        <f t="shared" si="0"/>
        <v>0</v>
      </c>
      <c r="H12" s="48">
        <f t="shared" si="1"/>
        <v>0</v>
      </c>
      <c r="I12" s="14">
        <v>3</v>
      </c>
      <c r="J12" s="14">
        <v>0</v>
      </c>
      <c r="K12" s="14">
        <v>0</v>
      </c>
      <c r="L12" s="14">
        <v>0</v>
      </c>
      <c r="M12" s="14">
        <f>SUM(G12:L12)-62</f>
        <v>-59</v>
      </c>
      <c r="N12" s="271" t="s">
        <v>44</v>
      </c>
      <c r="O12" s="297">
        <f>SUMIFS([1]اردیبهشت!$AD$2:$AD$366,[1]اردیبهشت!$N$2:$N$366,$C$12,[1]اردیبهشت!$D$2:$D$366,$F$12,[1]اردیبهشت!$AA$2:$AA$366,O3)</f>
        <v>0</v>
      </c>
      <c r="P12" s="181">
        <f>SUMIFS([1]اردیبهشت!$AD$2:$AD$366,[1]اردیبهشت!$N$2:$N$366,$C$12,[1]اردیبهشت!$D$2:$D$366,$F$12,[1]اردیبهشت!$AA$2:$AA$366,P3)</f>
        <v>0</v>
      </c>
      <c r="Q12" s="181">
        <f>SUMIFS([1]اردیبهشت!$AD$2:$AD$366,[1]اردیبهشت!$N$2:$N$366,$C$12,[1]اردیبهشت!$D$2:$D$366,$F$12,[1]اردیبهشت!$AA$2:$AA$366,Q3)</f>
        <v>0</v>
      </c>
      <c r="R12" s="181">
        <f>SUMIFS([1]اردیبهشت!$AD$2:$AD$366,[1]اردیبهشت!$N$2:$N$366,$C$12,[1]اردیبهشت!$D$2:$D$366,$F$12,[1]اردیبهشت!$AA$2:$AA$366,R3)</f>
        <v>0</v>
      </c>
      <c r="S12" s="181">
        <f>SUMIFS([1]اردیبهشت!$AD$2:$AD$366,[1]اردیبهشت!$N$2:$N$366,$C$12,[1]اردیبهشت!$D$2:$D$366,$F$12,[1]اردیبهشت!$AA$2:$AA$366,S3)</f>
        <v>0</v>
      </c>
      <c r="T12" s="181">
        <f>SUMIFS([1]اردیبهشت!$AD$2:$AD$366,[1]اردیبهشت!$N$2:$N$366,$C$12,[1]اردیبهشت!$D$2:$D$366,$F$12,[1]اردیبهشت!$AA$2:$AA$366,T3)</f>
        <v>0</v>
      </c>
      <c r="U12" s="289">
        <f>SUMIFS([1]اردیبهشت!$AD$2:$AD$366,[1]اردیبهشت!$N$2:$N$366,$C$12,[1]اردیبهشت!$D$2:$D$366,$F$12,[1]اردیبهشت!$AA$2:$AA$366,U3)</f>
        <v>0</v>
      </c>
    </row>
    <row r="13" spans="1:21" ht="36" customHeight="1" thickBot="1" x14ac:dyDescent="0.3">
      <c r="A13" s="229">
        <v>6</v>
      </c>
      <c r="B13" s="213" t="s">
        <v>18</v>
      </c>
      <c r="C13" s="227">
        <v>7203</v>
      </c>
      <c r="D13" s="227">
        <v>62.5</v>
      </c>
      <c r="E13" s="227" t="s">
        <v>15</v>
      </c>
      <c r="F13" s="16"/>
      <c r="G13" s="4">
        <f t="shared" si="0"/>
        <v>0</v>
      </c>
      <c r="H13" s="67">
        <f t="shared" si="1"/>
        <v>0</v>
      </c>
      <c r="I13" s="4">
        <v>0</v>
      </c>
      <c r="J13" s="4">
        <v>0</v>
      </c>
      <c r="K13" s="4">
        <v>0</v>
      </c>
      <c r="L13" s="4">
        <v>0</v>
      </c>
      <c r="M13" s="4">
        <f>(G13+H13+I13+J13+K13)-D13</f>
        <v>-62.5</v>
      </c>
      <c r="N13" s="219"/>
      <c r="O13" s="295">
        <f>SUMIFS([1]اردیبهشت!$AD$2:$AD$600,[1]اردیبهشت!$N$2:$N$600,$C$13,[1]اردیبهشت!$D$2:$D$600,$F$13,[1]اردیبهشت!$AA$2:$AA$600,O3)</f>
        <v>0</v>
      </c>
      <c r="P13" s="176">
        <f>SUMIFS([1]اردیبهشت!$AD$2:$AD$600,[1]اردیبهشت!$N$2:$N$600,$C$13,[1]اردیبهشت!$D$2:$D$600,$F$13,[1]اردیبهشت!$AA$2:$AA$600,P3)</f>
        <v>0</v>
      </c>
      <c r="Q13" s="176">
        <f>SUMIFS([1]اردیبهشت!$AD$2:$AD$600,[1]اردیبهشت!$N$2:$N$600,$C$13,[1]اردیبهشت!$D$2:$D$600,$F$13,[1]اردیبهشت!$AA$2:$AA$600,Q3)</f>
        <v>0</v>
      </c>
      <c r="R13" s="176">
        <f>SUMIFS([1]اردیبهشت!$AD$2:$AD$600,[1]اردیبهشت!$N$2:$N$600,$C$13,[1]اردیبهشت!$D$2:$D$600,$F$13,[1]اردیبهشت!$AA$2:$AA$600,R3)</f>
        <v>0</v>
      </c>
      <c r="S13" s="176">
        <f>SUMIFS([1]اردیبهشت!$AD$2:$AD$600,[1]اردیبهشت!$N$2:$N$600,$C$13,[1]اردیبهشت!$D$2:$D$600,$F$13,[1]اردیبهشت!$AA$2:$AA$600,S3)</f>
        <v>0</v>
      </c>
      <c r="T13" s="176">
        <f>SUMIFS([1]اردیبهشت!$AD$2:$AD$600,[1]اردیبهشت!$N$2:$N$600,$C$13,[1]اردیبهشت!$D$2:$D$600,$F$13,[1]اردیبهشت!$AA$2:$AA$600,T3)</f>
        <v>0</v>
      </c>
      <c r="U13" s="162">
        <f>SUMIFS([1]اردیبهشت!$AD$2:$AD$600,[1]اردیبهشت!$N$2:$N$600,$C$13,[1]اردیبهشت!$D$2:$D$600,$F$13,[1]اردیبهشت!$AA$2:$AA$600,U3)</f>
        <v>0</v>
      </c>
    </row>
    <row r="14" spans="1:21" ht="36" customHeight="1" thickBot="1" x14ac:dyDescent="0.3">
      <c r="A14" s="45">
        <v>7</v>
      </c>
      <c r="B14" s="12" t="s">
        <v>18</v>
      </c>
      <c r="C14" s="13">
        <v>7204</v>
      </c>
      <c r="D14" s="13">
        <v>62.5</v>
      </c>
      <c r="E14" s="13" t="s">
        <v>15</v>
      </c>
      <c r="F14" s="16"/>
      <c r="G14" s="14">
        <f t="shared" si="0"/>
        <v>0</v>
      </c>
      <c r="H14" s="48">
        <f t="shared" si="1"/>
        <v>0</v>
      </c>
      <c r="I14" s="14">
        <v>0</v>
      </c>
      <c r="J14" s="14">
        <v>0</v>
      </c>
      <c r="K14" s="14">
        <v>0</v>
      </c>
      <c r="L14" s="14">
        <v>0</v>
      </c>
      <c r="M14" s="14">
        <f>SUM(G14:J14)-62</f>
        <v>-62</v>
      </c>
      <c r="N14" s="61"/>
      <c r="O14" s="295">
        <f>SUMIFS([1]اردیبهشت!$AD$2:$AD$600,[1]اردیبهشت!$N$2:$N$600,$C$14,[1]اردیبهشت!$D$2:$D$600,$F$14,[1]اردیبهشت!$AA$2:$AA$600,O3)</f>
        <v>0</v>
      </c>
      <c r="P14" s="176">
        <f>SUMIFS([1]اردیبهشت!$AD$2:$AD$600,[1]اردیبهشت!$N$2:$N$600,$C$14,[1]اردیبهشت!$D$2:$D$600,$F$14,[1]اردیبهشت!$AA$2:$AA$600,P3)</f>
        <v>0</v>
      </c>
      <c r="Q14" s="176">
        <f>SUMIFS([1]اردیبهشت!$AD$2:$AD$600,[1]اردیبهشت!$N$2:$N$600,$C$14,[1]اردیبهشت!$D$2:$D$600,$F$14,[1]اردیبهشت!$AA$2:$AA$600,Q3)</f>
        <v>0</v>
      </c>
      <c r="R14" s="176">
        <f>SUMIFS([1]اردیبهشت!$AD$2:$AD$600,[1]اردیبهشت!$N$2:$N$600,$C$14,[1]اردیبهشت!$D$2:$D$600,$F$14,[1]اردیبهشت!$AA$2:$AA$600,R3)</f>
        <v>0</v>
      </c>
      <c r="S14" s="176">
        <f>SUMIFS([1]اردیبهشت!$AD$2:$AD$600,[1]اردیبهشت!$N$2:$N$600,$C$14,[1]اردیبهشت!$D$2:$D$600,$F$14,[1]اردیبهشت!$AA$2:$AA$600,S3)</f>
        <v>0</v>
      </c>
      <c r="T14" s="176">
        <f>SUMIFS([1]اردیبهشت!$AD$2:$AD$600,[1]اردیبهشت!$N$2:$N$600,$C$14,[1]اردیبهشت!$D$2:$D$600,$F$14,[1]اردیبهشت!$AA$2:$AA$600,T3)</f>
        <v>0</v>
      </c>
      <c r="U14" s="162">
        <f>SUMIFS([1]اردیبهشت!$AD$2:$AD$600,[1]اردیبهشت!$N$2:$N$600,$C$14,[1]اردیبهشت!$D$2:$D$600,$F$14,[1]اردیبهشت!$AA$2:$AA$600,U3)</f>
        <v>0</v>
      </c>
    </row>
    <row r="15" spans="1:21" ht="36" customHeight="1" thickBot="1" x14ac:dyDescent="0.3">
      <c r="A15" s="45">
        <v>8</v>
      </c>
      <c r="B15" s="12" t="s">
        <v>21</v>
      </c>
      <c r="C15" s="13">
        <v>7301</v>
      </c>
      <c r="D15" s="13">
        <v>62.5</v>
      </c>
      <c r="E15" s="13" t="s">
        <v>15</v>
      </c>
      <c r="F15" s="19" t="s">
        <v>22</v>
      </c>
      <c r="G15" s="14">
        <f t="shared" si="0"/>
        <v>0</v>
      </c>
      <c r="H15" s="48">
        <f t="shared" si="1"/>
        <v>0</v>
      </c>
      <c r="I15" s="14">
        <v>2</v>
      </c>
      <c r="J15" s="14">
        <v>0</v>
      </c>
      <c r="K15" s="14">
        <v>0</v>
      </c>
      <c r="L15" s="14">
        <v>0</v>
      </c>
      <c r="M15" s="14">
        <f>SUM(G15:L15)-D15</f>
        <v>-60.5</v>
      </c>
      <c r="N15" s="15" t="s">
        <v>29</v>
      </c>
      <c r="O15" s="295">
        <f>SUMIFS([1]اردیبهشت!$AD$2:$AD$600,[1]اردیبهشت!$N$2:$N$600,$C$15,[1]اردیبهشت!$D$2:$D$600,$F$15,[1]اردیبهشت!$AA$2:$AA$600,O3)</f>
        <v>0</v>
      </c>
      <c r="P15" s="176">
        <f>SUMIFS([1]اردیبهشت!$AD$2:$AD$600,[1]اردیبهشت!$N$2:$N$600,$C$15,[1]اردیبهشت!$D$2:$D$600,$F$15,[1]اردیبهشت!$AA$2:$AA$600,P3)</f>
        <v>0</v>
      </c>
      <c r="Q15" s="176">
        <f>SUMIFS([1]اردیبهشت!$AD$2:$AD$600,[1]اردیبهشت!$N$2:$N$600,$C$15,[1]اردیبهشت!$D$2:$D$600,$F$15,[1]اردیبهشت!$AA$2:$AA$600,Q3)</f>
        <v>0</v>
      </c>
      <c r="R15" s="176">
        <f>SUMIFS([1]اردیبهشت!$AD$2:$AD$600,[1]اردیبهشت!$N$2:$N$600,$C$15,[1]اردیبهشت!$D$2:$D$600,$F$15,[1]اردیبهشت!$AA$2:$AA$600,R3)</f>
        <v>0</v>
      </c>
      <c r="S15" s="176">
        <f>SUMIFS([1]اردیبهشت!$AD$2:$AD$600,[1]اردیبهشت!$N$2:$N$600,$C$15,[1]اردیبهشت!$D$2:$D$600,$F$15,[1]اردیبهشت!$AA$2:$AA$600,S3)</f>
        <v>0</v>
      </c>
      <c r="T15" s="176">
        <f>SUMIFS([1]اردیبهشت!$AD$2:$AD$600,[1]اردیبهشت!$N$2:$N$600,$C$15,[1]اردیبهشت!$D$2:$D$600,$F$15,[1]اردیبهشت!$AA$2:$AA$600,T3)</f>
        <v>0</v>
      </c>
      <c r="U15" s="162">
        <f>SUMIFS([1]اردیبهشت!$AD$2:$AD$600,[1]اردیبهشت!$N$2:$N$600,$C$15,[1]اردیبهشت!$D$2:$D$600,$F$15,[1]اردیبهشت!$AA$2:$AA$600,U3)</f>
        <v>0</v>
      </c>
    </row>
    <row r="16" spans="1:21" ht="36" customHeight="1" x14ac:dyDescent="0.25">
      <c r="A16" s="214"/>
      <c r="B16" s="216"/>
      <c r="C16" s="224"/>
      <c r="D16" s="223"/>
      <c r="E16" s="932" t="s">
        <v>15</v>
      </c>
      <c r="F16" s="27"/>
      <c r="G16" s="1">
        <f t="shared" si="0"/>
        <v>0</v>
      </c>
      <c r="H16" s="49">
        <f t="shared" si="1"/>
        <v>0</v>
      </c>
      <c r="I16" s="1">
        <v>0</v>
      </c>
      <c r="J16" s="1">
        <v>0</v>
      </c>
      <c r="K16" s="1">
        <v>0</v>
      </c>
      <c r="L16" s="1">
        <v>0</v>
      </c>
      <c r="M16" s="4"/>
      <c r="N16" s="928" t="s">
        <v>44</v>
      </c>
      <c r="O16" s="292">
        <f>SUMIFS([1]اردیبهشت!$AD$2:$AD$600,[1]اردیبهشت!$N$2:$N$600,$C$17,[1]اردیبهشت!$D$2:$D$600,$F$16,[1]اردیبهشت!$AA$2:$AA$600,O3)</f>
        <v>0</v>
      </c>
      <c r="P16" s="165">
        <f>SUMIFS([1]اردیبهشت!$AD$2:$AD$600,[1]اردیبهشت!$N$2:$N$600,$C$17,[1]اردیبهشت!$D$2:$D$600,$F$16,[1]اردیبهشت!$AA$2:$AA$600,P3)</f>
        <v>0</v>
      </c>
      <c r="Q16" s="165">
        <f>SUMIFS([1]اردیبهشت!$AD$2:$AD$600,[1]اردیبهشت!$N$2:$N$600,$C$17,[1]اردیبهشت!$D$2:$D$600,$F$16,[1]اردیبهشت!$AA$2:$AA$600,Q3)</f>
        <v>0</v>
      </c>
      <c r="R16" s="165">
        <f>SUMIFS([1]اردیبهشت!$AD$2:$AD$600,[1]اردیبهشت!$N$2:$N$600,$C$17,[1]اردیبهشت!$D$2:$D$600,$F$16,[1]اردیبهشت!$AA$2:$AA$600,R3)</f>
        <v>0</v>
      </c>
      <c r="S16" s="165">
        <f>SUMIFS([1]اردیبهشت!$AD$2:$AD$600,[1]اردیبهشت!$N$2:$N$600,$C$17,[1]اردیبهشت!$D$2:$D$600,$F$16,[1]اردیبهشت!$AA$2:$AA$600,S3)</f>
        <v>0</v>
      </c>
      <c r="T16" s="165">
        <f>SUMIFS([1]اردیبهشت!$AD$2:$AD$600,[1]اردیبهشت!$N$2:$N$600,$C$17,[1]اردیبهشت!$D$2:$D$600,$F$16,[1]اردیبهشت!$AA$2:$AA$600,T3)</f>
        <v>0</v>
      </c>
      <c r="U16" s="159">
        <f>SUMIFS([1]اردیبهشت!$AD$2:$AD$600,[1]اردیبهشت!$N$2:$N$600,$C$17,[1]اردیبهشت!$D$2:$D$600,$F$16,[1]اردیبهشت!$AA$2:$AA$600,U3)</f>
        <v>0</v>
      </c>
    </row>
    <row r="17" spans="1:21" ht="36" customHeight="1" x14ac:dyDescent="0.25">
      <c r="A17" s="214">
        <v>9</v>
      </c>
      <c r="B17" s="216" t="s">
        <v>21</v>
      </c>
      <c r="C17" s="228">
        <v>7302</v>
      </c>
      <c r="D17" s="227">
        <v>62.5</v>
      </c>
      <c r="E17" s="933"/>
      <c r="F17" s="22" t="s">
        <v>17</v>
      </c>
      <c r="G17" s="3">
        <f t="shared" si="0"/>
        <v>0</v>
      </c>
      <c r="H17" s="47">
        <f t="shared" si="1"/>
        <v>0</v>
      </c>
      <c r="I17" s="3">
        <v>6</v>
      </c>
      <c r="J17" s="3">
        <v>0</v>
      </c>
      <c r="K17" s="3">
        <v>0</v>
      </c>
      <c r="L17" s="3">
        <v>0</v>
      </c>
      <c r="M17" s="4">
        <f>SUM(G16:L18)-D17</f>
        <v>-56.5</v>
      </c>
      <c r="N17" s="929"/>
      <c r="O17" s="293">
        <f>SUMIFS([1]اردیبهشت!$AD$2:$AD$600,[1]اردیبهشت!$N$2:$N$600,$C$17,[1]اردیبهشت!$D$2:$D$600,$F$17,[1]اردیبهشت!$AA$2:$AA$600,O3)</f>
        <v>0</v>
      </c>
      <c r="P17" s="166">
        <f>SUMIFS([1]اردیبهشت!$AD$2:$AD$600,[1]اردیبهشت!$N$2:$N$600,$C$17,[1]اردیبهشت!$D$2:$D$600,$F$17,[1]اردیبهشت!$AA$2:$AA$600,P3)</f>
        <v>0</v>
      </c>
      <c r="Q17" s="166">
        <f>SUMIFS([1]اردیبهشت!$AD$2:$AD$600,[1]اردیبهشت!$N$2:$N$600,$C$17,[1]اردیبهشت!$D$2:$D$600,$F$17,[1]اردیبهشت!$AA$2:$AA$600,Q3)</f>
        <v>0</v>
      </c>
      <c r="R17" s="166">
        <f>SUMIFS([1]اردیبهشت!$AD$2:$AD$600,[1]اردیبهشت!$N$2:$N$600,$C$17,[1]اردیبهشت!$D$2:$D$600,$F$17,[1]اردیبهشت!$AA$2:$AA$600,R3)</f>
        <v>0</v>
      </c>
      <c r="S17" s="166">
        <f>SUMIFS([1]اردیبهشت!$AD$2:$AD$600,[1]اردیبهشت!$N$2:$N$600,$C$17,[1]اردیبهشت!$D$2:$D$600,$F$17,[1]اردیبهشت!$AA$2:$AA$600,S3)</f>
        <v>0</v>
      </c>
      <c r="T17" s="166">
        <f>SUMIFS([1]اردیبهشت!$AD$2:$AD$600,[1]اردیبهشت!$N$2:$N$600,$C$17,[1]اردیبهشت!$D$2:$D$600,$F$17,[1]اردیبهشت!$AA$2:$AA$600,T3)</f>
        <v>0</v>
      </c>
      <c r="U17" s="160">
        <f>SUMIFS([1]اردیبهشت!$AD$2:$AD$600,[1]اردیبهشت!$N$2:$N$600,$C$17,[1]اردیبهشت!$D$2:$D$600,$F$17,[1]اردیبهشت!$AA$2:$AA$600,U3)</f>
        <v>0</v>
      </c>
    </row>
    <row r="18" spans="1:21" ht="36" customHeight="1" thickBot="1" x14ac:dyDescent="0.3">
      <c r="A18" s="230"/>
      <c r="B18" s="43"/>
      <c r="C18" s="217"/>
      <c r="D18" s="222"/>
      <c r="E18" s="934"/>
      <c r="F18" s="5"/>
      <c r="G18" s="1">
        <f t="shared" si="0"/>
        <v>0</v>
      </c>
      <c r="H18" s="49">
        <f t="shared" si="1"/>
        <v>0</v>
      </c>
      <c r="I18" s="7">
        <v>0</v>
      </c>
      <c r="J18" s="7">
        <v>0</v>
      </c>
      <c r="K18" s="6">
        <v>0</v>
      </c>
      <c r="L18" s="6">
        <v>0</v>
      </c>
      <c r="M18" s="6"/>
      <c r="N18" s="930"/>
      <c r="O18" s="294">
        <f>SUMIFS([1]اردیبهشت!$AD$2:$AD$600,[1]اردیبهشت!$N$2:$N$600,$C$17,[1]اردیبهشت!$D$2:$D$600,$F$17,[1]اردیبهشت!$AA$2:$AA$600,O4)</f>
        <v>0</v>
      </c>
      <c r="P18" s="171">
        <f>SUMIFS([1]اردیبهشت!$AD$2:$AD$600,[1]اردیبهشت!$N$2:$N$600,$C$17,[1]اردیبهشت!$D$2:$D$600,$F$17,[1]اردیبهشت!$AA$2:$AA$600,P4)</f>
        <v>0</v>
      </c>
      <c r="Q18" s="171">
        <f>SUMIFS([1]اردیبهشت!$AD$2:$AD$600,[1]اردیبهشت!$N$2:$N$600,$C$17,[1]اردیبهشت!$D$2:$D$600,$F$17,[1]اردیبهشت!$AA$2:$AA$600,Q4)</f>
        <v>0</v>
      </c>
      <c r="R18" s="171">
        <f>SUMIFS([1]اردیبهشت!$AD$2:$AD$600,[1]اردیبهشت!$N$2:$N$600,$C$17,[1]اردیبهشت!$D$2:$D$600,$F$17,[1]اردیبهشت!$AA$2:$AA$600,R4)</f>
        <v>0</v>
      </c>
      <c r="S18" s="171">
        <f>SUMIFS([1]اردیبهشت!$AD$2:$AD$600,[1]اردیبهشت!$N$2:$N$600,$C$17,[1]اردیبهشت!$D$2:$D$600,$F$17,[1]اردیبهشت!$AA$2:$AA$600,S4)</f>
        <v>0</v>
      </c>
      <c r="T18" s="171">
        <f>SUMIFS([1]اردیبهشت!$AD$2:$AD$600,[1]اردیبهشت!$N$2:$N$600,$C$17,[1]اردیبهشت!$D$2:$D$600,$F$17,[1]اردیبهشت!$AA$2:$AA$600,T4)</f>
        <v>0</v>
      </c>
      <c r="U18" s="164">
        <f>SUMIFS([1]اردیبهشت!$AD$2:$AD$600,[1]اردیبهشت!$N$2:$N$600,$C$17,[1]اردیبهشت!$D$2:$D$600,$F$17,[1]اردیبهشت!$AA$2:$AA$600,U4)</f>
        <v>0</v>
      </c>
    </row>
    <row r="19" spans="1:21" ht="36" customHeight="1" thickBot="1" x14ac:dyDescent="0.3">
      <c r="A19" s="147">
        <v>10</v>
      </c>
      <c r="B19" s="143" t="s">
        <v>21</v>
      </c>
      <c r="C19" s="242">
        <v>7303</v>
      </c>
      <c r="D19" s="242">
        <v>44</v>
      </c>
      <c r="E19" s="242" t="s">
        <v>19</v>
      </c>
      <c r="F19" s="144" t="s">
        <v>23</v>
      </c>
      <c r="G19" s="85">
        <f t="shared" si="0"/>
        <v>0</v>
      </c>
      <c r="H19" s="86">
        <f t="shared" si="1"/>
        <v>0</v>
      </c>
      <c r="I19" s="89">
        <v>14.5</v>
      </c>
      <c r="J19" s="89">
        <v>0</v>
      </c>
      <c r="K19" s="89">
        <v>0</v>
      </c>
      <c r="L19" s="89">
        <v>0</v>
      </c>
      <c r="M19" s="89">
        <f>SUM(G19:L19)-44</f>
        <v>-29.5</v>
      </c>
      <c r="N19" s="305" t="s">
        <v>29</v>
      </c>
      <c r="O19" s="297">
        <f>SUMIFS([1]اردیبهشت!$AD$2:$AD$600,[1]اردیبهشت!$N$2:$N$600,$C$19,[1]اردیبهشت!$D$2:$D$600,$F$19,[1]اردیبهشت!$AA$2:$AA$600,O3)</f>
        <v>0</v>
      </c>
      <c r="P19" s="181">
        <f>SUMIFS([1]اردیبهشت!$AD$2:$AD$600,[1]اردیبهشت!$N$2:$N$600,$C$19,[1]اردیبهشت!$D$2:$D$600,$F$19,[1]اردیبهشت!$AA$2:$AA$600,P3)</f>
        <v>0</v>
      </c>
      <c r="Q19" s="181">
        <f>SUMIFS([1]اردیبهشت!$AD$2:$AD$600,[1]اردیبهشت!$N$2:$N$600,$C$19,[1]اردیبهشت!$D$2:$D$600,$F$19,[1]اردیبهشت!$AA$2:$AA$600,Q3)</f>
        <v>0</v>
      </c>
      <c r="R19" s="181">
        <f>SUMIFS([1]اردیبهشت!$AD$2:$AD$600,[1]اردیبهشت!$N$2:$N$600,$C$19,[1]اردیبهشت!$D$2:$D$600,$F$19,[1]اردیبهشت!$AA$2:$AA$600,R3)</f>
        <v>0</v>
      </c>
      <c r="S19" s="181">
        <f>SUMIFS([1]اردیبهشت!$AD$2:$AD$600,[1]اردیبهشت!$N$2:$N$600,$C$19,[1]اردیبهشت!$D$2:$D$600,$F$19,[1]اردیبهشت!$AA$2:$AA$600,S3)</f>
        <v>0</v>
      </c>
      <c r="T19" s="181">
        <f>SUMIFS([1]اردیبهشت!$AD$2:$AD$600,[1]اردیبهشت!$N$2:$N$600,$C$19,[1]اردیبهشت!$D$2:$D$600,$F$19,[1]اردیبهشت!$AA$2:$AA$600,T3)</f>
        <v>0</v>
      </c>
      <c r="U19" s="289">
        <f>SUMIFS([1]اردیبهشت!$AD$2:$AD$600,[1]اردیبهشت!$N$2:$N$600,$C$19,[1]اردیبهشت!$D$2:$D$600,$F$19,[1]اردیبهشت!$AA$2:$AA$600,U3)</f>
        <v>0</v>
      </c>
    </row>
    <row r="20" spans="1:21" ht="36" customHeight="1" x14ac:dyDescent="0.25">
      <c r="A20" s="229"/>
      <c r="B20" s="42"/>
      <c r="C20" s="215"/>
      <c r="D20" s="221"/>
      <c r="E20" s="932" t="s">
        <v>15</v>
      </c>
      <c r="F20" s="20" t="s">
        <v>16</v>
      </c>
      <c r="G20" s="9">
        <f t="shared" si="0"/>
        <v>0</v>
      </c>
      <c r="H20" s="46">
        <f t="shared" si="1"/>
        <v>0</v>
      </c>
      <c r="I20" s="9">
        <v>0</v>
      </c>
      <c r="J20" s="9">
        <v>0</v>
      </c>
      <c r="K20" s="9">
        <v>0</v>
      </c>
      <c r="L20" s="9">
        <v>0</v>
      </c>
      <c r="M20" s="21"/>
      <c r="N20" s="931" t="s">
        <v>53</v>
      </c>
      <c r="O20" s="292">
        <f>SUMIFS([1]اردیبهشت!$AD$2:$AD$600,[1]اردیبهشت!$N$2:$N$600,$C$21,[1]اردیبهشت!$D$2:$D$600,$F$20,[1]اردیبهشت!$AA$2:$AA$600,O3)</f>
        <v>0</v>
      </c>
      <c r="P20" s="165">
        <f>SUMIFS([1]اردیبهشت!$AD$2:$AD$600,[1]اردیبهشت!$N$2:$N$600,$C$21,[1]اردیبهشت!$D$2:$D$600,$F$20,[1]اردیبهشت!$AA$2:$AA$600,P3)</f>
        <v>0</v>
      </c>
      <c r="Q20" s="165">
        <f>SUMIFS([1]اردیبهشت!$AD$2:$AD$600,[1]اردیبهشت!$N$2:$N$600,$C$21,[1]اردیبهشت!$D$2:$D$600,$F$20,[1]اردیبهشت!$AA$2:$AA$600,Q3)</f>
        <v>0</v>
      </c>
      <c r="R20" s="165">
        <f>SUMIFS([1]اردیبهشت!$AD$2:$AD$600,[1]اردیبهشت!$N$2:$N$600,$C$21,[1]اردیبهشت!$D$2:$D$600,$F$20,[1]اردیبهشت!$AA$2:$AA$600,R3)</f>
        <v>0</v>
      </c>
      <c r="S20" s="165">
        <f>SUMIFS([1]اردیبهشت!$AD$2:$AD$600,[1]اردیبهشت!$N$2:$N$600,$C$21,[1]اردیبهشت!$D$2:$D$600,$F$20,[1]اردیبهشت!$AA$2:$AA$600,S3)</f>
        <v>0</v>
      </c>
      <c r="T20" s="165">
        <f>SUMIFS([1]اردیبهشت!$AD$2:$AD$600,[1]اردیبهشت!$N$2:$N$600,$C$21,[1]اردیبهشت!$D$2:$D$600,$F$20,[1]اردیبهشت!$AA$2:$AA$600,T3)</f>
        <v>0</v>
      </c>
      <c r="U20" s="159">
        <f>SUMIFS([1]اردیبهشت!$AD$2:$AD$600,[1]اردیبهشت!$N$2:$N$600,$C$21,[1]اردیبهشت!$D$2:$D$600,$F$20,[1]اردیبهشت!$AA$2:$AA$600,U3)</f>
        <v>0</v>
      </c>
    </row>
    <row r="21" spans="1:21" ht="36" customHeight="1" x14ac:dyDescent="0.25">
      <c r="A21" s="214">
        <v>11</v>
      </c>
      <c r="B21" s="216" t="s">
        <v>24</v>
      </c>
      <c r="C21" s="228">
        <v>7401</v>
      </c>
      <c r="D21" s="227">
        <v>62.5</v>
      </c>
      <c r="E21" s="933"/>
      <c r="F21" s="22" t="s">
        <v>54</v>
      </c>
      <c r="G21" s="3">
        <f t="shared" si="0"/>
        <v>0</v>
      </c>
      <c r="H21" s="47">
        <f t="shared" si="1"/>
        <v>0</v>
      </c>
      <c r="I21" s="3">
        <v>0</v>
      </c>
      <c r="J21" s="3">
        <v>0</v>
      </c>
      <c r="K21" s="3">
        <v>0</v>
      </c>
      <c r="L21" s="3">
        <v>0</v>
      </c>
      <c r="M21" s="1">
        <f>SUM(G20:L22)-D21</f>
        <v>-62.5</v>
      </c>
      <c r="N21" s="929"/>
      <c r="O21" s="293">
        <f>SUMIFS([1]اردیبهشت!$AD$2:$AD$600,[1]اردیبهشت!$N$2:$N$600,$C$21,[1]اردیبهشت!$D$2:$D$600,$F$21,[1]اردیبهشت!$AA$2:$AA$600,O3)</f>
        <v>0</v>
      </c>
      <c r="P21" s="166">
        <f>SUMIFS([1]اردیبهشت!$AD$2:$AD$600,[1]اردیبهشت!$N$2:$N$600,$C$21,[1]اردیبهشت!$D$2:$D$600,$F$21,[1]اردیبهشت!$AA$2:$AA$600,P3)</f>
        <v>0</v>
      </c>
      <c r="Q21" s="166">
        <f>SUMIFS([1]اردیبهشت!$AD$2:$AD$600,[1]اردیبهشت!$N$2:$N$600,$C$21,[1]اردیبهشت!$D$2:$D$600,$F$21,[1]اردیبهشت!$AA$2:$AA$600,Q3)</f>
        <v>0</v>
      </c>
      <c r="R21" s="166">
        <f>SUMIFS([1]اردیبهشت!$AD$2:$AD$600,[1]اردیبهشت!$N$2:$N$600,$C$21,[1]اردیبهشت!$D$2:$D$600,$F$21,[1]اردیبهشت!$AA$2:$AA$600,R3)</f>
        <v>0</v>
      </c>
      <c r="S21" s="166">
        <f>SUMIFS([1]اردیبهشت!$AD$2:$AD$600,[1]اردیبهشت!$N$2:$N$600,$C$21,[1]اردیبهشت!$D$2:$D$600,$F$21,[1]اردیبهشت!$AA$2:$AA$600,S3)</f>
        <v>0</v>
      </c>
      <c r="T21" s="166">
        <f>SUMIFS([1]اردیبهشت!$AD$2:$AD$600,[1]اردیبهشت!$N$2:$N$600,$C$21,[1]اردیبهشت!$D$2:$D$600,$F$21,[1]اردیبهشت!$AA$2:$AA$600,T3)</f>
        <v>0</v>
      </c>
      <c r="U21" s="160">
        <f>SUMIFS([1]اردیبهشت!$AD$2:$AD$600,[1]اردیبهشت!$N$2:$N$600,$C$21,[1]اردیبهشت!$D$2:$D$600,$F$21,[1]اردیبهشت!$AA$2:$AA$600,U3)</f>
        <v>0</v>
      </c>
    </row>
    <row r="22" spans="1:21" ht="36" customHeight="1" thickBot="1" x14ac:dyDescent="0.3">
      <c r="A22" s="230"/>
      <c r="B22" s="43" t="s">
        <v>24</v>
      </c>
      <c r="C22" s="217"/>
      <c r="D22" s="227"/>
      <c r="E22" s="934"/>
      <c r="F22" s="5"/>
      <c r="G22" s="1">
        <f t="shared" si="0"/>
        <v>0</v>
      </c>
      <c r="H22" s="49">
        <f t="shared" si="1"/>
        <v>0</v>
      </c>
      <c r="I22" s="7">
        <v>0</v>
      </c>
      <c r="J22" s="7">
        <v>0</v>
      </c>
      <c r="K22" s="6">
        <v>0</v>
      </c>
      <c r="L22" s="6">
        <v>0</v>
      </c>
      <c r="M22" s="6"/>
      <c r="N22" s="930"/>
      <c r="O22" s="294">
        <f>SUMIFS([1]اردیبهشت!$AD$2:$AD$600,[1]اردیبهشت!$N$2:$N$600,$C$22,[1]اردیبهشت!$D$2:$D$600,$F$22,[1]اردیبهشت!$AA$2:$AA$600,O3)</f>
        <v>0</v>
      </c>
      <c r="P22" s="171">
        <f>SUMIFS([1]اردیبهشت!$AD$2:$AD$600,[1]اردیبهشت!$N$2:$N$600,$C$22,[1]اردیبهشت!$D$2:$D$600,$F$22,[1]اردیبهشت!$AA$2:$AA$600,P3)</f>
        <v>0</v>
      </c>
      <c r="Q22" s="171">
        <f>SUMIFS([1]اردیبهشت!$AD$2:$AD$600,[1]اردیبهشت!$N$2:$N$600,$C$22,[1]اردیبهشت!$D$2:$D$600,$F$22,[1]اردیبهشت!$AA$2:$AA$600,Q3)</f>
        <v>0</v>
      </c>
      <c r="R22" s="171">
        <f>SUMIFS([1]اردیبهشت!$AD$2:$AD$600,[1]اردیبهشت!$N$2:$N$600,$C$22,[1]اردیبهشت!$D$2:$D$600,$F$22,[1]اردیبهشت!$AA$2:$AA$600,R3)</f>
        <v>0</v>
      </c>
      <c r="S22" s="171">
        <f>SUMIFS([1]اردیبهشت!$AD$2:$AD$600,[1]اردیبهشت!$N$2:$N$600,$C$22,[1]اردیبهشت!$D$2:$D$600,$F$22,[1]اردیبهشت!$AA$2:$AA$600,S3)</f>
        <v>0</v>
      </c>
      <c r="T22" s="171">
        <f>SUMIFS([1]اردیبهشت!$AD$2:$AD$600,[1]اردیبهشت!$N$2:$N$600,$C$22,[1]اردیبهشت!$D$2:$D$600,$F$22,[1]اردیبهشت!$AA$2:$AA$600,T3)</f>
        <v>0</v>
      </c>
      <c r="U22" s="164">
        <f>SUMIFS([1]اردیبهشت!$AD$2:$AD$600,[1]اردیبهشت!$N$2:$N$600,$C$22,[1]اردیبهشت!$D$2:$D$600,$F$22,[1]اردیبهشت!$AA$2:$AA$600,U3)</f>
        <v>0</v>
      </c>
    </row>
    <row r="23" spans="1:21" ht="36" customHeight="1" x14ac:dyDescent="0.25">
      <c r="A23" s="214"/>
      <c r="B23" s="215"/>
      <c r="C23" s="221"/>
      <c r="D23" s="221"/>
      <c r="E23" s="932" t="s">
        <v>19</v>
      </c>
      <c r="F23" s="20"/>
      <c r="G23" s="9">
        <f t="shared" si="0"/>
        <v>0</v>
      </c>
      <c r="H23" s="46">
        <f t="shared" si="1"/>
        <v>0</v>
      </c>
      <c r="I23" s="9">
        <v>0</v>
      </c>
      <c r="J23" s="9">
        <v>0</v>
      </c>
      <c r="K23" s="9">
        <v>0</v>
      </c>
      <c r="L23" s="9">
        <v>0</v>
      </c>
      <c r="M23" s="21"/>
      <c r="N23" s="931" t="s">
        <v>28</v>
      </c>
      <c r="O23" s="292">
        <f>SUMIFS([1]اردیبهشت!$AD$2:$AD$600,[1]اردیبهشت!$N$2:$N$600,$C$24,[1]اردیبهشت!$D$2:$D$600,$F$23,[1]اردیبهشت!$AA$2:$AA$600,O3)</f>
        <v>0</v>
      </c>
      <c r="P23" s="165">
        <f>SUMIFS([1]اردیبهشت!$AD$2:$AD$600,[1]اردیبهشت!$N$2:$N$600,$C$24,[1]اردیبهشت!$D$2:$D$600,$F$23,[1]اردیبهشت!$AA$2:$AA$600,P3)</f>
        <v>0</v>
      </c>
      <c r="Q23" s="165">
        <f>SUMIFS([1]اردیبهشت!$AD$2:$AD$600,[1]اردیبهشت!$N$2:$N$600,$C$24,[1]اردیبهشت!$D$2:$D$600,$F$23,[1]اردیبهشت!$AA$2:$AA$600,Q3)</f>
        <v>0</v>
      </c>
      <c r="R23" s="165">
        <f>SUMIFS([1]اردیبهشت!$AD$2:$AD$600,[1]اردیبهشت!$N$2:$N$600,$C$24,[1]اردیبهشت!$D$2:$D$600,$F$23,[1]اردیبهشت!$AA$2:$AA$600,R3)</f>
        <v>0</v>
      </c>
      <c r="S23" s="165">
        <f>SUMIFS([1]اردیبهشت!$AD$2:$AD$600,[1]اردیبهشت!$N$2:$N$600,$C$24,[1]اردیبهشت!$D$2:$D$600,$F$23,[1]اردیبهشت!$AA$2:$AA$600,S3)</f>
        <v>0</v>
      </c>
      <c r="T23" s="165">
        <f>SUMIFS([1]اردیبهشت!$AD$2:$AD$600,[1]اردیبهشت!$N$2:$N$600,$C$24,[1]اردیبهشت!$D$2:$D$600,$F$23,[1]اردیبهشت!$AA$2:$AA$600,T3)</f>
        <v>0</v>
      </c>
      <c r="U23" s="159">
        <f>SUMIFS([1]اردیبهشت!$AD$2:$AD$600,[1]اردیبهشت!$N$2:$N$600,$C$24,[1]اردیبهشت!$D$2:$D$600,$F$23,[1]اردیبهشت!$AA$2:$AA$600,U3)</f>
        <v>0</v>
      </c>
    </row>
    <row r="24" spans="1:21" ht="36" customHeight="1" x14ac:dyDescent="0.25">
      <c r="A24" s="214">
        <v>12</v>
      </c>
      <c r="B24" s="228" t="s">
        <v>25</v>
      </c>
      <c r="C24" s="233">
        <v>7501</v>
      </c>
      <c r="D24" s="227">
        <v>62.5</v>
      </c>
      <c r="E24" s="933"/>
      <c r="F24" s="22" t="s">
        <v>36</v>
      </c>
      <c r="G24" s="3">
        <f t="shared" si="0"/>
        <v>0</v>
      </c>
      <c r="H24" s="47">
        <f t="shared" si="1"/>
        <v>0</v>
      </c>
      <c r="I24" s="3">
        <v>0</v>
      </c>
      <c r="J24" s="3">
        <v>0</v>
      </c>
      <c r="K24" s="3">
        <v>0</v>
      </c>
      <c r="L24" s="3">
        <v>0</v>
      </c>
      <c r="M24" s="4">
        <f>SUM(G23:L25)-D24</f>
        <v>-62.5</v>
      </c>
      <c r="N24" s="929"/>
      <c r="O24" s="293">
        <f>SUMIFS([1]اردیبهشت!$AD$2:$AD$600,[1]اردیبهشت!$N$2:$N$600,$C$24,[1]اردیبهشت!$D$2:$D$600,$F$24,[1]اردیبهشت!$AA$2:$AA$600,O3)</f>
        <v>0</v>
      </c>
      <c r="P24" s="166">
        <f>SUMIFS([1]اردیبهشت!$AD$2:$AD$600,[1]اردیبهشت!$N$2:$N$600,$C$24,[1]اردیبهشت!$D$2:$D$600,$F$24,[1]اردیبهشت!$AA$2:$AA$600,P3)</f>
        <v>0</v>
      </c>
      <c r="Q24" s="166">
        <f>SUMIFS([1]اردیبهشت!$AD$2:$AD$600,[1]اردیبهشت!$N$2:$N$600,$C$24,[1]اردیبهشت!$D$2:$D$600,$F$24,[1]اردیبهشت!$AA$2:$AA$600,Q3)</f>
        <v>0</v>
      </c>
      <c r="R24" s="166">
        <f>SUMIFS([1]اردیبهشت!$AD$2:$AD$600,[1]اردیبهشت!$N$2:$N$600,$C$24,[1]اردیبهشت!$D$2:$D$600,$F$24,[1]اردیبهشت!$AA$2:$AA$600,R3)</f>
        <v>0</v>
      </c>
      <c r="S24" s="166">
        <f>SUMIFS([1]اردیبهشت!$AD$2:$AD$600,[1]اردیبهشت!$N$2:$N$600,$C$24,[1]اردیبهشت!$D$2:$D$600,$F$24,[1]اردیبهشت!$AA$2:$AA$600,S3)</f>
        <v>0</v>
      </c>
      <c r="T24" s="166">
        <f>SUMIFS([1]اردیبهشت!$AD$2:$AD$600,[1]اردیبهشت!$N$2:$N$600,$C$24,[1]اردیبهشت!$D$2:$D$600,$F$24,[1]اردیبهشت!$AA$2:$AA$600,T3)</f>
        <v>0</v>
      </c>
      <c r="U24" s="160">
        <f>SUMIFS([1]اردیبهشت!$AD$2:$AD$600,[1]اردیبهشت!$N$2:$N$600,$C$24,[1]اردیبهشت!$D$2:$D$600,$F$24,[1]اردیبهشت!$AA$2:$AA$600,U3)</f>
        <v>0</v>
      </c>
    </row>
    <row r="25" spans="1:21" ht="36" customHeight="1" thickBot="1" x14ac:dyDescent="0.3">
      <c r="A25" s="230"/>
      <c r="B25" s="217"/>
      <c r="C25" s="222"/>
      <c r="D25" s="222"/>
      <c r="E25" s="934"/>
      <c r="F25" s="5"/>
      <c r="G25" s="1">
        <f t="shared" si="0"/>
        <v>0</v>
      </c>
      <c r="H25" s="49">
        <f t="shared" si="1"/>
        <v>0</v>
      </c>
      <c r="I25" s="7">
        <v>0</v>
      </c>
      <c r="J25" s="7">
        <v>0</v>
      </c>
      <c r="K25" s="6">
        <v>0</v>
      </c>
      <c r="L25" s="6">
        <v>0</v>
      </c>
      <c r="M25" s="6"/>
      <c r="N25" s="930"/>
      <c r="O25" s="294">
        <f>SUMIFS([1]اردیبهشت!$AD$2:$AD$600,[1]اردیبهشت!$N$2:$N$600,$C$24,[1]اردیبهشت!$D$2:$D$600,$F$25,[1]اردیبهشت!$AA$2:$AA$600,O3)</f>
        <v>0</v>
      </c>
      <c r="P25" s="171">
        <f>SUMIFS([1]اردیبهشت!$AD$2:$AD$600,[1]اردیبهشت!$N$2:$N$600,$C$24,[1]اردیبهشت!$D$2:$D$600,$F$25,[1]اردیبهشت!$AA$2:$AA$600,P3)</f>
        <v>0</v>
      </c>
      <c r="Q25" s="171">
        <f>SUMIFS([1]اردیبهشت!$AD$2:$AD$600,[1]اردیبهشت!$N$2:$N$600,$C$24,[1]اردیبهشت!$D$2:$D$600,$F$25,[1]اردیبهشت!$AA$2:$AA$600,Q3)</f>
        <v>0</v>
      </c>
      <c r="R25" s="171">
        <f>SUMIFS([1]اردیبهشت!$AD$2:$AD$600,[1]اردیبهشت!$N$2:$N$600,$C$24,[1]اردیبهشت!$D$2:$D$600,$F$25,[1]اردیبهشت!$AA$2:$AA$600,R3)</f>
        <v>0</v>
      </c>
      <c r="S25" s="171">
        <f>SUMIFS([1]اردیبهشت!$AD$2:$AD$600,[1]اردیبهشت!$N$2:$N$600,$C$24,[1]اردیبهشت!$D$2:$D$600,$F$25,[1]اردیبهشت!$AA$2:$AA$600,S3)</f>
        <v>0</v>
      </c>
      <c r="T25" s="171">
        <f>SUMIFS([1]اردیبهشت!$AD$2:$AD$600,[1]اردیبهشت!$N$2:$N$600,$C$24,[1]اردیبهشت!$D$2:$D$600,$F$25,[1]اردیبهشت!$AA$2:$AA$600,T3)</f>
        <v>0</v>
      </c>
      <c r="U25" s="164">
        <f>SUMIFS([1]اردیبهشت!$AD$2:$AD$600,[1]اردیبهشت!$N$2:$N$600,$C$24,[1]اردیبهشت!$D$2:$D$600,$F$25,[1]اردیبهشت!$AA$2:$AA$600,U3)</f>
        <v>0</v>
      </c>
    </row>
    <row r="26" spans="1:21" ht="36" customHeight="1" x14ac:dyDescent="0.25">
      <c r="A26" s="214"/>
      <c r="B26" s="215"/>
      <c r="C26" s="221"/>
      <c r="D26" s="221"/>
      <c r="E26" s="935" t="s">
        <v>50</v>
      </c>
      <c r="F26" s="20"/>
      <c r="G26" s="9">
        <f t="shared" si="0"/>
        <v>0</v>
      </c>
      <c r="H26" s="46">
        <f t="shared" si="1"/>
        <v>0</v>
      </c>
      <c r="I26" s="85">
        <v>0</v>
      </c>
      <c r="J26" s="85">
        <v>0</v>
      </c>
      <c r="K26" s="85">
        <v>0</v>
      </c>
      <c r="L26" s="85">
        <v>0</v>
      </c>
      <c r="M26" s="21"/>
      <c r="N26" s="938" t="s">
        <v>42</v>
      </c>
      <c r="O26" s="292">
        <f>SUMIFS([1]اردیبهشت!$AD$2:$AD$600,[1]اردیبهشت!$N$2:$N$600,$C$27,[1]اردیبهشت!$D$2:$D$600,$F$26,[1]اردیبهشت!$AA$2:$AA$600,O3)</f>
        <v>0</v>
      </c>
      <c r="P26" s="165">
        <f>SUMIFS([1]اردیبهشت!$AD$2:$AD$600,[1]اردیبهشت!$N$2:$N$600,$C$27,[1]اردیبهشت!$D$2:$D$600,$F$26,[1]اردیبهشت!$AA$2:$AA$600,P3)</f>
        <v>0</v>
      </c>
      <c r="Q26" s="165">
        <f>SUMIFS([1]اردیبهشت!$AD$2:$AD$600,[1]اردیبهشت!$N$2:$N$600,$C$27,[1]اردیبهشت!$D$2:$D$600,$F$26,[1]اردیبهشت!$AA$2:$AA$600,Q3)</f>
        <v>0</v>
      </c>
      <c r="R26" s="165">
        <f>SUMIFS([1]اردیبهشت!$AD$2:$AD$600,[1]اردیبهشت!$N$2:$N$600,$C$27,[1]اردیبهشت!$D$2:$D$600,$F$26,[1]اردیبهشت!$AA$2:$AA$600,R3)</f>
        <v>0</v>
      </c>
      <c r="S26" s="165">
        <f>SUMIFS([1]اردیبهشت!$AD$2:$AD$600,[1]اردیبهشت!$N$2:$N$600,$C$27,[1]اردیبهشت!$D$2:$D$600,$F$26,[1]اردیبهشت!$AA$2:$AA$600,S3)</f>
        <v>0</v>
      </c>
      <c r="T26" s="165">
        <f>SUMIFS([1]اردیبهشت!$AD$2:$AD$600,[1]اردیبهشت!$N$2:$N$600,$C$27,[1]اردیبهشت!$D$2:$D$600,$F$26,[1]اردیبهشت!$AA$2:$AA$600,T3)</f>
        <v>0</v>
      </c>
      <c r="U26" s="159">
        <f>SUMIFS([1]اردیبهشت!$AD$2:$AD$600,[1]اردیبهشت!$N$2:$N$600,$C$27,[1]اردیبهشت!$D$2:$D$600,$F$26,[1]اردیبهشت!$AA$2:$AA$600,U3)</f>
        <v>0</v>
      </c>
    </row>
    <row r="27" spans="1:21" ht="36" customHeight="1" x14ac:dyDescent="0.25">
      <c r="A27" s="214">
        <v>13</v>
      </c>
      <c r="B27" s="146" t="s">
        <v>25</v>
      </c>
      <c r="C27" s="95">
        <v>7502</v>
      </c>
      <c r="D27" s="227">
        <v>62.5</v>
      </c>
      <c r="E27" s="936"/>
      <c r="F27" s="22" t="s">
        <v>36</v>
      </c>
      <c r="G27" s="3">
        <f t="shared" si="0"/>
        <v>0</v>
      </c>
      <c r="H27" s="47">
        <f t="shared" si="1"/>
        <v>0</v>
      </c>
      <c r="I27" s="3">
        <v>0</v>
      </c>
      <c r="J27" s="3">
        <v>0</v>
      </c>
      <c r="K27" s="3">
        <v>0</v>
      </c>
      <c r="L27" s="3">
        <v>0</v>
      </c>
      <c r="M27" s="4">
        <f>SUM(G26:L28)-D27</f>
        <v>-62.5</v>
      </c>
      <c r="N27" s="929"/>
      <c r="O27" s="293">
        <f>SUMIFS([1]اردیبهشت!$AD$2:$AD$600,[1]اردیبهشت!$N$2:$N$600,$C$27,[1]اردیبهشت!$D$2:$D$600,$F$27,[1]اردیبهشت!$AA$2:$AA$600,O3)</f>
        <v>0</v>
      </c>
      <c r="P27" s="166">
        <f>SUMIFS([1]اردیبهشت!$AD$2:$AD$600,[1]اردیبهشت!$N$2:$N$600,$C$27,[1]اردیبهشت!$D$2:$D$600,$F$27,[1]اردیبهشت!$AA$2:$AA$600,P3)</f>
        <v>0</v>
      </c>
      <c r="Q27" s="166">
        <f>SUMIFS([1]اردیبهشت!$AD$2:$AD$600,[1]اردیبهشت!$N$2:$N$600,$C$27,[1]اردیبهشت!$D$2:$D$600,$F$27,[1]اردیبهشت!$AA$2:$AA$600,Q3)</f>
        <v>0</v>
      </c>
      <c r="R27" s="166">
        <f>SUMIFS([1]اردیبهشت!$AD$2:$AD$600,[1]اردیبهشت!$N$2:$N$600,$C$27,[1]اردیبهشت!$D$2:$D$600,$F$27,[1]اردیبهشت!$AA$2:$AA$600,R3)</f>
        <v>0</v>
      </c>
      <c r="S27" s="166">
        <f>SUMIFS([1]اردیبهشت!$AD$2:$AD$600,[1]اردیبهشت!$N$2:$N$600,$C$27,[1]اردیبهشت!$D$2:$D$600,$F$27,[1]اردیبهشت!$AA$2:$AA$600,S3)</f>
        <v>0</v>
      </c>
      <c r="T27" s="166">
        <f>SUMIFS([1]اردیبهشت!$AD$2:$AD$600,[1]اردیبهشت!$N$2:$N$600,$C$27,[1]اردیبهشت!$D$2:$D$600,$F$27,[1]اردیبهشت!$AA$2:$AA$600,T3)</f>
        <v>0</v>
      </c>
      <c r="U27" s="160">
        <f>SUMIFS([1]اردیبهشت!$AD$2:$AD$600,[1]اردیبهشت!$N$2:$N$600,$C$27,[1]اردیبهشت!$D$2:$D$600,$F$27,[1]اردیبهشت!$AA$2:$AA$600,U3)</f>
        <v>0</v>
      </c>
    </row>
    <row r="28" spans="1:21" ht="36" customHeight="1" thickBot="1" x14ac:dyDescent="0.3">
      <c r="A28" s="230"/>
      <c r="B28" s="217"/>
      <c r="C28" s="222"/>
      <c r="D28" s="222"/>
      <c r="E28" s="937"/>
      <c r="F28" s="5"/>
      <c r="G28" s="6">
        <f t="shared" si="0"/>
        <v>0</v>
      </c>
      <c r="H28" s="64">
        <f t="shared" si="1"/>
        <v>0</v>
      </c>
      <c r="I28" s="7">
        <v>0</v>
      </c>
      <c r="J28" s="7">
        <v>0</v>
      </c>
      <c r="K28" s="6">
        <v>0</v>
      </c>
      <c r="L28" s="6">
        <v>0</v>
      </c>
      <c r="M28" s="6"/>
      <c r="N28" s="930"/>
      <c r="O28" s="294">
        <f>SUMIFS([1]اردیبهشت!$AD$2:$AD$600,[1]اردیبهشت!$N$2:$N$600,$C$27,[1]اردیبهشت!$D$2:$D$600,$F$28,[1]اردیبهشت!$AA$2:$AA$600,O3)</f>
        <v>0</v>
      </c>
      <c r="P28" s="171">
        <f>SUMIFS([1]اردیبهشت!$AD$2:$AD$600,[1]اردیبهشت!$N$2:$N$600,$C$27,[1]اردیبهشت!$D$2:$D$600,$F$28,[1]اردیبهشت!$AA$2:$AA$600,P3)</f>
        <v>0</v>
      </c>
      <c r="Q28" s="171">
        <f>SUMIFS([1]اردیبهشت!$AD$2:$AD$600,[1]اردیبهشت!$N$2:$N$600,$C$27,[1]اردیبهشت!$D$2:$D$600,$F$28,[1]اردیبهشت!$AA$2:$AA$600,Q3)</f>
        <v>0</v>
      </c>
      <c r="R28" s="171">
        <f>SUMIFS([1]اردیبهشت!$AD$2:$AD$600,[1]اردیبهشت!$N$2:$N$600,$C$27,[1]اردیبهشت!$D$2:$D$600,$F$28,[1]اردیبهشت!$AA$2:$AA$600,R3)</f>
        <v>0</v>
      </c>
      <c r="S28" s="171">
        <f>SUMIFS([1]اردیبهشت!$AD$2:$AD$600,[1]اردیبهشت!$N$2:$N$600,$C$27,[1]اردیبهشت!$D$2:$D$600,$F$28,[1]اردیبهشت!$AA$2:$AA$600,S3)</f>
        <v>0</v>
      </c>
      <c r="T28" s="171">
        <f>SUMIFS([1]اردیبهشت!$AD$2:$AD$600,[1]اردیبهشت!$N$2:$N$600,$C$27,[1]اردیبهشت!$D$2:$D$600,$F$28,[1]اردیبهشت!$AA$2:$AA$600,T3)</f>
        <v>0</v>
      </c>
      <c r="U28" s="164">
        <f>SUMIFS([1]اردیبهشت!$AD$2:$AD$600,[1]اردیبهشت!$N$2:$N$600,$C$27,[1]اردیبهشت!$D$2:$D$600,$F$28,[1]اردیبهشت!$AA$2:$AA$600,U3)</f>
        <v>0</v>
      </c>
    </row>
    <row r="29" spans="1:21" ht="42" customHeight="1" x14ac:dyDescent="0.25">
      <c r="A29" s="939">
        <v>14</v>
      </c>
      <c r="B29" s="83" t="s">
        <v>26</v>
      </c>
      <c r="C29" s="241">
        <v>7601</v>
      </c>
      <c r="D29" s="241">
        <v>68</v>
      </c>
      <c r="E29" s="914" t="s">
        <v>15</v>
      </c>
      <c r="F29" s="84" t="s">
        <v>27</v>
      </c>
      <c r="G29" s="85">
        <f t="shared" si="0"/>
        <v>0</v>
      </c>
      <c r="H29" s="86">
        <f t="shared" si="1"/>
        <v>0</v>
      </c>
      <c r="I29" s="85">
        <v>16</v>
      </c>
      <c r="J29" s="85">
        <v>0</v>
      </c>
      <c r="K29" s="85">
        <v>0</v>
      </c>
      <c r="L29" s="85">
        <v>0</v>
      </c>
      <c r="M29" s="87">
        <f>(J29+J30+I30+I29+H29+H30+G30+G29+L29+K29)-D29</f>
        <v>-52</v>
      </c>
      <c r="N29" s="941" t="s">
        <v>29</v>
      </c>
      <c r="O29" s="298">
        <f>SUMIFS([1]اردیبهشت!$AD$2:$AD$600,[1]اردیبهشت!$N$2:$N$600,$C$29,[1]اردیبهشت!$D$2:$D$600,$F$29,[1]اردیبهشت!$AA$2:$AA$600,O3)</f>
        <v>0</v>
      </c>
      <c r="P29" s="187">
        <f>SUMIFS([1]اردیبهشت!$AD$2:$AD$600,[1]اردیبهشت!$N$2:$N$600,$C$29,[1]اردیبهشت!$D$2:$D$600,$F$29,[1]اردیبهشت!$AA$2:$AA$600,P3)</f>
        <v>0</v>
      </c>
      <c r="Q29" s="187">
        <f>SUMIFS([1]اردیبهشت!$AD$2:$AD$600,[1]اردیبهشت!$N$2:$N$600,$C$29,[1]اردیبهشت!$D$2:$D$600,$F$29,[1]اردیبهشت!$AA$2:$AA$600,Q3)</f>
        <v>0</v>
      </c>
      <c r="R29" s="187">
        <f>SUMIFS([1]اردیبهشت!$AD$2:$AD$600,[1]اردیبهشت!$N$2:$N$600,$C$29,[1]اردیبهشت!$D$2:$D$600,$F$29,[1]اردیبهشت!$AA$2:$AA$600,R3)</f>
        <v>0</v>
      </c>
      <c r="S29" s="187">
        <f>SUMIFS([1]اردیبهشت!$AD$2:$AD$600,[1]اردیبهشت!$N$2:$N$600,$C$29,[1]اردیبهشت!$D$2:$D$600,$F$29,[1]اردیبهشت!$AA$2:$AA$600,S3)</f>
        <v>0</v>
      </c>
      <c r="T29" s="187">
        <f>SUMIFS([1]اردیبهشت!$AD$2:$AD$600,[1]اردیبهشت!$N$2:$N$600,$C$29,[1]اردیبهشت!$D$2:$D$600,$F$29,[1]اردیبهشت!$AA$2:$AA$600,T3)</f>
        <v>0</v>
      </c>
      <c r="U29" s="163">
        <f>SUMIFS([1]اردیبهشت!$AD$2:$AD$600,[1]اردیبهشت!$N$2:$N$600,$C$29,[1]اردیبهشت!$D$2:$D$600,$F$29,[1]اردیبهشت!$AA$2:$AA$600,U3)</f>
        <v>0</v>
      </c>
    </row>
    <row r="30" spans="1:21" ht="42" customHeight="1" thickBot="1" x14ac:dyDescent="0.3">
      <c r="A30" s="940"/>
      <c r="B30" s="123"/>
      <c r="C30" s="243"/>
      <c r="D30" s="243"/>
      <c r="E30" s="915"/>
      <c r="F30" s="124"/>
      <c r="G30" s="93">
        <f t="shared" si="0"/>
        <v>0</v>
      </c>
      <c r="H30" s="92">
        <f t="shared" si="1"/>
        <v>0</v>
      </c>
      <c r="I30" s="125">
        <v>0</v>
      </c>
      <c r="J30" s="125">
        <v>0</v>
      </c>
      <c r="K30" s="126">
        <v>0</v>
      </c>
      <c r="L30" s="126">
        <v>0</v>
      </c>
      <c r="M30" s="127"/>
      <c r="N30" s="917"/>
      <c r="O30" s="299">
        <f>SUMIFS([1]اردیبهشت!$AD$2:$AD$600,[1]اردیبهشت!$N$2:$N$600,$C$29,[1]اردیبهشت!$D$2:$D$600,$F$30,[1]اردیبهشت!$AA$2:$AA$600,O3)</f>
        <v>0</v>
      </c>
      <c r="P30" s="274">
        <f>SUMIFS([1]اردیبهشت!$AD$2:$AD$600,[1]اردیبهشت!$N$2:$N$600,$C$29,[1]اردیبهشت!$D$2:$D$600,$F$30,[1]اردیبهشت!$AA$2:$AA$600,P3)</f>
        <v>0</v>
      </c>
      <c r="Q30" s="274">
        <f>SUMIFS([1]اردیبهشت!$AD$2:$AD$600,[1]اردیبهشت!$N$2:$N$600,$C$29,[1]اردیبهشت!$D$2:$D$600,$F$30,[1]اردیبهشت!$AA$2:$AA$600,Q3)</f>
        <v>0</v>
      </c>
      <c r="R30" s="274">
        <f>SUMIFS([1]اردیبهشت!$AD$2:$AD$600,[1]اردیبهشت!$N$2:$N$600,$C$29,[1]اردیبهشت!$D$2:$D$600,$F$30,[1]اردیبهشت!$AA$2:$AA$600,R3)</f>
        <v>0</v>
      </c>
      <c r="S30" s="274">
        <f>SUMIFS([1]اردیبهشت!$AD$2:$AD$600,[1]اردیبهشت!$N$2:$N$600,$C$29,[1]اردیبهشت!$D$2:$D$600,$F$30,[1]اردیبهشت!$AA$2:$AA$600,S3)</f>
        <v>0</v>
      </c>
      <c r="T30" s="274">
        <f>SUMIFS([1]اردیبهشت!$AD$2:$AD$600,[1]اردیبهشت!$N$2:$N$600,$C$29,[1]اردیبهشت!$D$2:$D$600,$F$30,[1]اردیبهشت!$AA$2:$AA$600,T3)</f>
        <v>0</v>
      </c>
      <c r="U30" s="290">
        <f>SUMIFS([1]اردیبهشت!$AD$2:$AD$600,[1]اردیبهشت!$N$2:$N$600,$C$29,[1]اردیبهشت!$D$2:$D$600,$F$30,[1]اردیبهشت!$AA$2:$AA$600,U3)</f>
        <v>0</v>
      </c>
    </row>
    <row r="31" spans="1:21" ht="42" customHeight="1" x14ac:dyDescent="0.25">
      <c r="A31" s="912">
        <v>15</v>
      </c>
      <c r="B31" s="83" t="s">
        <v>26</v>
      </c>
      <c r="C31" s="241">
        <v>7602</v>
      </c>
      <c r="D31" s="241">
        <v>68</v>
      </c>
      <c r="E31" s="914" t="s">
        <v>15</v>
      </c>
      <c r="F31" s="84" t="s">
        <v>27</v>
      </c>
      <c r="G31" s="9">
        <f t="shared" si="0"/>
        <v>0</v>
      </c>
      <c r="H31" s="46">
        <f t="shared" si="1"/>
        <v>0</v>
      </c>
      <c r="I31" s="85">
        <v>16</v>
      </c>
      <c r="J31" s="85">
        <v>0</v>
      </c>
      <c r="K31" s="85">
        <v>0</v>
      </c>
      <c r="L31" s="85">
        <v>0</v>
      </c>
      <c r="M31" s="87">
        <f>(J31+J32+I32+I31+H31+H32+G32+G31)-D31</f>
        <v>-52</v>
      </c>
      <c r="N31" s="916" t="s">
        <v>29</v>
      </c>
      <c r="O31" s="292">
        <f>SUMIFS([1]اردیبهشت!$AD$2:$AD$600,[1]اردیبهشت!$N$2:$N$600,$C$31,[1]اردیبهشت!$D$2:$D$600,$F$31,[1]اردیبهشت!$AA$2:$AA$600,O3)</f>
        <v>0</v>
      </c>
      <c r="P31" s="165">
        <f>SUMIFS([1]اردیبهشت!$AD$2:$AD$600,[1]اردیبهشت!$N$2:$N$600,$C$31,[1]اردیبهشت!$D$2:$D$600,$F$31,[1]اردیبهشت!$AA$2:$AA$600,P3)</f>
        <v>0</v>
      </c>
      <c r="Q31" s="165">
        <f>SUMIFS([1]اردیبهشت!$AD$2:$AD$600,[1]اردیبهشت!$N$2:$N$600,$C$31,[1]اردیبهشت!$D$2:$D$600,$F$31,[1]اردیبهشت!$AA$2:$AA$600,Q3)</f>
        <v>0</v>
      </c>
      <c r="R31" s="165">
        <f>SUMIFS([1]اردیبهشت!$AD$2:$AD$600,[1]اردیبهشت!$N$2:$N$600,$C$31,[1]اردیبهشت!$D$2:$D$600,$F$31,[1]اردیبهشت!$AA$2:$AA$600,R3)</f>
        <v>0</v>
      </c>
      <c r="S31" s="165">
        <f>SUMIFS([1]اردیبهشت!$AD$2:$AD$600,[1]اردیبهشت!$N$2:$N$600,$C$31,[1]اردیبهشت!$D$2:$D$600,$F$31,[1]اردیبهشت!$AA$2:$AA$600,S3)</f>
        <v>0</v>
      </c>
      <c r="T31" s="165">
        <f>SUMIFS([1]اردیبهشت!$AD$2:$AD$600,[1]اردیبهشت!$N$2:$N$600,$C$31,[1]اردیبهشت!$D$2:$D$600,$F$31,[1]اردیبهشت!$AA$2:$AA$600,T3)</f>
        <v>0</v>
      </c>
      <c r="U31" s="159">
        <f>SUMIFS([1]اردیبهشت!$AD$2:$AD$600,[1]اردیبهشت!$N$2:$N$600,$C$31,[1]اردیبهشت!$D$2:$D$600,$F$31,[1]اردیبهشت!$AA$2:$AA$600,U3)</f>
        <v>0</v>
      </c>
    </row>
    <row r="32" spans="1:21" ht="42" customHeight="1" thickBot="1" x14ac:dyDescent="0.3">
      <c r="A32" s="913"/>
      <c r="B32" s="123"/>
      <c r="C32" s="243"/>
      <c r="D32" s="243"/>
      <c r="E32" s="915"/>
      <c r="F32" s="124"/>
      <c r="G32" s="6">
        <f t="shared" si="0"/>
        <v>0</v>
      </c>
      <c r="H32" s="64">
        <f t="shared" si="1"/>
        <v>0</v>
      </c>
      <c r="I32" s="125">
        <v>0</v>
      </c>
      <c r="J32" s="125">
        <v>0</v>
      </c>
      <c r="K32" s="126">
        <v>0</v>
      </c>
      <c r="L32" s="126">
        <v>0</v>
      </c>
      <c r="M32" s="127"/>
      <c r="N32" s="917"/>
      <c r="O32" s="294">
        <f>SUMIFS([1]اردیبهشت!$AD$2:$AD$600,[1]اردیبهشت!$N$2:$N$600,$C$31,[1]اردیبهشت!$D$2:$D$600,$F$32,[1]اردیبهشت!$AA$2:$AA$600,O3)</f>
        <v>0</v>
      </c>
      <c r="P32" s="171">
        <f>SUMIFS([1]اردیبهشت!$AD$2:$AD$600,[1]اردیبهشت!$N$2:$N$600,$C$31,[1]اردیبهشت!$D$2:$D$600,$F$32,[1]اردیبهشت!$AA$2:$AA$600,P3)</f>
        <v>0</v>
      </c>
      <c r="Q32" s="171">
        <f>SUMIFS([1]اردیبهشت!$AD$2:$AD$600,[1]اردیبهشت!$N$2:$N$600,$C$31,[1]اردیبهشت!$D$2:$D$600,$F$32,[1]اردیبهشت!$AA$2:$AA$600,Q3)</f>
        <v>0</v>
      </c>
      <c r="R32" s="171">
        <f>SUMIFS([1]اردیبهشت!$AD$2:$AD$600,[1]اردیبهشت!$N$2:$N$600,$C$31,[1]اردیبهشت!$D$2:$D$600,$F$32,[1]اردیبهشت!$AA$2:$AA$600,R3)</f>
        <v>0</v>
      </c>
      <c r="S32" s="171">
        <f>SUMIFS([1]اردیبهشت!$AD$2:$AD$600,[1]اردیبهشت!$N$2:$N$600,$C$31,[1]اردیبهشت!$D$2:$D$600,$F$32,[1]اردیبهشت!$AA$2:$AA$600,S3)</f>
        <v>0</v>
      </c>
      <c r="T32" s="171">
        <f>SUMIFS([1]اردیبهشت!$AD$2:$AD$600,[1]اردیبهشت!$N$2:$N$600,$C$31,[1]اردیبهشت!$D$2:$D$600,$F$32,[1]اردیبهشت!$AA$2:$AA$600,T3)</f>
        <v>0</v>
      </c>
      <c r="U32" s="164">
        <f>SUMIFS([1]اردیبهشت!$AD$2:$AD$600,[1]اردیبهشت!$N$2:$N$600,$C$31,[1]اردیبهشت!$D$2:$D$600,$F$32,[1]اردیبهشت!$AA$2:$AA$600,U3)</f>
        <v>0</v>
      </c>
    </row>
    <row r="33" spans="1:21" ht="36" customHeight="1" x14ac:dyDescent="0.25">
      <c r="A33" s="912">
        <v>16</v>
      </c>
      <c r="B33" s="231" t="s">
        <v>26</v>
      </c>
      <c r="C33" s="221">
        <v>7603</v>
      </c>
      <c r="D33" s="221">
        <v>68</v>
      </c>
      <c r="E33" s="943" t="s">
        <v>15</v>
      </c>
      <c r="F33" s="84" t="s">
        <v>27</v>
      </c>
      <c r="G33" s="9">
        <f t="shared" si="0"/>
        <v>0</v>
      </c>
      <c r="H33" s="46">
        <f t="shared" si="1"/>
        <v>0</v>
      </c>
      <c r="I33" s="9">
        <v>0</v>
      </c>
      <c r="J33" s="9">
        <v>0</v>
      </c>
      <c r="K33" s="9">
        <v>0</v>
      </c>
      <c r="L33" s="9">
        <v>0</v>
      </c>
      <c r="M33" s="23">
        <f>(J33+J34+I34+I33+H33+H34+G34+G33+L33+L34)-D33</f>
        <v>-68</v>
      </c>
      <c r="N33" s="945" t="s">
        <v>29</v>
      </c>
      <c r="O33" s="292">
        <f>SUMIFS([1]اردیبهشت!$AD$2:$AD$600,[1]اردیبهشت!$N$2:$N$600,$C$33,[1]اردیبهشت!$D$2:$D$600,$F$33,[1]اردیبهشت!$AA$2:$AA$600,O3)</f>
        <v>0</v>
      </c>
      <c r="P33" s="165">
        <f>SUMIFS([1]اردیبهشت!$AD$2:$AD$600,[1]اردیبهشت!$N$2:$N$600,$C$33,[1]اردیبهشت!$D$2:$D$600,$F$33,[1]اردیبهشت!$AA$2:$AA$600,P3)</f>
        <v>0</v>
      </c>
      <c r="Q33" s="165">
        <f>SUMIFS([1]اردیبهشت!$AD$2:$AD$600,[1]اردیبهشت!$N$2:$N$600,$C$33,[1]اردیبهشت!$D$2:$D$600,$F$33,[1]اردیبهشت!$AA$2:$AA$600,Q3)</f>
        <v>0</v>
      </c>
      <c r="R33" s="165">
        <f>SUMIFS([1]اردیبهشت!$AD$2:$AD$600,[1]اردیبهشت!$N$2:$N$600,$C$33,[1]اردیبهشت!$D$2:$D$600,$F$33,[1]اردیبهشت!$AA$2:$AA$600,R3)</f>
        <v>0</v>
      </c>
      <c r="S33" s="165">
        <f>SUMIFS([1]اردیبهشت!$AD$2:$AD$600,[1]اردیبهشت!$N$2:$N$600,$C$33,[1]اردیبهشت!$D$2:$D$600,$F$33,[1]اردیبهشت!$AA$2:$AA$600,S3)</f>
        <v>0</v>
      </c>
      <c r="T33" s="165">
        <f>SUMIFS([1]اردیبهشت!$AD$2:$AD$600,[1]اردیبهشت!$N$2:$N$600,$C$33,[1]اردیبهشت!$D$2:$D$600,$F$33,[1]اردیبهشت!$AA$2:$AA$600,T3)</f>
        <v>0</v>
      </c>
      <c r="U33" s="159">
        <f>SUMIFS([1]اردیبهشت!$AD$2:$AD$600,[1]اردیبهشت!$N$2:$N$600,$C$33,[1]اردیبهشت!$D$2:$D$600,$F$33,[1]اردیبهشت!$AA$2:$AA$600,U3)</f>
        <v>0</v>
      </c>
    </row>
    <row r="34" spans="1:21" ht="36" customHeight="1" thickBot="1" x14ac:dyDescent="0.3">
      <c r="A34" s="942"/>
      <c r="B34" s="232"/>
      <c r="C34" s="222"/>
      <c r="D34" s="222"/>
      <c r="E34" s="944"/>
      <c r="F34" s="5"/>
      <c r="G34" s="1">
        <f t="shared" si="0"/>
        <v>0</v>
      </c>
      <c r="H34" s="49">
        <f t="shared" si="1"/>
        <v>0</v>
      </c>
      <c r="I34" s="7">
        <v>0</v>
      </c>
      <c r="J34" s="7">
        <v>0</v>
      </c>
      <c r="K34" s="6">
        <v>0</v>
      </c>
      <c r="L34" s="6">
        <v>0</v>
      </c>
      <c r="M34" s="8"/>
      <c r="N34" s="946"/>
      <c r="O34" s="294">
        <f>SUMIFS([1]اردیبهشت!$AD$2:$AD$600,[1]اردیبهشت!$N$2:$N$600,$C$33,[1]اردیبهشت!$D$2:$D$600,$F$34,[1]اردیبهشت!$AA$2:$AA$600,O3)</f>
        <v>0</v>
      </c>
      <c r="P34" s="171">
        <f>SUMIFS([1]اردیبهشت!$AD$2:$AD$600,[1]اردیبهشت!$N$2:$N$600,$C$33,[1]اردیبهشت!$D$2:$D$600,$F$34,[1]اردیبهشت!$AA$2:$AA$600,P3)</f>
        <v>0</v>
      </c>
      <c r="Q34" s="171">
        <f>SUMIFS([1]اردیبهشت!$AD$2:$AD$600,[1]اردیبهشت!$N$2:$N$600,$C$33,[1]اردیبهشت!$D$2:$D$600,$F$34,[1]اردیبهشت!$AA$2:$AA$600,Q3)</f>
        <v>0</v>
      </c>
      <c r="R34" s="171">
        <f>SUMIFS([1]اردیبهشت!$AD$2:$AD$600,[1]اردیبهشت!$N$2:$N$600,$C$33,[1]اردیبهشت!$D$2:$D$600,$F$34,[1]اردیبهشت!$AA$2:$AA$600,R3)</f>
        <v>0</v>
      </c>
      <c r="S34" s="171">
        <f>SUMIFS([1]اردیبهشت!$AD$2:$AD$600,[1]اردیبهشت!$N$2:$N$600,$C$33,[1]اردیبهشت!$D$2:$D$600,$F$34,[1]اردیبهشت!$AA$2:$AA$600,S3)</f>
        <v>0</v>
      </c>
      <c r="T34" s="171">
        <f>SUMIFS([1]اردیبهشت!$AD$2:$AD$600,[1]اردیبهشت!$N$2:$N$600,$C$33,[1]اردیبهشت!$D$2:$D$600,$F$34,[1]اردیبهشت!$AA$2:$AA$600,T3)</f>
        <v>0</v>
      </c>
      <c r="U34" s="164">
        <f>SUMIFS([1]اردیبهشت!$AD$2:$AD$600,[1]اردیبهشت!$N$2:$N$600,$C$33,[1]اردیبهشت!$D$2:$D$600,$F$34,[1]اردیبهشت!$AA$2:$AA$600,U3)</f>
        <v>0</v>
      </c>
    </row>
    <row r="35" spans="1:21" ht="36" customHeight="1" x14ac:dyDescent="0.25">
      <c r="A35" s="912">
        <v>17</v>
      </c>
      <c r="B35" s="81" t="s">
        <v>26</v>
      </c>
      <c r="C35" s="90">
        <v>7604</v>
      </c>
      <c r="D35" s="240">
        <v>68</v>
      </c>
      <c r="E35" s="947" t="s">
        <v>19</v>
      </c>
      <c r="F35" s="79"/>
      <c r="G35" s="9" t="s">
        <v>83</v>
      </c>
      <c r="H35" s="46">
        <f t="shared" si="1"/>
        <v>0</v>
      </c>
      <c r="I35" s="80">
        <v>0</v>
      </c>
      <c r="J35" s="80">
        <v>68</v>
      </c>
      <c r="K35" s="80">
        <v>0</v>
      </c>
      <c r="L35" s="80">
        <v>0</v>
      </c>
      <c r="M35" s="60"/>
      <c r="N35" s="949" t="s">
        <v>28</v>
      </c>
      <c r="O35" s="300"/>
      <c r="P35" s="193"/>
      <c r="Q35" s="193"/>
      <c r="R35" s="193"/>
      <c r="S35" s="193"/>
      <c r="T35" s="193"/>
      <c r="U35" s="155"/>
    </row>
    <row r="36" spans="1:21" ht="36" customHeight="1" thickBot="1" x14ac:dyDescent="0.3">
      <c r="A36" s="913"/>
      <c r="B36" s="213"/>
      <c r="C36" s="225"/>
      <c r="D36" s="226"/>
      <c r="E36" s="948"/>
      <c r="F36" s="24"/>
      <c r="G36" s="1">
        <f t="shared" si="0"/>
        <v>0</v>
      </c>
      <c r="H36" s="49">
        <f t="shared" si="1"/>
        <v>0</v>
      </c>
      <c r="I36" s="25">
        <v>0</v>
      </c>
      <c r="J36" s="25">
        <v>0</v>
      </c>
      <c r="K36" s="4">
        <v>0</v>
      </c>
      <c r="L36" s="4">
        <v>0</v>
      </c>
      <c r="M36" s="60"/>
      <c r="N36" s="950"/>
      <c r="O36" s="301"/>
      <c r="P36" s="282"/>
      <c r="Q36" s="282"/>
      <c r="R36" s="282"/>
      <c r="S36" s="282"/>
      <c r="T36" s="282"/>
      <c r="U36" s="157"/>
    </row>
    <row r="37" spans="1:21" ht="36" customHeight="1" x14ac:dyDescent="0.25">
      <c r="A37" s="954">
        <v>18</v>
      </c>
      <c r="B37" s="83" t="s">
        <v>26</v>
      </c>
      <c r="C37" s="241">
        <v>7605</v>
      </c>
      <c r="D37" s="241">
        <v>68</v>
      </c>
      <c r="E37" s="914" t="s">
        <v>15</v>
      </c>
      <c r="F37" s="84" t="s">
        <v>27</v>
      </c>
      <c r="G37" s="85">
        <f t="shared" si="0"/>
        <v>0</v>
      </c>
      <c r="H37" s="86">
        <f t="shared" si="1"/>
        <v>0</v>
      </c>
      <c r="I37" s="85">
        <v>16</v>
      </c>
      <c r="J37" s="85">
        <v>68</v>
      </c>
      <c r="K37" s="85">
        <v>0</v>
      </c>
      <c r="L37" s="153">
        <v>0</v>
      </c>
      <c r="M37" s="87">
        <f>(G37+H37+I37+J37+K37+L37)-D37</f>
        <v>16</v>
      </c>
      <c r="N37" s="955" t="s">
        <v>28</v>
      </c>
      <c r="O37" s="298">
        <f>SUMIFS([1]اردیبهشت!$AD$2:$AD$600,[1]اردیبهشت!$N$2:$N$600,$C$37,[1]اردیبهشت!$D$2:$D$600,$F$37,[1]اردیبهشت!$AA$2:$AA$600,O3)</f>
        <v>0</v>
      </c>
      <c r="P37" s="187">
        <f>SUMIFS([1]اردیبهشت!$AD$2:$AD$600,[1]اردیبهشت!$N$2:$N$600,$C$37,[1]اردیبهشت!$D$2:$D$600,$F$37,[1]اردیبهشت!$AA$2:$AA$600,P3)</f>
        <v>0</v>
      </c>
      <c r="Q37" s="187">
        <f>SUMIFS([1]اردیبهشت!$AD$2:$AD$600,[1]اردیبهشت!$N$2:$N$600,$C$37,[1]اردیبهشت!$D$2:$D$600,$F$37,[1]اردیبهشت!$AA$2:$AA$600,Q3)</f>
        <v>0</v>
      </c>
      <c r="R37" s="187">
        <f>SUMIFS([1]اردیبهشت!$AD$2:$AD$600,[1]اردیبهشت!$N$2:$N$600,$C$37,[1]اردیبهشت!$D$2:$D$600,$F$37,[1]اردیبهشت!$AA$2:$AA$600,R3)</f>
        <v>0</v>
      </c>
      <c r="S37" s="187">
        <f>SUMIFS([1]اردیبهشت!$AD$2:$AD$600,[1]اردیبهشت!$N$2:$N$600,$C$37,[1]اردیبهشت!$D$2:$D$600,$F$37,[1]اردیبهشت!$AA$2:$AA$600,S3)</f>
        <v>0</v>
      </c>
      <c r="T37" s="187">
        <f>SUMIFS([1]اردیبهشت!$AD$2:$AD$600,[1]اردیبهشت!$N$2:$N$600,$C$37,[1]اردیبهشت!$D$2:$D$600,$F$37,[1]اردیبهشت!$AA$2:$AA$600,T3)</f>
        <v>0</v>
      </c>
      <c r="U37" s="163">
        <f>SUMIFS([1]اردیبهشت!$AD$2:$AD$600,[1]اردیبهشت!$N$2:$N$600,$C$37,[1]اردیبهشت!$D$2:$D$600,$F$37,[1]اردیبهشت!$AA$2:$AA$600,U3)</f>
        <v>0</v>
      </c>
    </row>
    <row r="38" spans="1:21" ht="36" customHeight="1" thickBot="1" x14ac:dyDescent="0.3">
      <c r="A38" s="942"/>
      <c r="B38" s="123"/>
      <c r="C38" s="243"/>
      <c r="D38" s="243"/>
      <c r="E38" s="915"/>
      <c r="F38" s="124"/>
      <c r="G38" s="93">
        <f t="shared" si="0"/>
        <v>0</v>
      </c>
      <c r="H38" s="92">
        <f t="shared" si="1"/>
        <v>0</v>
      </c>
      <c r="I38" s="125">
        <v>0</v>
      </c>
      <c r="J38" s="125">
        <v>0</v>
      </c>
      <c r="K38" s="126">
        <v>0</v>
      </c>
      <c r="L38" s="126">
        <v>0</v>
      </c>
      <c r="M38" s="154"/>
      <c r="N38" s="917"/>
      <c r="O38" s="299">
        <f>SUMIFS([1]اردیبهشت!$AD$2:$AD$600,[1]اردیبهشت!$N$2:$N$600,$C$37,[1]اردیبهشت!$D$2:$D$600,$F$38,[1]اردیبهشت!$AA$2:$AA$600,O3)</f>
        <v>0</v>
      </c>
      <c r="P38" s="274">
        <f>SUMIFS([1]اردیبهشت!$AD$2:$AD$600,[1]اردیبهشت!$N$2:$N$600,$C$37,[1]اردیبهشت!$D$2:$D$600,$F$38,[1]اردیبهشت!$AA$2:$AA$600,P3)</f>
        <v>0</v>
      </c>
      <c r="Q38" s="274">
        <f>SUMIFS([1]اردیبهشت!$AD$2:$AD$600,[1]اردیبهشت!$N$2:$N$600,$C$37,[1]اردیبهشت!$D$2:$D$600,$F$38,[1]اردیبهشت!$AA$2:$AA$600,Q3)</f>
        <v>0</v>
      </c>
      <c r="R38" s="274">
        <f>SUMIFS([1]اردیبهشت!$AD$2:$AD$600,[1]اردیبهشت!$N$2:$N$600,$C$37,[1]اردیبهشت!$D$2:$D$600,$F$38,[1]اردیبهشت!$AA$2:$AA$600,R3)</f>
        <v>0</v>
      </c>
      <c r="S38" s="274">
        <f>SUMIFS([1]اردیبهشت!$AD$2:$AD$600,[1]اردیبهشت!$N$2:$N$600,$C$37,[1]اردیبهشت!$D$2:$D$600,$F$38,[1]اردیبهشت!$AA$2:$AA$600,S3)</f>
        <v>0</v>
      </c>
      <c r="T38" s="274">
        <f>SUMIFS([1]اردیبهشت!$AD$2:$AD$600,[1]اردیبهشت!$N$2:$N$600,$C$37,[1]اردیبهشت!$D$2:$D$600,$F$38,[1]اردیبهشت!$AA$2:$AA$600,T3)</f>
        <v>0</v>
      </c>
      <c r="U38" s="290">
        <f>SUMIFS([1]اردیبهشت!$AD$2:$AD$600,[1]اردیبهشت!$N$2:$N$600,$C$37,[1]اردیبهشت!$D$2:$D$600,$F$38,[1]اردیبهشت!$AA$2:$AA$600,U3)</f>
        <v>0</v>
      </c>
    </row>
    <row r="39" spans="1:21" ht="36" customHeight="1" x14ac:dyDescent="0.25">
      <c r="A39" s="229"/>
      <c r="B39" s="215"/>
      <c r="C39" s="221"/>
      <c r="D39" s="221"/>
      <c r="E39" s="932" t="s">
        <v>15</v>
      </c>
      <c r="F39" s="20"/>
      <c r="G39" s="9">
        <f t="shared" si="0"/>
        <v>0</v>
      </c>
      <c r="H39" s="46">
        <f t="shared" si="1"/>
        <v>0</v>
      </c>
      <c r="I39" s="9">
        <v>0</v>
      </c>
      <c r="J39" s="9">
        <v>0</v>
      </c>
      <c r="K39" s="9">
        <v>0</v>
      </c>
      <c r="L39" s="9">
        <v>0</v>
      </c>
      <c r="M39" s="28"/>
      <c r="N39" s="945" t="s">
        <v>13</v>
      </c>
      <c r="O39" s="292">
        <f>SUMIFS([1]اردیبهشت!$AD$2:$AD$600,[1]اردیبهشت!$N$2:$N$600,$C$40,[1]اردیبهشت!$D$2:$D$600,$F$39,[1]اردیبهشت!$AA$2:$AA$600,O3)</f>
        <v>0</v>
      </c>
      <c r="P39" s="165">
        <f>SUMIFS([1]اردیبهشت!$AD$2:$AD$600,[1]اردیبهشت!$N$2:$N$600,$C$40,[1]اردیبهشت!$D$2:$D$600,$F$39,[1]اردیبهشت!$AA$2:$AA$600,P3)</f>
        <v>0</v>
      </c>
      <c r="Q39" s="165">
        <f>SUMIFS([1]اردیبهشت!$AD$2:$AD$600,[1]اردیبهشت!$N$2:$N$600,$C$40,[1]اردیبهشت!$D$2:$D$600,$F$39,[1]اردیبهشت!$AA$2:$AA$600,Q3)</f>
        <v>0</v>
      </c>
      <c r="R39" s="165">
        <f>SUMIFS([1]اردیبهشت!$AD$2:$AD$600,[1]اردیبهشت!$N$2:$N$600,$C$40,[1]اردیبهشت!$D$2:$D$600,$F$39,[1]اردیبهشت!$AA$2:$AA$600,R3)</f>
        <v>0</v>
      </c>
      <c r="S39" s="165">
        <f>SUMIFS([1]اردیبهشت!$AD$2:$AD$600,[1]اردیبهشت!$N$2:$N$600,$C$40,[1]اردیبهشت!$D$2:$D$600,$F$39,[1]اردیبهشت!$AA$2:$AA$600,S3)</f>
        <v>0</v>
      </c>
      <c r="T39" s="165">
        <f>SUMIFS([1]اردیبهشت!$AD$2:$AD$600,[1]اردیبهشت!$N$2:$N$600,$C$40,[1]اردیبهشت!$D$2:$D$600,$F$39,[1]اردیبهشت!$AA$2:$AA$600,T3)</f>
        <v>0</v>
      </c>
      <c r="U39" s="159">
        <f>SUMIFS([1]اردیبهشت!$AD$2:$AD$600,[1]اردیبهشت!$N$2:$N$600,$C$40,[1]اردیبهشت!$D$2:$D$600,$F$39,[1]اردیبهشت!$AA$2:$AA$600,U3)</f>
        <v>0</v>
      </c>
    </row>
    <row r="40" spans="1:21" ht="36" customHeight="1" x14ac:dyDescent="0.25">
      <c r="A40" s="214">
        <v>19</v>
      </c>
      <c r="B40" s="228" t="s">
        <v>30</v>
      </c>
      <c r="C40" s="233">
        <v>7701</v>
      </c>
      <c r="D40" s="233">
        <v>62.5</v>
      </c>
      <c r="E40" s="933"/>
      <c r="F40" s="29"/>
      <c r="G40" s="3">
        <f t="shared" si="0"/>
        <v>0</v>
      </c>
      <c r="H40" s="47">
        <f t="shared" si="1"/>
        <v>0</v>
      </c>
      <c r="I40" s="3">
        <v>0</v>
      </c>
      <c r="J40" s="25">
        <v>0</v>
      </c>
      <c r="K40" s="25">
        <v>0</v>
      </c>
      <c r="L40" s="70">
        <v>0</v>
      </c>
      <c r="M40" s="4">
        <f>(J39+J40+J41+I41+I40+I39+H39+H40+H41+G41+G40+G39)-D40</f>
        <v>-62.5</v>
      </c>
      <c r="N40" s="956"/>
      <c r="O40" s="293">
        <f>SUMIFS([1]اردیبهشت!$AD$2:$AD$600,[1]اردیبهشت!$N$2:$N$600,$C$40,[1]اردیبهشت!$D$2:$D$600,$F$40,[1]اردیبهشت!$AA$2:$AA$600,O3)</f>
        <v>0</v>
      </c>
      <c r="P40" s="166">
        <f>SUMIFS([1]اردیبهشت!$AD$2:$AD$600,[1]اردیبهشت!$N$2:$N$600,$C$40,[1]اردیبهشت!$D$2:$D$600,$F$40,[1]اردیبهشت!$AA$2:$AA$600,P3)</f>
        <v>0</v>
      </c>
      <c r="Q40" s="166">
        <f>SUMIFS([1]اردیبهشت!$AD$2:$AD$600,[1]اردیبهشت!$N$2:$N$600,$C$40,[1]اردیبهشت!$D$2:$D$600,$F$40,[1]اردیبهشت!$AA$2:$AA$600,Q3)</f>
        <v>0</v>
      </c>
      <c r="R40" s="166">
        <f>SUMIFS([1]اردیبهشت!$AD$2:$AD$600,[1]اردیبهشت!$N$2:$N$600,$C$40,[1]اردیبهشت!$D$2:$D$600,$F$40,[1]اردیبهشت!$AA$2:$AA$600,R3)</f>
        <v>0</v>
      </c>
      <c r="S40" s="166">
        <f>SUMIFS([1]اردیبهشت!$AD$2:$AD$600,[1]اردیبهشت!$N$2:$N$600,$C$40,[1]اردیبهشت!$D$2:$D$600,$F$40,[1]اردیبهشت!$AA$2:$AA$600,S3)</f>
        <v>0</v>
      </c>
      <c r="T40" s="166">
        <f>SUMIFS([1]اردیبهشت!$AD$2:$AD$600,[1]اردیبهشت!$N$2:$N$600,$C$40,[1]اردیبهشت!$D$2:$D$600,$F$40,[1]اردیبهشت!$AA$2:$AA$600,T3)</f>
        <v>0</v>
      </c>
      <c r="U40" s="160">
        <f>SUMIFS([1]اردیبهشت!$AD$2:$AD$600,[1]اردیبهشت!$N$2:$N$600,$C$40,[1]اردیبهشت!$D$2:$D$600,$F$40,[1]اردیبهشت!$AA$2:$AA$600,U3)</f>
        <v>0</v>
      </c>
    </row>
    <row r="41" spans="1:21" ht="36" customHeight="1" thickBot="1" x14ac:dyDescent="0.3">
      <c r="A41" s="230"/>
      <c r="B41" s="217"/>
      <c r="C41" s="222"/>
      <c r="D41" s="222"/>
      <c r="E41" s="934"/>
      <c r="F41" s="30"/>
      <c r="G41" s="1">
        <f t="shared" si="0"/>
        <v>0</v>
      </c>
      <c r="H41" s="49">
        <f t="shared" si="1"/>
        <v>0</v>
      </c>
      <c r="I41" s="7">
        <v>0</v>
      </c>
      <c r="J41" s="7">
        <v>0</v>
      </c>
      <c r="K41" s="7">
        <v>0</v>
      </c>
      <c r="L41" s="7">
        <v>0</v>
      </c>
      <c r="M41" s="8"/>
      <c r="N41" s="946"/>
      <c r="O41" s="294">
        <f>SUMIFS([1]اردیبهشت!$AD$2:$AD$600,[1]اردیبهشت!$N$2:$N$600,$C$40,[1]اردیبهشت!$D$2:$D$600,$F$41,[1]اردیبهشت!$AA$2:$AA$600,O3)</f>
        <v>0</v>
      </c>
      <c r="P41" s="171">
        <f>SUMIFS([1]اردیبهشت!$AD$2:$AD$600,[1]اردیبهشت!$N$2:$N$600,$C$40,[1]اردیبهشت!$D$2:$D$600,$F$41,[1]اردیبهشت!$AA$2:$AA$600,P3)</f>
        <v>0</v>
      </c>
      <c r="Q41" s="171">
        <f>SUMIFS([1]اردیبهشت!$AD$2:$AD$600,[1]اردیبهشت!$N$2:$N$600,$C$40,[1]اردیبهشت!$D$2:$D$600,$F$41,[1]اردیبهشت!$AA$2:$AA$600,Q3)</f>
        <v>0</v>
      </c>
      <c r="R41" s="171">
        <f>SUMIFS([1]اردیبهشت!$AD$2:$AD$600,[1]اردیبهشت!$N$2:$N$600,$C$40,[1]اردیبهشت!$D$2:$D$600,$F$41,[1]اردیبهشت!$AA$2:$AA$600,R3)</f>
        <v>0</v>
      </c>
      <c r="S41" s="171">
        <f>SUMIFS([1]اردیبهشت!$AD$2:$AD$600,[1]اردیبهشت!$N$2:$N$600,$C$40,[1]اردیبهشت!$D$2:$D$600,$F$41,[1]اردیبهشت!$AA$2:$AA$600,S3)</f>
        <v>0</v>
      </c>
      <c r="T41" s="171">
        <f>SUMIFS([1]اردیبهشت!$AD$2:$AD$600,[1]اردیبهشت!$N$2:$N$600,$C$40,[1]اردیبهشت!$D$2:$D$600,$F$41,[1]اردیبهشت!$AA$2:$AA$600,T3)</f>
        <v>0</v>
      </c>
      <c r="U41" s="164">
        <f>SUMIFS([1]اردیبهشت!$AD$2:$AD$600,[1]اردیبهشت!$N$2:$N$600,$C$40,[1]اردیبهشت!$D$2:$D$600,$F$41,[1]اردیبهشت!$AA$2:$AA$600,U3)</f>
        <v>0</v>
      </c>
    </row>
    <row r="42" spans="1:21" ht="36" customHeight="1" thickBot="1" x14ac:dyDescent="0.3">
      <c r="A42" s="230">
        <v>20</v>
      </c>
      <c r="B42" s="216" t="s">
        <v>63</v>
      </c>
      <c r="C42" s="227">
        <v>8009</v>
      </c>
      <c r="D42" s="227">
        <v>62.5</v>
      </c>
      <c r="E42" s="227" t="s">
        <v>15</v>
      </c>
      <c r="F42" s="54"/>
      <c r="G42" s="9">
        <f t="shared" si="0"/>
        <v>0</v>
      </c>
      <c r="H42" s="46">
        <f t="shared" si="1"/>
        <v>0</v>
      </c>
      <c r="I42" s="4">
        <v>0</v>
      </c>
      <c r="J42" s="4">
        <v>0</v>
      </c>
      <c r="K42" s="4">
        <v>0</v>
      </c>
      <c r="L42" s="4">
        <v>0</v>
      </c>
      <c r="M42" s="4">
        <f>SUM(G42:J42)-62</f>
        <v>-62</v>
      </c>
      <c r="N42" s="238" t="s">
        <v>31</v>
      </c>
      <c r="O42" s="297">
        <f>SUMIFS([1]اردیبهشت!$AD$2:$AD$600,[1]اردیبهشت!$N$2:$N$600,$C$42,[1]اردیبهشت!$D$2:$D$600,$F$42,[1]اردیبهشت!$AA$2:$AA$600,O3)</f>
        <v>0</v>
      </c>
      <c r="P42" s="181">
        <f>SUMIFS([1]اردیبهشت!$AD$2:$AD$600,[1]اردیبهشت!$N$2:$N$600,$C$42,[1]اردیبهشت!$D$2:$D$600,$F$42,[1]اردیبهشت!$AA$2:$AA$600,P3)</f>
        <v>0</v>
      </c>
      <c r="Q42" s="181">
        <f>SUMIFS([1]اردیبهشت!$AD$2:$AD$600,[1]اردیبهشت!$N$2:$N$600,$C$42,[1]اردیبهشت!$D$2:$D$600,$F$42,[1]اردیبهشت!$AA$2:$AA$600,Q3)</f>
        <v>0</v>
      </c>
      <c r="R42" s="181">
        <f>SUMIFS([1]اردیبهشت!$AD$2:$AD$600,[1]اردیبهشت!$N$2:$N$600,$C$42,[1]اردیبهشت!$D$2:$D$600,$F$42,[1]اردیبهشت!$AA$2:$AA$600,R3)</f>
        <v>0</v>
      </c>
      <c r="S42" s="181">
        <f>SUMIFS([1]اردیبهشت!$AD$2:$AD$600,[1]اردیبهشت!$N$2:$N$600,$C$42,[1]اردیبهشت!$D$2:$D$600,$F$42,[1]اردیبهشت!$AA$2:$AA$600,S3)</f>
        <v>0</v>
      </c>
      <c r="T42" s="181">
        <f>SUMIFS([1]اردیبهشت!$AD$2:$AD$600,[1]اردیبهشت!$N$2:$N$600,$C$42,[1]اردیبهشت!$D$2:$D$600,$F$42,[1]اردیبهشت!$AA$2:$AA$600,T3)</f>
        <v>0</v>
      </c>
      <c r="U42" s="289">
        <f>SUMIFS([1]اردیبهشت!$AD$2:$AD$600,[1]اردیبهشت!$N$2:$N$600,$C$42,[1]اردیبهشت!$D$2:$D$600,$F$42,[1]اردیبهشت!$AA$2:$AA$600,U3)</f>
        <v>0</v>
      </c>
    </row>
    <row r="43" spans="1:21" ht="36" customHeight="1" thickBot="1" x14ac:dyDescent="0.3">
      <c r="A43" s="229">
        <v>21</v>
      </c>
      <c r="B43" s="12" t="s">
        <v>32</v>
      </c>
      <c r="C43" s="13">
        <v>8002</v>
      </c>
      <c r="D43" s="13">
        <v>44</v>
      </c>
      <c r="E43" s="13" t="s">
        <v>15</v>
      </c>
      <c r="F43" s="31" t="s">
        <v>23</v>
      </c>
      <c r="G43" s="9">
        <f t="shared" si="0"/>
        <v>0</v>
      </c>
      <c r="H43" s="46">
        <f t="shared" si="1"/>
        <v>0</v>
      </c>
      <c r="I43" s="14">
        <v>0</v>
      </c>
      <c r="J43" s="14">
        <v>0</v>
      </c>
      <c r="K43" s="14">
        <v>0</v>
      </c>
      <c r="L43" s="14">
        <v>0</v>
      </c>
      <c r="M43" s="14">
        <f>SUM(G43:L43)-(D43)</f>
        <v>-44</v>
      </c>
      <c r="N43" s="218" t="s">
        <v>29</v>
      </c>
      <c r="O43" s="297">
        <f>SUMIFS([1]اردیبهشت!$AD$2:$AD$600,[1]اردیبهشت!$N$2:$N$600,$C$43,[1]اردیبهشت!$D$2:$D$600,$F$43,[1]اردیبهشت!$AA$2:$AA$600,O3)</f>
        <v>0</v>
      </c>
      <c r="P43" s="181">
        <f>SUMIFS([1]اردیبهشت!$AD$2:$AD$600,[1]اردیبهشت!$N$2:$N$600,$C$43,[1]اردیبهشت!$D$2:$D$600,$F$43,[1]اردیبهشت!$AA$2:$AA$600,P3)</f>
        <v>0</v>
      </c>
      <c r="Q43" s="181">
        <f>SUMIFS([1]اردیبهشت!$AD$2:$AD$600,[1]اردیبهشت!$N$2:$N$600,$C$43,[1]اردیبهشت!$D$2:$D$600,$F$43,[1]اردیبهشت!$AA$2:$AA$600,Q3)</f>
        <v>0</v>
      </c>
      <c r="R43" s="181">
        <f>SUMIFS([1]اردیبهشت!$AD$2:$AD$600,[1]اردیبهشت!$N$2:$N$600,$C$43,[1]اردیبهشت!$D$2:$D$600,$F$43,[1]اردیبهشت!$AA$2:$AA$600,R3)</f>
        <v>0</v>
      </c>
      <c r="S43" s="181">
        <f>SUMIFS([1]اردیبهشت!$AD$2:$AD$600,[1]اردیبهشت!$N$2:$N$600,$C$43,[1]اردیبهشت!$D$2:$D$600,$F$43,[1]اردیبهشت!$AA$2:$AA$600,S3)</f>
        <v>0</v>
      </c>
      <c r="T43" s="181">
        <f>SUMIFS([1]اردیبهشت!$AD$2:$AD$600,[1]اردیبهشت!$N$2:$N$600,$C$43,[1]اردیبهشت!$D$2:$D$600,$F$43,[1]اردیبهشت!$AA$2:$AA$600,T3)</f>
        <v>0</v>
      </c>
      <c r="U43" s="289">
        <f>SUMIFS([1]اردیبهشت!$AD$2:$AD$600,[1]اردیبهشت!$N$2:$N$600,$C$43,[1]اردیبهشت!$D$2:$D$600,$F$43,[1]اردیبهشت!$AA$2:$AA$600,U3)</f>
        <v>0</v>
      </c>
    </row>
    <row r="44" spans="1:21" ht="36" customHeight="1" x14ac:dyDescent="0.25">
      <c r="A44" s="957">
        <v>22</v>
      </c>
      <c r="B44" s="961" t="s">
        <v>33</v>
      </c>
      <c r="C44" s="943" t="s">
        <v>33</v>
      </c>
      <c r="D44" s="932">
        <v>62.5</v>
      </c>
      <c r="E44" s="943"/>
      <c r="F44" s="32" t="s">
        <v>16</v>
      </c>
      <c r="G44" s="9">
        <f t="shared" si="0"/>
        <v>0</v>
      </c>
      <c r="H44" s="46">
        <f t="shared" si="1"/>
        <v>0</v>
      </c>
      <c r="I44" s="9">
        <v>0</v>
      </c>
      <c r="J44" s="9">
        <v>0</v>
      </c>
      <c r="K44" s="9">
        <v>0</v>
      </c>
      <c r="L44" s="9">
        <v>0</v>
      </c>
      <c r="M44" s="9">
        <f>(SUM(G44:L44))-D44</f>
        <v>-62.5</v>
      </c>
      <c r="N44" s="33" t="s">
        <v>29</v>
      </c>
      <c r="O44" s="292">
        <f>SUMIFS([1]اردیبهشت!$AD$2:$AD$600,[1]اردیبهشت!$N$2:$N$600,"مونتاژ",[1]اردیبهشت!$D$2:$D$600,$F$44,[1]اردیبهشت!$AA$2:$AA$600,O3)</f>
        <v>0</v>
      </c>
      <c r="P44" s="165">
        <f>SUMIFS([1]اردیبهشت!$AD$2:$AD$600,[1]اردیبهشت!$N$2:$N$600,"مونتاژ",[1]اردیبهشت!$D$2:$D$600,$F$44,[1]اردیبهشت!$AA$2:$AA$600,P3)</f>
        <v>0</v>
      </c>
      <c r="Q44" s="165">
        <f>SUMIFS([1]اردیبهشت!$AD$2:$AD$600,[1]اردیبهشت!$N$2:$N$600,"مونتاژ",[1]اردیبهشت!$D$2:$D$600,$F$44,[1]اردیبهشت!$AA$2:$AA$600,Q3)</f>
        <v>0</v>
      </c>
      <c r="R44" s="165">
        <f>SUMIFS([1]اردیبهشت!$AD$2:$AD$600,[1]اردیبهشت!$N$2:$N$600,"مونتاژ",[1]اردیبهشت!$D$2:$D$600,$F$44,[1]اردیبهشت!$AA$2:$AA$600,R3)</f>
        <v>0</v>
      </c>
      <c r="S44" s="165">
        <f>SUMIFS([1]اردیبهشت!$AD$2:$AD$600,[1]اردیبهشت!$N$2:$N$600,"مونتاژ",[1]اردیبهشت!$D$2:$D$600,$F$44,[1]اردیبهشت!$AA$2:$AA$600,S3)</f>
        <v>0</v>
      </c>
      <c r="T44" s="165">
        <f>SUMIFS([1]اردیبهشت!$AD$2:$AD$600,[1]اردیبهشت!$N$2:$N$600,"مونتاژ",[1]اردیبهشت!$D$2:$D$600,$F$44,[1]اردیبهشت!$AA$2:$AA$600,T3)</f>
        <v>0</v>
      </c>
      <c r="U44" s="159">
        <f>SUMIFS([1]اردیبهشت!$AD$2:$AD$600,[1]اردیبهشت!$N$2:$N$600,"مونتاژ",[1]اردیبهشت!$D$2:$D$600,$F$44,[1]اردیبهشت!$AA$2:$AA$600,U3)</f>
        <v>0</v>
      </c>
    </row>
    <row r="45" spans="1:21" ht="36" customHeight="1" x14ac:dyDescent="0.25">
      <c r="A45" s="958"/>
      <c r="B45" s="962"/>
      <c r="C45" s="965"/>
      <c r="D45" s="933"/>
      <c r="E45" s="965"/>
      <c r="F45" s="29"/>
      <c r="G45" s="3">
        <f t="shared" si="0"/>
        <v>0</v>
      </c>
      <c r="H45" s="47">
        <f t="shared" si="1"/>
        <v>0</v>
      </c>
      <c r="I45" s="3">
        <v>0</v>
      </c>
      <c r="J45" s="3">
        <v>0</v>
      </c>
      <c r="K45" s="3">
        <v>0</v>
      </c>
      <c r="L45" s="3">
        <v>0</v>
      </c>
      <c r="M45" s="3">
        <f>(SUM(G45:L45))-D44</f>
        <v>-62.5</v>
      </c>
      <c r="N45" s="62"/>
      <c r="O45" s="293">
        <f>SUMIFS([1]اردیبهشت!$AD$2:$AD$600,[1]اردیبهشت!$N$2:$N$600,"مونتاژ",[1]اردیبهشت!$D$2:$D$600,$F$45,[1]اردیبهشت!$AA$2:$AA$600,O3)</f>
        <v>0</v>
      </c>
      <c r="P45" s="166">
        <f>SUMIFS([1]اردیبهشت!$AD$2:$AD$600,[1]اردیبهشت!$N$2:$N$600,"مونتاژ",[1]اردیبهشت!$D$2:$D$600,$F$45,[1]اردیبهشت!$AA$2:$AA$600,P3)</f>
        <v>0</v>
      </c>
      <c r="Q45" s="166">
        <f>SUMIFS([1]اردیبهشت!$AD$2:$AD$600,[1]اردیبهشت!$N$2:$N$600,"مونتاژ",[1]اردیبهشت!$D$2:$D$600,$F$45,[1]اردیبهشت!$AA$2:$AA$600,Q3)</f>
        <v>0</v>
      </c>
      <c r="R45" s="166">
        <f>SUMIFS([1]اردیبهشت!$AD$2:$AD$600,[1]اردیبهشت!$N$2:$N$600,"مونتاژ",[1]اردیبهشت!$D$2:$D$600,$F$45,[1]اردیبهشت!$AA$2:$AA$600,R3)</f>
        <v>0</v>
      </c>
      <c r="S45" s="166">
        <f>SUMIFS([1]اردیبهشت!$AD$2:$AD$600,[1]اردیبهشت!$N$2:$N$600,"مونتاژ",[1]اردیبهشت!$D$2:$D$600,$F$45,[1]اردیبهشت!$AA$2:$AA$600,S3)</f>
        <v>0</v>
      </c>
      <c r="T45" s="166">
        <f>SUMIFS([1]اردیبهشت!$AD$2:$AD$600,[1]اردیبهشت!$N$2:$N$600,"مونتاژ",[1]اردیبهشت!$D$2:$D$600,$F$45,[1]اردیبهشت!$AA$2:$AA$600,T3)</f>
        <v>0</v>
      </c>
      <c r="U45" s="160">
        <f>SUMIFS([1]اردیبهشت!$AD$2:$AD$600,[1]اردیبهشت!$N$2:$N$600,"مونتاژ",[1]اردیبهشت!$D$2:$D$600,$F$45,[1]اردیبهشت!$AA$2:$AA$600,U3)</f>
        <v>0</v>
      </c>
    </row>
    <row r="46" spans="1:21" ht="36" customHeight="1" x14ac:dyDescent="0.25">
      <c r="A46" s="959"/>
      <c r="B46" s="963"/>
      <c r="C46" s="966"/>
      <c r="D46" s="933"/>
      <c r="E46" s="966"/>
      <c r="F46" s="29" t="s">
        <v>54</v>
      </c>
      <c r="G46" s="3">
        <f t="shared" si="0"/>
        <v>0</v>
      </c>
      <c r="H46" s="47">
        <f t="shared" si="1"/>
        <v>0</v>
      </c>
      <c r="I46" s="3">
        <v>0</v>
      </c>
      <c r="J46" s="3">
        <v>0</v>
      </c>
      <c r="K46" s="3">
        <v>0</v>
      </c>
      <c r="L46" s="3">
        <v>0</v>
      </c>
      <c r="M46" s="3">
        <f>(SUM(G46:L46))-62</f>
        <v>-62</v>
      </c>
      <c r="N46" s="58"/>
      <c r="O46" s="293">
        <f>SUMIFS([1]اردیبهشت!$AD$2:$AD$600,[1]اردیبهشت!$N$2:$N$600,"مونتاژ",[1]اردیبهشت!$D$2:$D$600,$F$46,[1]اردیبهشت!$AA$2:$AA$600,O3)</f>
        <v>0</v>
      </c>
      <c r="P46" s="166">
        <f>SUMIFS([1]اردیبهشت!$AD$2:$AD$600,[1]اردیبهشت!$N$2:$N$600,"مونتاژ",[1]اردیبهشت!$D$2:$D$600,$F$46,[1]اردیبهشت!$AA$2:$AA$600,P3)</f>
        <v>0</v>
      </c>
      <c r="Q46" s="166">
        <f>SUMIFS([1]اردیبهشت!$AD$2:$AD$600,[1]اردیبهشت!$N$2:$N$600,"مونتاژ",[1]اردیبهشت!$D$2:$D$600,$F$46,[1]اردیبهشت!$AA$2:$AA$600,Q3)</f>
        <v>0</v>
      </c>
      <c r="R46" s="166">
        <f>SUMIFS([1]اردیبهشت!$AD$2:$AD$600,[1]اردیبهشت!$N$2:$N$600,"مونتاژ",[1]اردیبهشت!$D$2:$D$600,$F$46,[1]اردیبهشت!$AA$2:$AA$600,R3)</f>
        <v>0</v>
      </c>
      <c r="S46" s="166">
        <f>SUMIFS([1]اردیبهشت!$AD$2:$AD$600,[1]اردیبهشت!$N$2:$N$600,"مونتاژ",[1]اردیبهشت!$D$2:$D$600,$F$46,[1]اردیبهشت!$AA$2:$AA$600,S3)</f>
        <v>0</v>
      </c>
      <c r="T46" s="166">
        <f>SUMIFS([1]اردیبهشت!$AD$2:$AD$600,[1]اردیبهشت!$N$2:$N$600,"مونتاژ",[1]اردیبهشت!$D$2:$D$600,$F$46,[1]اردیبهشت!$AA$2:$AA$600,T3)</f>
        <v>0</v>
      </c>
      <c r="U46" s="160">
        <f>SUMIFS([1]اردیبهشت!$AD$2:$AD$600,[1]اردیبهشت!$N$2:$N$600,"مونتاژ",[1]اردیبهشت!$D$2:$D$600,$F$46,[1]اردیبهشت!$AA$2:$AA$600,U3)</f>
        <v>0</v>
      </c>
    </row>
    <row r="47" spans="1:21" ht="36" customHeight="1" thickBot="1" x14ac:dyDescent="0.3">
      <c r="A47" s="960"/>
      <c r="B47" s="964"/>
      <c r="C47" s="944"/>
      <c r="D47" s="934"/>
      <c r="E47" s="944"/>
      <c r="F47" s="30"/>
      <c r="G47" s="6">
        <f t="shared" si="0"/>
        <v>0</v>
      </c>
      <c r="H47" s="64">
        <f t="shared" si="1"/>
        <v>0</v>
      </c>
      <c r="I47" s="7">
        <v>0</v>
      </c>
      <c r="J47" s="7">
        <v>0</v>
      </c>
      <c r="K47" s="7">
        <v>0</v>
      </c>
      <c r="L47" s="7">
        <v>0</v>
      </c>
      <c r="M47" s="7">
        <f>SUM(G47:J47)-62</f>
        <v>-62</v>
      </c>
      <c r="N47" s="34"/>
      <c r="O47" s="294">
        <f>SUMIFS([1]اردیبهشت!$AD$2:$AD$600,[1]اردیبهشت!$N$2:$N$600,"مونتاژ",[1]اردیبهشت!$D$2:$D$600,$F$47,[1]اردیبهشت!$AA$2:$AA$600,O3)</f>
        <v>0</v>
      </c>
      <c r="P47" s="171">
        <f>SUMIFS([1]اردیبهشت!$AD$2:$AD$600,[1]اردیبهشت!$N$2:$N$600,"مونتاژ",[1]اردیبهشت!$D$2:$D$600,$F$47,[1]اردیبهشت!$AA$2:$AA$600,P3)</f>
        <v>0</v>
      </c>
      <c r="Q47" s="171">
        <f>SUMIFS([1]اردیبهشت!$AD$2:$AD$600,[1]اردیبهشت!$N$2:$N$600,"مونتاژ",[1]اردیبهشت!$D$2:$D$600,$F$47,[1]اردیبهشت!$AA$2:$AA$600,Q3)</f>
        <v>0</v>
      </c>
      <c r="R47" s="171">
        <f>SUMIFS([1]اردیبهشت!$AD$2:$AD$600,[1]اردیبهشت!$N$2:$N$600,"مونتاژ",[1]اردیبهشت!$D$2:$D$600,$F$47,[1]اردیبهشت!$AA$2:$AA$600,R3)</f>
        <v>0</v>
      </c>
      <c r="S47" s="171">
        <f>SUMIFS([1]اردیبهشت!$AD$2:$AD$600,[1]اردیبهشت!$N$2:$N$600,"مونتاژ",[1]اردیبهشت!$D$2:$D$600,$F$47,[1]اردیبهشت!$AA$2:$AA$600,S3)</f>
        <v>0</v>
      </c>
      <c r="T47" s="171">
        <f>SUMIFS([1]اردیبهشت!$AD$2:$AD$600,[1]اردیبهشت!$N$2:$N$600,"مونتاژ",[1]اردیبهشت!$D$2:$D$600,$F$47,[1]اردیبهشت!$AA$2:$AA$600,T3)</f>
        <v>0</v>
      </c>
      <c r="U47" s="164">
        <f>SUMIFS([1]اردیبهشت!$AD$2:$AD$600,[1]اردیبهشت!$N$2:$N$600,"مونتاژ",[1]اردیبهشت!$D$2:$D$600,$F$47,[1]اردیبهشت!$AA$2:$AA$600,U3)</f>
        <v>0</v>
      </c>
    </row>
    <row r="48" spans="1:21" ht="36" customHeight="1" x14ac:dyDescent="0.25">
      <c r="A48" s="967">
        <v>23</v>
      </c>
      <c r="B48" s="961" t="s">
        <v>33</v>
      </c>
      <c r="C48" s="943" t="s">
        <v>34</v>
      </c>
      <c r="D48" s="932">
        <v>62.5</v>
      </c>
      <c r="E48" s="932"/>
      <c r="F48" s="32" t="s">
        <v>16</v>
      </c>
      <c r="G48" s="9">
        <f t="shared" si="0"/>
        <v>0</v>
      </c>
      <c r="H48" s="46">
        <f t="shared" si="1"/>
        <v>0</v>
      </c>
      <c r="I48" s="9">
        <v>0</v>
      </c>
      <c r="J48" s="9">
        <v>0</v>
      </c>
      <c r="K48" s="9">
        <v>0</v>
      </c>
      <c r="L48" s="9">
        <v>0</v>
      </c>
      <c r="M48" s="9">
        <f>SUM(G48:L48)-62</f>
        <v>-62</v>
      </c>
      <c r="N48" s="56"/>
      <c r="O48" s="292">
        <f>SUMIFS([1]اردیبهشت!$AD$2:$AD$600,[1]اردیبهشت!$N$2:$N$600,"دمونتاژ",[1]اردیبهشت!$D$2:$D$600,$F$48,[1]اردیبهشت!$AA$2:$AA$600,O3)</f>
        <v>0</v>
      </c>
      <c r="P48" s="165">
        <f>SUMIFS([1]اردیبهشت!$AD$2:$AD$600,[1]اردیبهشت!$N$2:$N$600,"دمونتاژ",[1]اردیبهشت!$D$2:$D$600,$F$48,[1]اردیبهشت!$AA$2:$AA$600,P3)</f>
        <v>0</v>
      </c>
      <c r="Q48" s="165">
        <f>SUMIFS([1]اردیبهشت!$AD$2:$AD$600,[1]اردیبهشت!$N$2:$N$600,"دمونتاژ",[1]اردیبهشت!$D$2:$D$600,$F$48,[1]اردیبهشت!$AA$2:$AA$600,Q3)</f>
        <v>0</v>
      </c>
      <c r="R48" s="165">
        <f>SUMIFS([1]اردیبهشت!$AD$2:$AD$600,[1]اردیبهشت!$N$2:$N$600,"دمونتاژ",[1]اردیبهشت!$D$2:$D$600,$F$48,[1]اردیبهشت!$AA$2:$AA$600,R3)</f>
        <v>0</v>
      </c>
      <c r="S48" s="165">
        <f>SUMIFS([1]اردیبهشت!$AD$2:$AD$600,[1]اردیبهشت!$N$2:$N$600,"دمونتاژ",[1]اردیبهشت!$D$2:$D$600,$F$48,[1]اردیبهشت!$AA$2:$AA$600,S3)</f>
        <v>0</v>
      </c>
      <c r="T48" s="165">
        <f>SUMIFS([1]اردیبهشت!$AD$2:$AD$600,[1]اردیبهشت!$N$2:$N$600,"دمونتاژ",[1]اردیبهشت!$D$2:$D$600,$F$48,[1]اردیبهشت!$AA$2:$AA$600,T3)</f>
        <v>0</v>
      </c>
      <c r="U48" s="159">
        <f>SUMIFS([1]اردیبهشت!$AD$2:$AD$600,[1]اردیبهشت!$N$2:$N$600,"دمونتاژ",[1]اردیبهشت!$D$2:$D$600,$F$48,[1]اردیبهشت!$AA$2:$AA$600,U3)</f>
        <v>0</v>
      </c>
    </row>
    <row r="49" spans="1:21" ht="36" customHeight="1" x14ac:dyDescent="0.25">
      <c r="A49" s="967"/>
      <c r="B49" s="962"/>
      <c r="C49" s="965"/>
      <c r="D49" s="933"/>
      <c r="E49" s="933"/>
      <c r="F49" s="29"/>
      <c r="G49" s="3">
        <f t="shared" si="0"/>
        <v>0</v>
      </c>
      <c r="H49" s="47">
        <f t="shared" si="1"/>
        <v>0</v>
      </c>
      <c r="I49" s="3">
        <v>0</v>
      </c>
      <c r="J49" s="3">
        <v>0</v>
      </c>
      <c r="K49" s="3">
        <v>0</v>
      </c>
      <c r="L49" s="3">
        <v>0</v>
      </c>
      <c r="M49" s="3">
        <f>SUM(G49:L49)-62</f>
        <v>-62</v>
      </c>
      <c r="N49" s="62"/>
      <c r="O49" s="293">
        <f>SUMIFS([1]اردیبهشت!$AD$2:$AD$600,[1]اردیبهشت!$N$2:$N$600,"دمونتاژ",[1]اردیبهشت!$D$2:$D$600,$F$49,[1]اردیبهشت!$AA$2:$AA$600,O3)</f>
        <v>0</v>
      </c>
      <c r="P49" s="166">
        <f>SUMIFS([1]اردیبهشت!$AD$2:$AD$600,[1]اردیبهشت!$N$2:$N$600,"دمونتاژ",[1]اردیبهشت!$D$2:$D$600,$F$49,[1]اردیبهشت!$AA$2:$AA$600,P3)</f>
        <v>0</v>
      </c>
      <c r="Q49" s="166">
        <f>SUMIFS([1]اردیبهشت!$AD$2:$AD$600,[1]اردیبهشت!$N$2:$N$600,"دمونتاژ",[1]اردیبهشت!$D$2:$D$600,$F$49,[1]اردیبهشت!$AA$2:$AA$600,Q3)</f>
        <v>0</v>
      </c>
      <c r="R49" s="166">
        <f>SUMIFS([1]اردیبهشت!$AD$2:$AD$600,[1]اردیبهشت!$N$2:$N$600,"دمونتاژ",[1]اردیبهشت!$D$2:$D$600,$F$49,[1]اردیبهشت!$AA$2:$AA$600,R3)</f>
        <v>0</v>
      </c>
      <c r="S49" s="166">
        <f>SUMIFS([1]اردیبهشت!$AD$2:$AD$600,[1]اردیبهشت!$N$2:$N$600,"دمونتاژ",[1]اردیبهشت!$D$2:$D$600,$F$49,[1]اردیبهشت!$AA$2:$AA$600,S3)</f>
        <v>0</v>
      </c>
      <c r="T49" s="166">
        <f>SUMIFS([1]اردیبهشت!$AD$2:$AD$600,[1]اردیبهشت!$N$2:$N$600,"دمونتاژ",[1]اردیبهشت!$D$2:$D$600,$F$49,[1]اردیبهشت!$AA$2:$AA$600,T3)</f>
        <v>0</v>
      </c>
      <c r="U49" s="160">
        <f>SUMIFS([1]اردیبهشت!$AD$2:$AD$600,[1]اردیبهشت!$N$2:$N$600,"دمونتاژ",[1]اردیبهشت!$D$2:$D$600,$F$49,[1]اردیبهشت!$AA$2:$AA$600,U3)</f>
        <v>0</v>
      </c>
    </row>
    <row r="50" spans="1:21" ht="36" customHeight="1" x14ac:dyDescent="0.25">
      <c r="A50" s="967"/>
      <c r="B50" s="962"/>
      <c r="C50" s="965"/>
      <c r="D50" s="933"/>
      <c r="E50" s="933"/>
      <c r="F50" s="29" t="s">
        <v>54</v>
      </c>
      <c r="G50" s="3">
        <f t="shared" si="0"/>
        <v>0</v>
      </c>
      <c r="H50" s="47">
        <f t="shared" si="1"/>
        <v>0</v>
      </c>
      <c r="I50" s="3">
        <v>0</v>
      </c>
      <c r="J50" s="3">
        <v>0</v>
      </c>
      <c r="K50" s="3">
        <v>0</v>
      </c>
      <c r="L50" s="3">
        <v>0</v>
      </c>
      <c r="M50" s="3">
        <f>SUM(G50:L50)-62</f>
        <v>-62</v>
      </c>
      <c r="N50" s="62"/>
      <c r="O50" s="293">
        <f>SUMIFS([1]اردیبهشت!$AD$2:$AD$600,[1]اردیبهشت!$N$2:$N$600,"دمونتاژ",[1]اردیبهشت!$D$2:$D$600,$F$50,[1]اردیبهشت!$AA$2:$AA$600,O3)</f>
        <v>0</v>
      </c>
      <c r="P50" s="166">
        <f>SUMIFS([1]اردیبهشت!$AD$2:$AD$600,[1]اردیبهشت!$N$2:$N$600,"دمونتاژ",[1]اردیبهشت!$D$2:$D$600,$F$50,[1]اردیبهشت!$AA$2:$AA$600,P3)</f>
        <v>0</v>
      </c>
      <c r="Q50" s="166">
        <f>SUMIFS([1]اردیبهشت!$AD$2:$AD$600,[1]اردیبهشت!$N$2:$N$600,"دمونتاژ",[1]اردیبهشت!$D$2:$D$600,$F$50,[1]اردیبهشت!$AA$2:$AA$600,Q3)</f>
        <v>0</v>
      </c>
      <c r="R50" s="166">
        <f>SUMIFS([1]اردیبهشت!$AD$2:$AD$600,[1]اردیبهشت!$N$2:$N$600,"دمونتاژ",[1]اردیبهشت!$D$2:$D$600,$F$50,[1]اردیبهشت!$AA$2:$AA$600,R3)</f>
        <v>0</v>
      </c>
      <c r="S50" s="166">
        <f>SUMIFS([1]اردیبهشت!$AD$2:$AD$600,[1]اردیبهشت!$N$2:$N$600,"دمونتاژ",[1]اردیبهشت!$D$2:$D$600,$F$50,[1]اردیبهشت!$AA$2:$AA$600,S3)</f>
        <v>0</v>
      </c>
      <c r="T50" s="166">
        <f>SUMIFS([1]اردیبهشت!$AD$2:$AD$600,[1]اردیبهشت!$N$2:$N$600,"دمونتاژ",[1]اردیبهشت!$D$2:$D$600,$F$50,[1]اردیبهشت!$AA$2:$AA$600,T3)</f>
        <v>0</v>
      </c>
      <c r="U50" s="160">
        <f>SUMIFS([1]اردیبهشت!$AD$2:$AD$600,[1]اردیبهشت!$N$2:$N$600,"دمونتاژ",[1]اردیبهشت!$D$2:$D$600,$F$50,[1]اردیبهشت!$AA$2:$AA$600,U3)</f>
        <v>0</v>
      </c>
    </row>
    <row r="51" spans="1:21" ht="36" customHeight="1" thickBot="1" x14ac:dyDescent="0.3">
      <c r="A51" s="967"/>
      <c r="B51" s="963"/>
      <c r="C51" s="966"/>
      <c r="D51" s="934"/>
      <c r="E51" s="934"/>
      <c r="F51" s="226"/>
      <c r="G51" s="4">
        <f t="shared" si="0"/>
        <v>0</v>
      </c>
      <c r="H51" s="49">
        <f t="shared" si="1"/>
        <v>0</v>
      </c>
      <c r="I51" s="25">
        <v>0</v>
      </c>
      <c r="J51" s="25">
        <v>0</v>
      </c>
      <c r="K51" s="25">
        <v>0</v>
      </c>
      <c r="L51" s="25">
        <v>0</v>
      </c>
      <c r="M51" s="25">
        <f>SUM(G51:L51)-62</f>
        <v>-62</v>
      </c>
      <c r="N51" s="58"/>
      <c r="O51" s="294">
        <f>SUMIFS([1]اردیبهشت!$AD$2:$AD$600,[1]اردیبهشت!$N$2:$N$600,"دمونتاژ",[1]اردیبهشت!$D$2:$D$600,$F$51,[1]اردیبهشت!$AA$2:$AA$600,O3)</f>
        <v>0</v>
      </c>
      <c r="P51" s="171">
        <f>SUMIFS([1]اردیبهشت!$AD$2:$AD$600,[1]اردیبهشت!$N$2:$N$600,"دمونتاژ",[1]اردیبهشت!$D$2:$D$600,$F$51,[1]اردیبهشت!$AA$2:$AA$600,P3)</f>
        <v>0</v>
      </c>
      <c r="Q51" s="171">
        <f>SUMIFS([1]اردیبهشت!$AD$2:$AD$600,[1]اردیبهشت!$N$2:$N$600,"دمونتاژ",[1]اردیبهشت!$D$2:$D$600,$F$51,[1]اردیبهشت!$AA$2:$AA$600,Q3)</f>
        <v>0</v>
      </c>
      <c r="R51" s="171">
        <f>SUMIFS([1]اردیبهشت!$AD$2:$AD$600,[1]اردیبهشت!$N$2:$N$600,"دمونتاژ",[1]اردیبهشت!$D$2:$D$600,$F$51,[1]اردیبهشت!$AA$2:$AA$600,R3)</f>
        <v>0</v>
      </c>
      <c r="S51" s="171">
        <f>SUMIFS([1]اردیبهشت!$AD$2:$AD$600,[1]اردیبهشت!$N$2:$N$600,"دمونتاژ",[1]اردیبهشت!$D$2:$D$600,$F$51,[1]اردیبهشت!$AA$2:$AA$600,S3)</f>
        <v>0</v>
      </c>
      <c r="T51" s="171">
        <f>SUMIFS([1]اردیبهشت!$AD$2:$AD$600,[1]اردیبهشت!$N$2:$N$600,"دمونتاژ",[1]اردیبهشت!$D$2:$D$600,$F$51,[1]اردیبهشت!$AA$2:$AA$600,T3)</f>
        <v>0</v>
      </c>
      <c r="U51" s="164">
        <f>SUMIFS([1]اردیبهشت!$AD$2:$AD$600,[1]اردیبهشت!$N$2:$N$600,"دمونتاژ",[1]اردیبهشت!$D$2:$D$600,$F$51,[1]اردیبهشت!$AA$2:$AA$600,U3)</f>
        <v>0</v>
      </c>
    </row>
    <row r="52" spans="1:21" ht="42.75" customHeight="1" thickBot="1" x14ac:dyDescent="0.3">
      <c r="A52" s="951" t="s">
        <v>49</v>
      </c>
      <c r="B52" s="952"/>
      <c r="C52" s="952"/>
      <c r="D52" s="952"/>
      <c r="E52" s="952"/>
      <c r="F52" s="953"/>
      <c r="G52" s="148">
        <f>SUM(G4:G50)-G43</f>
        <v>0</v>
      </c>
      <c r="H52" s="148">
        <f>SUM(H4:H51)</f>
        <v>0</v>
      </c>
      <c r="I52" s="148">
        <f>SUM(I4:I51)</f>
        <v>85.5</v>
      </c>
      <c r="J52" s="148">
        <f>SUM(J4:J51)</f>
        <v>198</v>
      </c>
      <c r="K52" s="148"/>
      <c r="L52" s="148"/>
      <c r="M52" s="149">
        <f>SUMIFS(M4:M51,F4:F51,"*")</f>
        <v>-905.5</v>
      </c>
      <c r="N52" s="306"/>
      <c r="O52" s="302">
        <f>SUM(O4:O51)</f>
        <v>0</v>
      </c>
      <c r="P52" s="198">
        <f t="shared" ref="P52:U52" si="2">SUM(P4:P51)</f>
        <v>0</v>
      </c>
      <c r="Q52" s="198">
        <f t="shared" si="2"/>
        <v>0</v>
      </c>
      <c r="R52" s="198">
        <f t="shared" si="2"/>
        <v>0</v>
      </c>
      <c r="S52" s="198">
        <f t="shared" si="2"/>
        <v>0</v>
      </c>
      <c r="T52" s="198">
        <f t="shared" si="2"/>
        <v>0</v>
      </c>
      <c r="U52" s="150">
        <f t="shared" si="2"/>
        <v>0</v>
      </c>
    </row>
  </sheetData>
  <mergeCells count="41">
    <mergeCell ref="A33:A34"/>
    <mergeCell ref="E33:E34"/>
    <mergeCell ref="N33:N34"/>
    <mergeCell ref="A35:A36"/>
    <mergeCell ref="E26:E28"/>
    <mergeCell ref="N26:N28"/>
    <mergeCell ref="A29:A30"/>
    <mergeCell ref="E29:E30"/>
    <mergeCell ref="N29:N30"/>
    <mergeCell ref="C48:C51"/>
    <mergeCell ref="A1:L2"/>
    <mergeCell ref="O1:U2"/>
    <mergeCell ref="N4:N6"/>
    <mergeCell ref="N16:N18"/>
    <mergeCell ref="N20:N22"/>
    <mergeCell ref="E4:E6"/>
    <mergeCell ref="E7:E9"/>
    <mergeCell ref="E16:E18"/>
    <mergeCell ref="E20:E22"/>
    <mergeCell ref="E39:E41"/>
    <mergeCell ref="A31:A32"/>
    <mergeCell ref="E31:E32"/>
    <mergeCell ref="N31:N32"/>
    <mergeCell ref="E23:E25"/>
    <mergeCell ref="N23:N25"/>
    <mergeCell ref="D48:D51"/>
    <mergeCell ref="E35:E36"/>
    <mergeCell ref="N35:N36"/>
    <mergeCell ref="A52:F52"/>
    <mergeCell ref="A37:A38"/>
    <mergeCell ref="E37:E38"/>
    <mergeCell ref="N37:N38"/>
    <mergeCell ref="N39:N41"/>
    <mergeCell ref="A44:A47"/>
    <mergeCell ref="B44:B47"/>
    <mergeCell ref="C44:C47"/>
    <mergeCell ref="D44:D47"/>
    <mergeCell ref="E44:E47"/>
    <mergeCell ref="E48:E51"/>
    <mergeCell ref="A48:A51"/>
    <mergeCell ref="B48:B51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 M8" formulaRange="1"/>
  </ignoredErrors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A7A1-A735-46D9-93A1-C7D899DB7591}">
  <sheetPr>
    <pageSetUpPr fitToPage="1"/>
  </sheetPr>
  <dimension ref="A1:U52"/>
  <sheetViews>
    <sheetView rightToLeft="1" view="pageLayout" zoomScaleNormal="100" workbookViewId="0">
      <selection activeCell="J5" sqref="J5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20" width="6.42578125" style="52" hidden="1" customWidth="1"/>
    <col min="21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8</v>
      </c>
      <c r="O2" s="926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291" t="s">
        <v>102</v>
      </c>
      <c r="P3" s="291" t="s">
        <v>103</v>
      </c>
      <c r="Q3" s="291" t="s">
        <v>104</v>
      </c>
      <c r="R3" s="291" t="s">
        <v>105</v>
      </c>
      <c r="S3" s="291" t="s">
        <v>106</v>
      </c>
      <c r="T3" s="291" t="s">
        <v>107</v>
      </c>
      <c r="U3" s="291" t="s">
        <v>108</v>
      </c>
    </row>
    <row r="4" spans="1:21" ht="36" customHeight="1" x14ac:dyDescent="0.25">
      <c r="A4" s="327"/>
      <c r="B4" s="342"/>
      <c r="C4" s="307"/>
      <c r="D4" s="39"/>
      <c r="E4" s="932" t="s">
        <v>15</v>
      </c>
      <c r="F4" s="332" t="s">
        <v>55</v>
      </c>
      <c r="G4" s="9">
        <f>SUM(O4:T4)</f>
        <v>57.5</v>
      </c>
      <c r="H4" s="46">
        <f>U4</f>
        <v>0</v>
      </c>
      <c r="I4" s="9">
        <v>3</v>
      </c>
      <c r="J4" s="9">
        <v>0</v>
      </c>
      <c r="K4" s="9">
        <v>0</v>
      </c>
      <c r="L4" s="9">
        <v>0</v>
      </c>
      <c r="M4" s="28"/>
      <c r="N4" s="945" t="s">
        <v>101</v>
      </c>
      <c r="O4" s="292">
        <f>SUMIFS([1]اردیبهشت!$AF$2:$AF$700,[1]اردیبهشت!$O$2:$O$700,7101,[1]اردیبهشت!$D$2:$D$700,$F$4,[1]اردیبهشت!$AC$2:$AC$700,O3)</f>
        <v>11</v>
      </c>
      <c r="P4" s="292">
        <f>SUMIFS([1]اردیبهشت!$AF$2:$AF$700,[1]اردیبهشت!$O$2:$O$700,7101,[1]اردیبهشت!$D$2:$D$700,$F$4,[1]اردیبهشت!$AC$2:$AC$700,P3)</f>
        <v>0</v>
      </c>
      <c r="Q4" s="292">
        <f>SUMIFS([1]اردیبهشت!$AF$2:$AF$700,[1]اردیبهشت!$O$2:$O$700,7101,[1]اردیبهشت!$D$2:$D$700,$F$4,[1]اردیبهشت!$AC$2:$AC$700,Q3)</f>
        <v>18</v>
      </c>
      <c r="R4" s="292">
        <f>SUMIFS([1]اردیبهشت!$AF$2:$AF$700,[1]اردیبهشت!$O$2:$O$700,7101,[1]اردیبهشت!$D$2:$D$700,$F$4,[1]اردیبهشت!$AC$2:$AC$700,R3)</f>
        <v>11</v>
      </c>
      <c r="S4" s="292">
        <f>SUMIFS([1]اردیبهشت!$AF$2:$AF$700,[1]اردیبهشت!$O$2:$O$700,7101,[1]اردیبهشت!$D$2:$D$700,$F$4,[1]اردیبهشت!$AC$2:$AC$700,S3)</f>
        <v>11</v>
      </c>
      <c r="T4" s="292">
        <f>SUMIFS([1]اردیبهشت!$AF$2:$AF$700,[1]اردیبهشت!$O$2:$O$700,7101,[1]اردیبهشت!$D$2:$D$700,$F$4,[1]اردیبهشت!$AC$2:$AC$700,T3)</f>
        <v>6.5</v>
      </c>
      <c r="U4" s="292">
        <f>SUMIFS([1]اردیبهشت!$AF$2:$AF$700,[1]اردیبهشت!$O$2:$O$700,7101,[1]اردیبهشت!$D$2:$D$700,$F$4,[1]اردیبهشت!$AC$2:$AC$700,U3)</f>
        <v>0</v>
      </c>
    </row>
    <row r="5" spans="1:21" ht="36" customHeight="1" x14ac:dyDescent="0.25">
      <c r="A5" s="328">
        <v>1</v>
      </c>
      <c r="B5" s="343" t="s">
        <v>14</v>
      </c>
      <c r="C5" s="308">
        <v>7101</v>
      </c>
      <c r="D5" s="2">
        <v>62.5</v>
      </c>
      <c r="E5" s="933"/>
      <c r="F5" s="333"/>
      <c r="G5" s="3">
        <f t="shared" ref="G5:G51" si="0">SUM(O5:T5)</f>
        <v>0</v>
      </c>
      <c r="H5" s="47">
        <f t="shared" ref="H5:H51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-2</v>
      </c>
      <c r="N5" s="929"/>
      <c r="O5" s="293">
        <f>SUMIFS([1]اردیبهشت!$AD$2:$AD$600,[1]اردیبهشت!$N$2:$N$600,7101,[1]اردیبهشت!$D$2:$D$600,$F$5,[1]اردیبهشت!$AA$2:$AA$600,O3)</f>
        <v>0</v>
      </c>
      <c r="P5" s="168">
        <f>SUMIFS([1]اردیبهشت!$AD$2:$AD$600,[1]اردیبهشت!$N$2:$N$600,7101,[1]اردیبهشت!$D$2:$D$600,$F$5,[1]اردیبهشت!$AA$2:$AA$600,P3)</f>
        <v>0</v>
      </c>
      <c r="Q5" s="168">
        <f>SUMIFS([1]اردیبهشت!$AD$2:$AD$600,[1]اردیبهشت!$N$2:$N$600,7101,[1]اردیبهشت!$D$2:$D$600,$F$5,[1]اردیبهشت!$AA$2:$AA$600,Q3)</f>
        <v>0</v>
      </c>
      <c r="R5" s="168">
        <f>SUMIFS([1]اردیبهشت!$AD$2:$AD$600,[1]اردیبهشت!$N$2:$N$600,7101,[1]اردیبهشت!$D$2:$D$600,$F$5,[1]اردیبهشت!$AA$2:$AA$600,R3)</f>
        <v>0</v>
      </c>
      <c r="S5" s="168">
        <f>SUMIFS([1]اردیبهشت!$AD$2:$AD$600,[1]اردیبهشت!$N$2:$N$600,7101,[1]اردیبهشت!$D$2:$D$600,$F$5,[1]اردیبهشت!$AA$2:$AA$600,S3)</f>
        <v>0</v>
      </c>
      <c r="T5" s="168">
        <f>SUMIFS([1]اردیبهشت!$AD$2:$AD$600,[1]اردیبهشت!$N$2:$N$600,7101,[1]اردیبهشت!$D$2:$D$600,$F$5,[1]اردیبهشت!$AA$2:$AA$600,T3)</f>
        <v>0</v>
      </c>
      <c r="U5" s="96">
        <f>SUMIFS([1]اردیبهشت!$AD$2:$AD$600,[1]اردیبهشت!$N$2:$N$600,7101,[1]اردیبهشت!$D$2:$D$600,$F$5,[1]اردیبهشت!$AA$2:$AA$600,U3)</f>
        <v>0</v>
      </c>
    </row>
    <row r="6" spans="1:21" ht="36" customHeight="1" thickBot="1" x14ac:dyDescent="0.3">
      <c r="A6" s="329"/>
      <c r="B6" s="88"/>
      <c r="C6" s="310"/>
      <c r="D6" s="335"/>
      <c r="E6" s="934"/>
      <c r="F6" s="5"/>
      <c r="G6" s="6">
        <f t="shared" si="0"/>
        <v>0</v>
      </c>
      <c r="H6" s="64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352">
        <f>SUMIFS([1]اردیبهشت!$AD$2:$AD$600,[1]اردیبهشت!$N$2:$N$600,7101,[1]اردیبهشت!$D$2:$D$600,$F$6,[1]اردیبهشت!$AA$2:$AA$600,O3)</f>
        <v>0</v>
      </c>
      <c r="P6" s="175">
        <f>SUMIFS([1]اردیبهشت!$AD$2:$AD$600,[1]اردیبهشت!$N$2:$N$600,7101,[1]اردیبهشت!$D$2:$D$600,$F$6,[1]اردیبهشت!$AA$2:$AA$600,P3)</f>
        <v>0</v>
      </c>
      <c r="Q6" s="175">
        <f>SUMIFS([1]اردیبهشت!$AD$2:$AD$600,[1]اردیبهشت!$N$2:$N$600,7101,[1]اردیبهشت!$D$2:$D$600,$F$6,[1]اردیبهشت!$AA$2:$AA$600,Q3)</f>
        <v>0</v>
      </c>
      <c r="R6" s="175">
        <f>SUMIFS([1]اردیبهشت!$AD$2:$AD$600,[1]اردیبهشت!$N$2:$N$600,7101,[1]اردیبهشت!$D$2:$D$600,$F$6,[1]اردیبهشت!$AA$2:$AA$600,R3)</f>
        <v>0</v>
      </c>
      <c r="S6" s="175">
        <f>SUMIFS([1]اردیبهشت!$AD$2:$AD$600,[1]اردیبهشت!$N$2:$N$600,7101,[1]اردیبهشت!$D$2:$D$600,$F$6,[1]اردیبهشت!$AA$2:$AA$600,S3)</f>
        <v>0</v>
      </c>
      <c r="T6" s="175">
        <f>SUMIFS([1]اردیبهشت!$AD$2:$AD$600,[1]اردیبهشت!$N$2:$N$600,7101,[1]اردیبهشت!$D$2:$D$600,$F$6,[1]اردیبهشت!$AA$2:$AA$600,T3)</f>
        <v>0</v>
      </c>
      <c r="U6" s="97">
        <f>SUMIFS([1]اردیبهشت!$AD$2:$AD$600,[1]اردیبهشت!$N$2:$N$600,7101,[1]اردیبهشت!$D$2:$D$600,$F$6,[1]اردیبهشت!$AA$2:$AA$600,U3)</f>
        <v>0</v>
      </c>
    </row>
    <row r="7" spans="1:21" ht="36" customHeight="1" x14ac:dyDescent="0.25">
      <c r="A7" s="345"/>
      <c r="B7" s="216"/>
      <c r="C7" s="224"/>
      <c r="D7" s="349"/>
      <c r="E7" s="932" t="s">
        <v>15</v>
      </c>
      <c r="F7" s="20" t="s">
        <v>20</v>
      </c>
      <c r="G7" s="1">
        <f t="shared" si="0"/>
        <v>65.5</v>
      </c>
      <c r="H7" s="49">
        <f t="shared" si="1"/>
        <v>0</v>
      </c>
      <c r="I7" s="1">
        <v>0</v>
      </c>
      <c r="J7" s="1">
        <v>0</v>
      </c>
      <c r="K7" s="1">
        <v>0</v>
      </c>
      <c r="L7" s="1">
        <v>0</v>
      </c>
      <c r="M7" s="69"/>
      <c r="N7" s="338"/>
      <c r="O7" s="165">
        <f>SUMIFS([1]اردیبهشت!$AF$2:$AF$700,[1]اردیبهشت!$O$2:$O$700,7102,[1]اردیبهشت!$D$2:$D$700,$F$7,[1]اردیبهشت!$AC$2:$AC$700,O3)</f>
        <v>15</v>
      </c>
      <c r="P7" s="169">
        <f>SUMIFS([1]اردیبهشت!$AF$2:$AF$700,[1]اردیبهشت!$O$2:$O$700,7102,[1]اردیبهشت!$D$2:$D$700,$F$7,[1]اردیبهشت!$AC$2:$AC$700,P3)</f>
        <v>11</v>
      </c>
      <c r="Q7" s="169">
        <f>SUMIFS([1]اردیبهشت!$AF$2:$AF$700,[1]اردیبهشت!$O$2:$O$700,7102,[1]اردیبهشت!$D$2:$D$700,$F$7,[1]اردیبهشت!$AC$2:$AC$700,Q3)</f>
        <v>11</v>
      </c>
      <c r="R7" s="169">
        <f>SUMIFS([1]اردیبهشت!$AF$2:$AF$700,[1]اردیبهشت!$O$2:$O$700,7102,[1]اردیبهشت!$D$2:$D$700,$F$7,[1]اردیبهشت!$AC$2:$AC$700,R3)</f>
        <v>11</v>
      </c>
      <c r="S7" s="169">
        <f>SUMIFS([1]اردیبهشت!$AF$2:$AF$700,[1]اردیبهشت!$O$2:$O$700,7102,[1]اردیبهشت!$D$2:$D$700,$F$7,[1]اردیبهشت!$AC$2:$AC$700,S3)</f>
        <v>11</v>
      </c>
      <c r="T7" s="169">
        <f>SUMIFS([1]اردیبهشت!$AF$2:$AF$700,[1]اردیبهشت!$O$2:$O$700,7102,[1]اردیبهشت!$D$2:$D$700,$F$7,[1]اردیبهشت!$AC$2:$AC$700,T3)</f>
        <v>6.5</v>
      </c>
      <c r="U7" s="170">
        <f>SUMIFS([1]اردیبهشت!$AF$2:$AF$700,[1]اردیبهشت!$O$2:$O$700,7102,[1]اردیبهشت!$D$2:$D$700,$F$7,[1]اردیبهشت!$AC$2:$AC$700,U3)</f>
        <v>0</v>
      </c>
    </row>
    <row r="8" spans="1:21" ht="36" customHeight="1" x14ac:dyDescent="0.25">
      <c r="A8" s="345">
        <v>2</v>
      </c>
      <c r="B8" s="216" t="s">
        <v>14</v>
      </c>
      <c r="C8" s="308">
        <v>7102</v>
      </c>
      <c r="D8" s="2">
        <v>62.5</v>
      </c>
      <c r="E8" s="933"/>
      <c r="F8" s="349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3</v>
      </c>
      <c r="N8" s="339" t="s">
        <v>13</v>
      </c>
      <c r="O8" s="166">
        <f>SUMIFS([1]اردیبهشت!$AD$2:$AD$600,[1]اردیبهشت!$N$2:$N$600,7102,[1]اردیبهشت!$D$2:$D$600,$F$8,[1]اردیبهشت!$AA$2:$AA$600,O3)</f>
        <v>0</v>
      </c>
      <c r="P8" s="168">
        <f>SUMIFS([1]اردیبهشت!$AD$2:$AD$600,[1]اردیبهشت!$N$2:$N$600,7102,[1]اردیبهشت!$D$2:$D$600,$F$8,[1]اردیبهشت!$AA$2:$AA$600,P3)</f>
        <v>0</v>
      </c>
      <c r="Q8" s="168">
        <f>SUMIFS([1]اردیبهشت!$AD$2:$AD$600,[1]اردیبهشت!$N$2:$N$600,7102,[1]اردیبهشت!$D$2:$D$600,$F$8,[1]اردیبهشت!$AA$2:$AA$600,Q3)</f>
        <v>0</v>
      </c>
      <c r="R8" s="168">
        <f>SUMIFS([1]اردیبهشت!$AD$2:$AD$600,[1]اردیبهشت!$N$2:$N$600,7102,[1]اردیبهشت!$D$2:$D$600,$F$8,[1]اردیبهشت!$AA$2:$AA$600,R3)</f>
        <v>0</v>
      </c>
      <c r="S8" s="168">
        <f>SUMIFS([1]اردیبهشت!$AD$2:$AD$600,[1]اردیبهشت!$N$2:$N$600,7102,[1]اردیبهشت!$D$2:$D$600,$F$8,[1]اردیبهشت!$AA$2:$AA$600,S3)</f>
        <v>0</v>
      </c>
      <c r="T8" s="168">
        <f>SUMIFS([1]اردیبهشت!$AD$2:$AD$600,[1]اردیبهشت!$N$2:$N$600,7102,[1]اردیبهشت!$D$2:$D$600,$F$8,[1]اردیبهشت!$AA$2:$AA$600,T3)</f>
        <v>0</v>
      </c>
      <c r="U8" s="108">
        <f>SUMIFS([1]اردیبهشت!$AD$2:$AD$600,[1]اردیبهشت!$N$2:$N$600,7102,[1]اردیبهشت!$D$2:$D$600,$F$8,[1]اردیبهشت!$AA$2:$AA$600,U3)</f>
        <v>0</v>
      </c>
    </row>
    <row r="9" spans="1:21" ht="36" customHeight="1" thickBot="1" x14ac:dyDescent="0.3">
      <c r="A9" s="346"/>
      <c r="B9" s="43"/>
      <c r="C9" s="310"/>
      <c r="D9" s="335"/>
      <c r="E9" s="934"/>
      <c r="F9" s="5"/>
      <c r="G9" s="1">
        <f t="shared" si="0"/>
        <v>0</v>
      </c>
      <c r="H9" s="49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340"/>
      <c r="O9" s="167">
        <f>SUMIFS([1]اردیبهشت!$AD$2:$AD$600,[1]اردیبهشت!$N$2:$N$600,7102,[1]اردیبهشت!$D$2:$D$600,$F$9,[1]اردیبهشت!$AA$2:$AA$600,O3)</f>
        <v>0</v>
      </c>
      <c r="P9" s="175">
        <f>SUMIFS([1]اردیبهشت!$AD$2:$AD$600,[1]اردیبهشت!$N$2:$N$600,7102,[1]اردیبهشت!$D$2:$D$600,$F$9,[1]اردیبهشت!$AA$2:$AA$600,P3)</f>
        <v>0</v>
      </c>
      <c r="Q9" s="175">
        <f>SUMIFS([1]اردیبهشت!$AD$2:$AD$600,[1]اردیبهشت!$N$2:$N$600,7102,[1]اردیبهشت!$D$2:$D$600,$F$9,[1]اردیبهشت!$AA$2:$AA$600,Q3)</f>
        <v>0</v>
      </c>
      <c r="R9" s="175">
        <f>SUMIFS([1]اردیبهشت!$AD$2:$AD$600,[1]اردیبهشت!$N$2:$N$600,7102,[1]اردیبهشت!$D$2:$D$600,$F$9,[1]اردیبهشت!$AA$2:$AA$600,R3)</f>
        <v>0</v>
      </c>
      <c r="S9" s="175">
        <f>SUMIFS([1]اردیبهشت!$AD$2:$AD$600,[1]اردیبهشت!$N$2:$N$600,7102,[1]اردیبهشت!$D$2:$D$600,$F$9,[1]اردیبهشت!$AA$2:$AA$600,S3)</f>
        <v>0</v>
      </c>
      <c r="T9" s="175">
        <f>SUMIFS([1]اردیبهشت!$AD$2:$AD$600,[1]اردیبهشت!$N$2:$N$600,7102,[1]اردیبهشت!$D$2:$D$600,$F$9,[1]اردیبهشت!$AA$2:$AA$600,T3)</f>
        <v>0</v>
      </c>
      <c r="U9" s="114">
        <f>SUMIFS([1]اردیبهشت!$AD$2:$AD$600,[1]اردیبهشت!$N$2:$N$600,7102,[1]اردیبهشت!$D$2:$D$600,$F$9,[1]اردیبهشت!$AA$2:$AA$600,U3)</f>
        <v>0</v>
      </c>
    </row>
    <row r="10" spans="1:21" ht="36" customHeight="1" thickBot="1" x14ac:dyDescent="0.3">
      <c r="A10" s="346">
        <v>3</v>
      </c>
      <c r="B10" s="216" t="s">
        <v>14</v>
      </c>
      <c r="C10" s="336">
        <v>7103</v>
      </c>
      <c r="D10" s="2">
        <v>44</v>
      </c>
      <c r="E10" s="336" t="s">
        <v>15</v>
      </c>
      <c r="F10" s="336" t="s">
        <v>12</v>
      </c>
      <c r="G10" s="9">
        <f t="shared" si="0"/>
        <v>28.833333333333336</v>
      </c>
      <c r="H10" s="46">
        <f t="shared" si="1"/>
        <v>0</v>
      </c>
      <c r="I10" s="4">
        <v>0</v>
      </c>
      <c r="J10" s="4">
        <v>0</v>
      </c>
      <c r="K10" s="4">
        <v>0</v>
      </c>
      <c r="L10" s="4">
        <v>0</v>
      </c>
      <c r="M10" s="4">
        <f>SUM(G10:L10)-64</f>
        <v>-35.166666666666664</v>
      </c>
      <c r="N10" s="339" t="s">
        <v>40</v>
      </c>
      <c r="O10" s="176">
        <f>SUMIFS([1]اردیبهشت!$AF$2:$AF$700,[1]اردیبهشت!$O$2:$O$700,7103,[1]اردیبهشت!$D$2:$D$700,$F$10,[1]اردیبهشت!$AC$2:$AC$700,O3)</f>
        <v>2.5</v>
      </c>
      <c r="P10" s="177">
        <f>SUMIFS([1]اردیبهشت!$AF$2:$AF$700,[1]اردیبهشت!$O$2:$O$700,7103,[1]اردیبهشت!$D$2:$D$700,$F$10,[1]اردیبهشت!$AC$2:$AC$700,P3)</f>
        <v>6.333333333333333</v>
      </c>
      <c r="Q10" s="177">
        <f>SUMIFS([1]اردیبهشت!$AF$2:$AF$700,[1]اردیبهشت!$O$2:$O$700,7103,[1]اردیبهشت!$D$2:$D$700,$F$10,[1]اردیبهشت!$AC$2:$AC$700,Q3)</f>
        <v>6.333333333333333</v>
      </c>
      <c r="R10" s="177">
        <f>SUMIFS([1]اردیبهشت!$AF$2:$AF$700,[1]اردیبهشت!$O$2:$O$700,7103,[1]اردیبهشت!$D$2:$D$700,$F$10,[1]اردیبهشت!$AC$2:$AC$700,R3)</f>
        <v>7.3333333333333339</v>
      </c>
      <c r="S10" s="177">
        <f>SUMIFS([1]اردیبهشت!$AF$2:$AF$700,[1]اردیبهشت!$O$2:$O$700,7103,[1]اردیبهشت!$D$2:$D$700,$F$10,[1]اردیبهشت!$AC$2:$AC$700,S3)</f>
        <v>6.3333333333333339</v>
      </c>
      <c r="T10" s="177">
        <f>SUMIFS([1]اردیبهشت!$AF$2:$AF$700,[1]اردیبهشت!$O$2:$O$700,7103,[1]اردیبهشت!$D$2:$D$700,$F$10,[1]اردیبهشت!$AC$2:$AC$700,T3)</f>
        <v>0</v>
      </c>
      <c r="U10" s="178">
        <f>SUMIFS([1]اردیبهشت!$AF$2:$AF$700,[1]اردیبهشت!$O$2:$O$700,7103,[1]اردیبهشت!$D$2:$D$700,$F$10,[1]اردیبهشت!$AC$2:$AC$700,U3)</f>
        <v>0</v>
      </c>
    </row>
    <row r="11" spans="1:21" ht="36" customHeight="1" thickBot="1" x14ac:dyDescent="0.3">
      <c r="A11" s="345">
        <v>4</v>
      </c>
      <c r="B11" s="350" t="s">
        <v>18</v>
      </c>
      <c r="C11" s="351">
        <v>7201</v>
      </c>
      <c r="D11" s="351">
        <v>62.5</v>
      </c>
      <c r="E11" s="351" t="s">
        <v>19</v>
      </c>
      <c r="F11" s="140"/>
      <c r="G11" s="21">
        <f t="shared" si="0"/>
        <v>0</v>
      </c>
      <c r="H11" s="63">
        <f t="shared" si="1"/>
        <v>0</v>
      </c>
      <c r="I11" s="141">
        <v>0</v>
      </c>
      <c r="J11" s="141">
        <v>62</v>
      </c>
      <c r="K11" s="141">
        <v>0</v>
      </c>
      <c r="L11" s="141">
        <v>0</v>
      </c>
      <c r="M11" s="141">
        <f>SUM(G11:J11)-62</f>
        <v>0</v>
      </c>
      <c r="N11" s="142" t="s">
        <v>41</v>
      </c>
      <c r="O11" s="296"/>
      <c r="P11" s="201"/>
      <c r="Q11" s="201"/>
      <c r="R11" s="201"/>
      <c r="S11" s="201"/>
      <c r="T11" s="201"/>
      <c r="U11" s="111"/>
    </row>
    <row r="12" spans="1:21" ht="36" customHeight="1" thickBot="1" x14ac:dyDescent="0.3">
      <c r="A12" s="45">
        <v>5</v>
      </c>
      <c r="B12" s="12" t="s">
        <v>18</v>
      </c>
      <c r="C12" s="13">
        <v>7202</v>
      </c>
      <c r="D12" s="13">
        <v>62.5</v>
      </c>
      <c r="E12" s="13" t="s">
        <v>15</v>
      </c>
      <c r="F12" s="16" t="s">
        <v>46</v>
      </c>
      <c r="G12" s="14">
        <f t="shared" si="0"/>
        <v>47.166666666666664</v>
      </c>
      <c r="H12" s="48">
        <f t="shared" si="1"/>
        <v>0</v>
      </c>
      <c r="I12" s="14">
        <v>3</v>
      </c>
      <c r="J12" s="14">
        <v>0</v>
      </c>
      <c r="K12" s="14">
        <v>0</v>
      </c>
      <c r="L12" s="14">
        <v>0</v>
      </c>
      <c r="M12" s="14">
        <f>SUM(G12:L12)-62</f>
        <v>-11.833333333333336</v>
      </c>
      <c r="N12" s="271" t="s">
        <v>44</v>
      </c>
      <c r="O12" s="181">
        <f>SUMIFS([1]اردیبهشت!$AF$2:$AF$700,[1]اردیبهشت!$O$2:$O$700,7202,[1]اردیبهشت!$D$2:$D$700,$F$12,[1]اردیبهشت!$AC$2:$AC$700,O3)</f>
        <v>10.666666666666666</v>
      </c>
      <c r="P12" s="182">
        <f>SUMIFS([1]اردیبهشت!$AF$2:$AF$700,[1]اردیبهشت!$O$2:$O$700,7202,[1]اردیبهشت!$D$2:$D$700,$F$12,[1]اردیبهشت!$AC$2:$AC$700,P3)</f>
        <v>7.5</v>
      </c>
      <c r="Q12" s="182">
        <f>SUMIFS([1]اردیبهشت!$AF$2:$AF$700,[1]اردیبهشت!$O$2:$O$700,7202,[1]اردیبهشت!$D$2:$D$700,$F$12,[1]اردیبهشت!$AC$2:$AC$700,Q3)</f>
        <v>10.5</v>
      </c>
      <c r="R12" s="182">
        <f>SUMIFS([1]اردیبهشت!$AF$2:$AF$700,[1]اردیبهشت!$O$2:$O$700,7202,[1]اردیبهشت!$D$2:$D$700,$F$12,[1]اردیبهشت!$AC$2:$AC$700,R3)</f>
        <v>0</v>
      </c>
      <c r="S12" s="182">
        <f>SUMIFS([1]اردیبهشت!$AF$2:$AF$700,[1]اردیبهشت!$O$2:$O$700,7202,[1]اردیبهشت!$D$2:$D$700,$F$12,[1]اردیبهشت!$AC$2:$AC$700,S3)</f>
        <v>18.5</v>
      </c>
      <c r="T12" s="182">
        <f>SUMIFS([1]اردیبهشت!$AF$2:$AF$700,[1]اردیبهشت!$O$2:$O$700,7202,[1]اردیبهشت!$D$2:$D$700,$F$12,[1]اردیبهشت!$AC$2:$AC$700,T3)</f>
        <v>0</v>
      </c>
      <c r="U12" s="183">
        <f>SUMIFS([1]اردیبهشت!$AF$2:$AF$700,[1]اردیبهشت!$O$2:$O$700,7202,[1]اردیبهشت!$D$2:$D$700,$F$12,[1]اردیبهشت!$AC$2:$AC$700,U3)</f>
        <v>0</v>
      </c>
    </row>
    <row r="13" spans="1:21" ht="36" customHeight="1" thickBot="1" x14ac:dyDescent="0.3">
      <c r="A13" s="344">
        <v>6</v>
      </c>
      <c r="B13" s="343" t="s">
        <v>18</v>
      </c>
      <c r="C13" s="336">
        <v>7203</v>
      </c>
      <c r="D13" s="336">
        <v>62.5</v>
      </c>
      <c r="E13" s="336" t="s">
        <v>15</v>
      </c>
      <c r="F13" s="16" t="s">
        <v>45</v>
      </c>
      <c r="G13" s="4">
        <f t="shared" si="0"/>
        <v>58.833333333333329</v>
      </c>
      <c r="H13" s="67">
        <f t="shared" si="1"/>
        <v>0</v>
      </c>
      <c r="I13" s="4">
        <v>0</v>
      </c>
      <c r="J13" s="4">
        <v>0</v>
      </c>
      <c r="K13" s="4">
        <v>0</v>
      </c>
      <c r="L13" s="4">
        <v>0</v>
      </c>
      <c r="M13" s="4">
        <f>(G13+H13+I13+J13+K13)-D13</f>
        <v>-3.6666666666666714</v>
      </c>
      <c r="N13" s="339"/>
      <c r="O13" s="353">
        <f>SUMIFS([1]اردیبهشت!$AF$2:$AF$700,[1]اردیبهشت!$O$2:$O$700,7203,[1]اردیبهشت!$D$2:$D$700,$F$13,[1]اردیبهشت!$AC$2:$AC$700,O3)</f>
        <v>11</v>
      </c>
      <c r="P13" s="353">
        <f>SUMIFS([1]اردیبهشت!$AF$2:$AF$700,[1]اردیبهشت!$O$2:$O$700,7203,[1]اردیبهشت!$D$2:$D$700,$F$13,[1]اردیبهشت!$AC$2:$AC$700,P3)</f>
        <v>11</v>
      </c>
      <c r="Q13" s="353">
        <f>SUMIFS([1]اردیبهشت!$AF$2:$AF$700,[1]اردیبهشت!$O$2:$O$700,7203,[1]اردیبهشت!$D$2:$D$700,$F$13,[1]اردیبهشت!$AC$2:$AC$700,Q3)</f>
        <v>7.333333333333333</v>
      </c>
      <c r="R13" s="353">
        <f>SUMIFS([1]اردیبهشت!$AF$2:$AF$700,[1]اردیبهشت!$O$2:$O$700,7203,[1]اردیبهشت!$D$2:$D$700,$F$13,[1]اردیبهشت!$AC$2:$AC$700,R3)</f>
        <v>11</v>
      </c>
      <c r="S13" s="353">
        <f>SUMIFS([1]اردیبهشت!$AF$2:$AF$700,[1]اردیبهشت!$O$2:$O$700,7203,[1]اردیبهشت!$D$2:$D$700,$F$13,[1]اردیبهشت!$AC$2:$AC$700,S3)</f>
        <v>18.5</v>
      </c>
      <c r="T13" s="353">
        <f>SUMIFS([1]اردیبهشت!$AF$2:$AF$700,[1]اردیبهشت!$O$2:$O$700,7203,[1]اردیبهشت!$D$2:$D$700,$F$13,[1]اردیبهشت!$AC$2:$AC$700,T3)</f>
        <v>0</v>
      </c>
      <c r="U13" s="353">
        <f>SUMIFS([1]اردیبهشت!$AF$2:$AF$700,[1]اردیبهشت!$O$2:$O$700,7203,[1]اردیبهشت!$D$2:$D$700,$F$13,[1]اردیبهشت!$AC$2:$AC$700,U3)</f>
        <v>0</v>
      </c>
    </row>
    <row r="14" spans="1:21" ht="36" customHeight="1" thickBot="1" x14ac:dyDescent="0.3">
      <c r="A14" s="45">
        <v>7</v>
      </c>
      <c r="B14" s="12" t="s">
        <v>18</v>
      </c>
      <c r="C14" s="13">
        <v>7204</v>
      </c>
      <c r="D14" s="13">
        <v>62.5</v>
      </c>
      <c r="E14" s="13" t="s">
        <v>15</v>
      </c>
      <c r="F14" s="16"/>
      <c r="G14" s="14">
        <f t="shared" si="0"/>
        <v>0</v>
      </c>
      <c r="H14" s="48">
        <f t="shared" si="1"/>
        <v>0</v>
      </c>
      <c r="I14" s="14">
        <v>0</v>
      </c>
      <c r="J14" s="14">
        <v>0</v>
      </c>
      <c r="K14" s="14">
        <v>0</v>
      </c>
      <c r="L14" s="14">
        <v>0</v>
      </c>
      <c r="M14" s="14">
        <f>SUM(G14:J14)-62</f>
        <v>-62</v>
      </c>
      <c r="N14" s="61"/>
      <c r="O14" s="295">
        <f>SUMIFS([1]اردیبهشت!$AF$2:$AF$700,[1]اردیبهشت!$O$2:$O$700,7204,[1]اردیبهشت!$D$2:$D$700,$F$14,[1]اردیبهشت!$AC$2:$AC$700,O3)</f>
        <v>0</v>
      </c>
      <c r="P14" s="295">
        <f>SUMIFS([1]اردیبهشت!$AF$2:$AF$700,[1]اردیبهشت!$O$2:$O$700,7204,[1]اردیبهشت!$D$2:$D$700,$F$14,[1]اردیبهشت!$AC$2:$AC$700,P3)</f>
        <v>0</v>
      </c>
      <c r="Q14" s="295">
        <f>SUMIFS([1]اردیبهشت!$AF$2:$AF$700,[1]اردیبهشت!$O$2:$O$700,7204,[1]اردیبهشت!$D$2:$D$700,$F$14,[1]اردیبهشت!$AC$2:$AC$700,Q3)</f>
        <v>0</v>
      </c>
      <c r="R14" s="295">
        <f>SUMIFS([1]اردیبهشت!$AF$2:$AF$700,[1]اردیبهشت!$O$2:$O$700,7204,[1]اردیبهشت!$D$2:$D$700,$F$14,[1]اردیبهشت!$AC$2:$AC$700,R3)</f>
        <v>0</v>
      </c>
      <c r="S14" s="295">
        <f>SUMIFS([1]اردیبهشت!$AF$2:$AF$700,[1]اردیبهشت!$O$2:$O$700,7204,[1]اردیبهشت!$D$2:$D$700,$F$14,[1]اردیبهشت!$AC$2:$AC$700,S3)</f>
        <v>0</v>
      </c>
      <c r="T14" s="295">
        <f>SUMIFS([1]اردیبهشت!$AF$2:$AF$700,[1]اردیبهشت!$O$2:$O$700,7204,[1]اردیبهشت!$D$2:$D$700,$F$14,[1]اردیبهشت!$AC$2:$AC$700,T3)</f>
        <v>0</v>
      </c>
      <c r="U14" s="295">
        <f>SUMIFS([1]اردیبهشت!$AF$2:$AF$700,[1]اردیبهشت!$O$2:$O$700,7204,[1]اردیبهشت!$D$2:$D$700,$F$14,[1]اردیبهشت!$AC$2:$AC$700,U3)</f>
        <v>0</v>
      </c>
    </row>
    <row r="15" spans="1:21" ht="36" customHeight="1" thickBot="1" x14ac:dyDescent="0.3">
      <c r="A15" s="45">
        <v>8</v>
      </c>
      <c r="B15" s="12" t="s">
        <v>21</v>
      </c>
      <c r="C15" s="13">
        <v>7301</v>
      </c>
      <c r="D15" s="13">
        <v>62.5</v>
      </c>
      <c r="E15" s="13" t="s">
        <v>15</v>
      </c>
      <c r="F15" s="19" t="s">
        <v>22</v>
      </c>
      <c r="G15" s="14">
        <f t="shared" si="0"/>
        <v>60.5</v>
      </c>
      <c r="H15" s="48">
        <f t="shared" si="1"/>
        <v>0</v>
      </c>
      <c r="I15" s="14">
        <v>2</v>
      </c>
      <c r="J15" s="14">
        <v>0</v>
      </c>
      <c r="K15" s="14">
        <v>0</v>
      </c>
      <c r="L15" s="14">
        <v>0</v>
      </c>
      <c r="M15" s="14">
        <f>SUM(G15:L15)-D15</f>
        <v>0</v>
      </c>
      <c r="N15" s="15" t="s">
        <v>29</v>
      </c>
      <c r="O15" s="354">
        <f>SUMIFS([1]اردیبهشت!$AF$2:$AF$700,[1]اردیبهشت!$O$2:$O$700,7301,[1]اردیبهشت!$D$2:$D$700,$F$15,[1]اردیبهشت!$AC$2:$AC$700,O3)</f>
        <v>11</v>
      </c>
      <c r="P15" s="354">
        <f>SUMIFS([1]اردیبهشت!$AF$2:$AF$700,[1]اردیبهشت!$O$2:$O$700,7301,[1]اردیبهشت!$D$2:$D$700,$F$15,[1]اردیبهشت!$AC$2:$AC$700,P3)</f>
        <v>10.5</v>
      </c>
      <c r="Q15" s="354">
        <f>SUMIFS([1]اردیبهشت!$AF$2:$AF$700,[1]اردیبهشت!$O$2:$O$700,7301,[1]اردیبهشت!$D$2:$D$700,$F$15,[1]اردیبهشت!$AC$2:$AC$700,Q3)</f>
        <v>11</v>
      </c>
      <c r="R15" s="354">
        <f>SUMIFS([1]اردیبهشت!$AF$2:$AF$700,[1]اردیبهشت!$O$2:$O$700,7301,[1]اردیبهشت!$D$2:$D$700,$F$15,[1]اردیبهشت!$AC$2:$AC$700,R3)</f>
        <v>11</v>
      </c>
      <c r="S15" s="354">
        <f>SUMIFS([1]اردیبهشت!$AF$2:$AF$700,[1]اردیبهشت!$O$2:$O$700,7301,[1]اردیبهشت!$D$2:$D$700,$F$15,[1]اردیبهشت!$AC$2:$AC$700,S3)</f>
        <v>11</v>
      </c>
      <c r="T15" s="354">
        <f>SUMIFS([1]اردیبهشت!$AF$2:$AF$700,[1]اردیبهشت!$O$2:$O$700,7301,[1]اردیبهشت!$D$2:$D$700,$F$15,[1]اردیبهشت!$AC$2:$AC$700,T3)</f>
        <v>6</v>
      </c>
      <c r="U15" s="354">
        <f>SUMIFS([1]اردیبهشت!$AF$2:$AF$700,[1]اردیبهشت!$O$2:$O$700,7301,[1]اردیبهشت!$D$2:$D$700,$F$15,[1]اردیبهشت!$AC$2:$AC$700,U3)</f>
        <v>0</v>
      </c>
    </row>
    <row r="16" spans="1:21" ht="36" customHeight="1" x14ac:dyDescent="0.25">
      <c r="A16" s="345"/>
      <c r="B16" s="216"/>
      <c r="C16" s="224"/>
      <c r="D16" s="349"/>
      <c r="E16" s="932" t="s">
        <v>15</v>
      </c>
      <c r="F16" s="22" t="s">
        <v>17</v>
      </c>
      <c r="G16" s="1">
        <f t="shared" si="0"/>
        <v>57</v>
      </c>
      <c r="H16" s="49">
        <v>5</v>
      </c>
      <c r="I16" s="1">
        <v>1</v>
      </c>
      <c r="J16" s="1">
        <v>0</v>
      </c>
      <c r="K16" s="1">
        <v>0</v>
      </c>
      <c r="L16" s="1">
        <v>0</v>
      </c>
      <c r="M16" s="4"/>
      <c r="N16" s="928" t="s">
        <v>44</v>
      </c>
      <c r="O16" s="165">
        <f>SUMIFS([1]اردیبهشت!$AF$2:$AF$700,[1]اردیبهشت!$O$2:$O$700,7302,[1]اردیبهشت!$D$2:$D$700,$F$16,[1]اردیبهشت!$AC$2:$AC$700,O3)</f>
        <v>9</v>
      </c>
      <c r="P16" s="169">
        <f>SUMIFS([1]اردیبهشت!$AF$2:$AF$700,[1]اردیبهشت!$O$2:$O$700,7302,[1]اردیبهشت!$D$2:$D$700,$F$16,[1]اردیبهشت!$AC$2:$AC$700,P3)</f>
        <v>11</v>
      </c>
      <c r="Q16" s="169">
        <f>SUMIFS([1]اردیبهشت!$AF$2:$AF$700,[1]اردیبهشت!$O$2:$O$700,7302,[1]اردیبهشت!$D$2:$D$700,$F$16,[1]اردیبهشت!$AC$2:$AC$700,Q3)</f>
        <v>10</v>
      </c>
      <c r="R16" s="169">
        <f>SUMIFS([1]اردیبهشت!$AF$2:$AF$700,[1]اردیبهشت!$O$2:$O$700,7302,[1]اردیبهشت!$D$2:$D$700,$F$16,[1]اردیبهشت!$AC$2:$AC$700,R3)</f>
        <v>11</v>
      </c>
      <c r="S16" s="169">
        <f>SUMIFS([1]اردیبهشت!$AF$2:$AF$700,[1]اردیبهشت!$O$2:$O$700,7302,[1]اردیبهشت!$D$2:$D$700,$F$16,[1]اردیبهشت!$AC$2:$AC$700,S3)</f>
        <v>10</v>
      </c>
      <c r="T16" s="169">
        <f>SUMIFS([1]اردیبهشت!$AF$2:$AF$700,[1]اردیبهشت!$O$2:$O$700,7302,[1]اردیبهشت!$D$2:$D$700,$F$16,[1]اردیبهشت!$AC$2:$AC$700,T3)</f>
        <v>6</v>
      </c>
      <c r="U16" s="170">
        <f>SUMIFS([1]اردیبهشت!$AF$2:$AF$700,[1]اردیبهشت!$O$2:$O$700,7302,[1]اردیبهشت!$D$2:$D$700,$F$16,[1]اردیبهشت!$AC$2:$AC$700,U3)</f>
        <v>5</v>
      </c>
    </row>
    <row r="17" spans="1:21" ht="36" customHeight="1" x14ac:dyDescent="0.25">
      <c r="A17" s="345">
        <v>9</v>
      </c>
      <c r="B17" s="216" t="s">
        <v>21</v>
      </c>
      <c r="C17" s="308">
        <v>7302</v>
      </c>
      <c r="D17" s="336">
        <v>62.5</v>
      </c>
      <c r="E17" s="933"/>
      <c r="F17" s="22"/>
      <c r="G17" s="3">
        <f t="shared" si="0"/>
        <v>0</v>
      </c>
      <c r="H17" s="47">
        <f t="shared" si="1"/>
        <v>0</v>
      </c>
      <c r="I17" s="3">
        <v>0</v>
      </c>
      <c r="J17" s="3">
        <v>0</v>
      </c>
      <c r="K17" s="3">
        <v>0</v>
      </c>
      <c r="L17" s="3">
        <v>0</v>
      </c>
      <c r="M17" s="4">
        <f>SUM(G16:L18)-D17</f>
        <v>0.5</v>
      </c>
      <c r="N17" s="929"/>
      <c r="O17" s="166">
        <f>SUMIFS([1]اردیبهشت!$AD$2:$AD$600,[1]اردیبهشت!$N$2:$N$600,$C$17,[1]اردیبهشت!$D$2:$D$600,$F$17,[1]اردیبهشت!$AA$2:$AA$600,O3)</f>
        <v>0</v>
      </c>
      <c r="P17" s="168">
        <f>SUMIFS([1]اردیبهشت!$AD$2:$AD$600,[1]اردیبهشت!$N$2:$N$600,$C$17,[1]اردیبهشت!$D$2:$D$600,$F$17,[1]اردیبهشت!$AA$2:$AA$600,P3)</f>
        <v>0</v>
      </c>
      <c r="Q17" s="168">
        <f>SUMIFS([1]اردیبهشت!$AD$2:$AD$600,[1]اردیبهشت!$N$2:$N$600,$C$17,[1]اردیبهشت!$D$2:$D$600,$F$17,[1]اردیبهشت!$AA$2:$AA$600,Q3)</f>
        <v>0</v>
      </c>
      <c r="R17" s="168">
        <f>SUMIFS([1]اردیبهشت!$AD$2:$AD$600,[1]اردیبهشت!$N$2:$N$600,$C$17,[1]اردیبهشت!$D$2:$D$600,$F$17,[1]اردیبهشت!$AA$2:$AA$600,R3)</f>
        <v>0</v>
      </c>
      <c r="S17" s="168">
        <f>SUMIFS([1]اردیبهشت!$AD$2:$AD$600,[1]اردیبهشت!$N$2:$N$600,$C$17,[1]اردیبهشت!$D$2:$D$600,$F$17,[1]اردیبهشت!$AA$2:$AA$600,S3)</f>
        <v>0</v>
      </c>
      <c r="T17" s="168">
        <f>SUMIFS([1]اردیبهشت!$AD$2:$AD$600,[1]اردیبهشت!$N$2:$N$600,$C$17,[1]اردیبهشت!$D$2:$D$600,$F$17,[1]اردیبهشت!$AA$2:$AA$600,T3)</f>
        <v>0</v>
      </c>
      <c r="U17" s="108">
        <f>SUMIFS([1]اردیبهشت!$AD$2:$AD$600,[1]اردیبهشت!$N$2:$N$600,$C$17,[1]اردیبهشت!$D$2:$D$600,$F$17,[1]اردیبهشت!$AA$2:$AA$600,U3)</f>
        <v>0</v>
      </c>
    </row>
    <row r="18" spans="1:21" ht="36" customHeight="1" thickBot="1" x14ac:dyDescent="0.3">
      <c r="A18" s="346"/>
      <c r="B18" s="43"/>
      <c r="C18" s="310"/>
      <c r="D18" s="335"/>
      <c r="E18" s="934"/>
      <c r="F18" s="5"/>
      <c r="G18" s="1">
        <f t="shared" si="0"/>
        <v>0</v>
      </c>
      <c r="H18" s="49">
        <f t="shared" si="1"/>
        <v>0</v>
      </c>
      <c r="I18" s="7">
        <v>0</v>
      </c>
      <c r="J18" s="7">
        <v>0</v>
      </c>
      <c r="K18" s="6">
        <v>0</v>
      </c>
      <c r="L18" s="6">
        <v>0</v>
      </c>
      <c r="M18" s="6"/>
      <c r="N18" s="930"/>
      <c r="O18" s="171">
        <f>SUMIFS([1]اردیبهشت!$AD$2:$AD$600,[1]اردیبهشت!$N$2:$N$600,$C$17,[1]اردیبهشت!$D$2:$D$600,$F$17,[1]اردیبهشت!$AA$2:$AA$600,O4)</f>
        <v>0</v>
      </c>
      <c r="P18" s="172">
        <f>SUMIFS([1]اردیبهشت!$AD$2:$AD$600,[1]اردیبهشت!$N$2:$N$600,$C$17,[1]اردیبهشت!$D$2:$D$600,$F$17,[1]اردیبهشت!$AA$2:$AA$600,P4)</f>
        <v>0</v>
      </c>
      <c r="Q18" s="172">
        <f>SUMIFS([1]اردیبهشت!$AD$2:$AD$600,[1]اردیبهشت!$N$2:$N$600,$C$17,[1]اردیبهشت!$D$2:$D$600,$F$17,[1]اردیبهشت!$AA$2:$AA$600,Q4)</f>
        <v>0</v>
      </c>
      <c r="R18" s="172">
        <f>SUMIFS([1]اردیبهشت!$AD$2:$AD$600,[1]اردیبهشت!$N$2:$N$600,$C$17,[1]اردیبهشت!$D$2:$D$600,$F$17,[1]اردیبهشت!$AA$2:$AA$600,R4)</f>
        <v>0</v>
      </c>
      <c r="S18" s="172">
        <f>SUMIFS([1]اردیبهشت!$AD$2:$AD$600,[1]اردیبهشت!$N$2:$N$600,$C$17,[1]اردیبهشت!$D$2:$D$600,$F$17,[1]اردیبهشت!$AA$2:$AA$600,S4)</f>
        <v>0</v>
      </c>
      <c r="T18" s="172">
        <f>SUMIFS([1]اردیبهشت!$AD$2:$AD$600,[1]اردیبهشت!$N$2:$N$600,$C$17,[1]اردیبهشت!$D$2:$D$600,$F$17,[1]اردیبهشت!$AA$2:$AA$600,T4)</f>
        <v>0</v>
      </c>
      <c r="U18" s="109">
        <f>SUMIFS([1]اردیبهشت!$AD$2:$AD$600,[1]اردیبهشت!$N$2:$N$600,$C$17,[1]اردیبهشت!$D$2:$D$600,$F$17,[1]اردیبهشت!$AA$2:$AA$600,U4)</f>
        <v>0</v>
      </c>
    </row>
    <row r="19" spans="1:21" ht="36" customHeight="1" thickBot="1" x14ac:dyDescent="0.3">
      <c r="A19" s="147">
        <v>10</v>
      </c>
      <c r="B19" s="348" t="s">
        <v>21</v>
      </c>
      <c r="C19" s="341">
        <v>7303</v>
      </c>
      <c r="D19" s="341">
        <v>44</v>
      </c>
      <c r="E19" s="341" t="s">
        <v>19</v>
      </c>
      <c r="F19" s="144" t="s">
        <v>23</v>
      </c>
      <c r="G19" s="85">
        <f t="shared" si="0"/>
        <v>28.95</v>
      </c>
      <c r="H19" s="86">
        <f t="shared" si="1"/>
        <v>0</v>
      </c>
      <c r="I19" s="89">
        <v>15.5</v>
      </c>
      <c r="J19" s="89">
        <v>0</v>
      </c>
      <c r="K19" s="89">
        <v>0</v>
      </c>
      <c r="L19" s="89">
        <v>0</v>
      </c>
      <c r="M19" s="89">
        <f>SUM(G19:L19)-44</f>
        <v>0.45000000000000284</v>
      </c>
      <c r="N19" s="305" t="s">
        <v>29</v>
      </c>
      <c r="O19" s="355">
        <f>SUMIFS([1]اردیبهشت!$AF$2:$AF$700,[1]اردیبهشت!$O$2:$O$700,7303,[1]اردیبهشت!$D$2:$D$700,$F$19,[1]اردیبهشت!$AC$2:$AC$700,O3)</f>
        <v>5.5</v>
      </c>
      <c r="P19" s="355">
        <f>SUMIFS([1]اردیبهشت!$AF$2:$AF$700,[1]اردیبهشت!$O$2:$O$700,7303,[1]اردیبهشت!$D$2:$D$700,$F$19,[1]اردیبهشت!$AC$2:$AC$700,P3)</f>
        <v>3.5</v>
      </c>
      <c r="Q19" s="355">
        <f>SUMIFS([1]اردیبهشت!$AF$2:$AF$700,[1]اردیبهشت!$O$2:$O$700,7303,[1]اردیبهشت!$D$2:$D$700,$F$19,[1]اردیبهشت!$AC$2:$AC$700,Q3)</f>
        <v>7.5</v>
      </c>
      <c r="R19" s="355">
        <f>SUMIFS([1]اردیبهشت!$AF$2:$AF$700,[1]اردیبهشت!$O$2:$O$700,7303,[1]اردیبهشت!$D$2:$D$700,$F$19,[1]اردیبهشت!$AC$2:$AC$700,R3)</f>
        <v>4.95</v>
      </c>
      <c r="S19" s="355">
        <f>SUMIFS([1]اردیبهشت!$AF$2:$AF$700,[1]اردیبهشت!$O$2:$O$700,7303,[1]اردیبهشت!$D$2:$D$700,$F$19,[1]اردیبهشت!$AC$2:$AC$700,S3)</f>
        <v>7.5</v>
      </c>
      <c r="T19" s="355">
        <f>SUMIFS([1]اردیبهشت!$AF$2:$AF$700,[1]اردیبهشت!$O$2:$O$700,7303,[1]اردیبهشت!$D$2:$D$700,$F$19,[1]اردیبهشت!$AC$2:$AC$700,T3)</f>
        <v>0</v>
      </c>
      <c r="U19" s="355">
        <f>SUMIFS([1]اردیبهشت!$AF$2:$AF$700,[1]اردیبهشت!$O$2:$O$700,7303,[1]اردیبهشت!$D$2:$D$700,$F$19,[1]اردیبهشت!$AC$2:$AC$700,U3)</f>
        <v>0</v>
      </c>
    </row>
    <row r="20" spans="1:21" ht="36" customHeight="1" x14ac:dyDescent="0.25">
      <c r="A20" s="344"/>
      <c r="B20" s="42"/>
      <c r="C20" s="307"/>
      <c r="D20" s="332"/>
      <c r="E20" s="932" t="s">
        <v>15</v>
      </c>
      <c r="F20" s="20" t="s">
        <v>16</v>
      </c>
      <c r="G20" s="9">
        <f t="shared" si="0"/>
        <v>14.5</v>
      </c>
      <c r="H20" s="46">
        <f t="shared" si="1"/>
        <v>0</v>
      </c>
      <c r="I20" s="9">
        <v>0</v>
      </c>
      <c r="J20" s="9">
        <v>0</v>
      </c>
      <c r="K20" s="9">
        <v>0</v>
      </c>
      <c r="L20" s="9">
        <v>0</v>
      </c>
      <c r="M20" s="21"/>
      <c r="N20" s="931" t="s">
        <v>53</v>
      </c>
      <c r="O20" s="292">
        <f>SUMIFS([1]اردیبهشت!$AF$2:$AF$700,[1]اردیبهشت!$O$2:$O$700,7401,[1]اردیبهشت!$D$2:$D$700,$F$20,[1]اردیبهشت!$AC$2:$AC$700,O3)</f>
        <v>3</v>
      </c>
      <c r="P20" s="292">
        <f>SUMIFS([1]اردیبهشت!$AF$2:$AF$700,[1]اردیبهشت!$O$2:$O$700,7401,[1]اردیبهشت!$D$2:$D$700,$F$20,[1]اردیبهشت!$AC$2:$AC$700,P3)</f>
        <v>3.5</v>
      </c>
      <c r="Q20" s="292">
        <f>SUMIFS([1]اردیبهشت!$AF$2:$AF$700,[1]اردیبهشت!$O$2:$O$700,7401,[1]اردیبهشت!$D$2:$D$700,$F$20,[1]اردیبهشت!$AC$2:$AC$700,Q3)</f>
        <v>2</v>
      </c>
      <c r="R20" s="292">
        <f>SUMIFS([1]اردیبهشت!$AF$2:$AF$700,[1]اردیبهشت!$O$2:$O$700,7401,[1]اردیبهشت!$D$2:$D$700,$F$20,[1]اردیبهشت!$AC$2:$AC$700,R3)</f>
        <v>3.5</v>
      </c>
      <c r="S20" s="292">
        <f>SUMIFS([1]اردیبهشت!$AF$2:$AF$700,[1]اردیبهشت!$O$2:$O$700,7401,[1]اردیبهشت!$D$2:$D$700,$F$20,[1]اردیبهشت!$AC$2:$AC$700,S3)</f>
        <v>2.5</v>
      </c>
      <c r="T20" s="292">
        <f>SUMIFS([1]اردیبهشت!$AF$2:$AF$700,[1]اردیبهشت!$O$2:$O$700,7401,[1]اردیبهشت!$D$2:$D$700,$F$20,[1]اردیبهشت!$AC$2:$AC$700,T3)</f>
        <v>0</v>
      </c>
      <c r="U20" s="292">
        <f>SUMIFS([1]اردیبهشت!$AF$2:$AF$700,[1]اردیبهشت!$O$2:$O$700,7401,[1]اردیبهشت!$D$2:$D$700,$F$20,[1]اردیبهشت!$AC$2:$AC$700,U3)</f>
        <v>0</v>
      </c>
    </row>
    <row r="21" spans="1:21" ht="36" customHeight="1" x14ac:dyDescent="0.25">
      <c r="A21" s="345">
        <v>11</v>
      </c>
      <c r="B21" s="216" t="s">
        <v>24</v>
      </c>
      <c r="C21" s="308">
        <v>7401</v>
      </c>
      <c r="D21" s="336">
        <v>62.5</v>
      </c>
      <c r="E21" s="933"/>
      <c r="F21" s="22" t="s">
        <v>54</v>
      </c>
      <c r="G21" s="3">
        <f t="shared" si="0"/>
        <v>5.5</v>
      </c>
      <c r="H21" s="47">
        <f t="shared" si="1"/>
        <v>4</v>
      </c>
      <c r="I21" s="3">
        <v>0</v>
      </c>
      <c r="J21" s="3">
        <v>0</v>
      </c>
      <c r="K21" s="3">
        <v>0</v>
      </c>
      <c r="L21" s="3">
        <v>0</v>
      </c>
      <c r="M21" s="1">
        <f>SUM(G20:L22)-D21</f>
        <v>-38.5</v>
      </c>
      <c r="N21" s="929"/>
      <c r="O21" s="293">
        <f>SUMIFS([1]اردیبهشت!$AF$2:$AF$700,[1]اردیبهشت!$O$2:$O$700,7401,[1]اردیبهشت!$D$2:$D$700,$F$21,[1]اردیبهشت!$AC$2:$AC$700,O3)</f>
        <v>0</v>
      </c>
      <c r="P21" s="293">
        <f>SUMIFS([1]اردیبهشت!$AF$2:$AF$700,[1]اردیبهشت!$O$2:$O$700,7401,[1]اردیبهشت!$D$2:$D$700,$F$21,[1]اردیبهشت!$AC$2:$AC$700,P3)</f>
        <v>0</v>
      </c>
      <c r="Q21" s="293">
        <f>SUMIFS([1]اردیبهشت!$AF$2:$AF$700,[1]اردیبهشت!$O$2:$O$700,7401,[1]اردیبهشت!$D$2:$D$700,$F$21,[1]اردیبهشت!$AC$2:$AC$700,Q3)</f>
        <v>3</v>
      </c>
      <c r="R21" s="293">
        <f>SUMIFS([1]اردیبهشت!$AF$2:$AF$700,[1]اردیبهشت!$O$2:$O$700,7401,[1]اردیبهشت!$D$2:$D$700,$F$21,[1]اردیبهشت!$AC$2:$AC$700,R3)</f>
        <v>0</v>
      </c>
      <c r="S21" s="293">
        <f>SUMIFS([1]اردیبهشت!$AF$2:$AF$700,[1]اردیبهشت!$O$2:$O$700,7401,[1]اردیبهشت!$D$2:$D$700,$F$21,[1]اردیبهشت!$AC$2:$AC$700,S3)</f>
        <v>2.5</v>
      </c>
      <c r="T21" s="293">
        <f>SUMIFS([1]اردیبهشت!$AF$2:$AF$700,[1]اردیبهشت!$O$2:$O$700,7401,[1]اردیبهشت!$D$2:$D$700,$F$21,[1]اردیبهشت!$AC$2:$AC$700,T3)</f>
        <v>0</v>
      </c>
      <c r="U21" s="293">
        <f>SUMIFS([1]اردیبهشت!$AF$2:$AF$700,[1]اردیبهشت!$O$2:$O$700,7401,[1]اردیبهشت!$D$2:$D$700,$F$21,[1]اردیبهشت!$AC$2:$AC$700,U3)</f>
        <v>4</v>
      </c>
    </row>
    <row r="22" spans="1:21" ht="36" customHeight="1" thickBot="1" x14ac:dyDescent="0.3">
      <c r="A22" s="346"/>
      <c r="B22" s="43" t="s">
        <v>24</v>
      </c>
      <c r="C22" s="310"/>
      <c r="D22" s="336"/>
      <c r="E22" s="934"/>
      <c r="F22" s="5"/>
      <c r="G22" s="1">
        <f t="shared" si="0"/>
        <v>0</v>
      </c>
      <c r="H22" s="49">
        <f t="shared" si="1"/>
        <v>0</v>
      </c>
      <c r="I22" s="7">
        <v>0</v>
      </c>
      <c r="J22" s="7">
        <v>0</v>
      </c>
      <c r="K22" s="6">
        <v>0</v>
      </c>
      <c r="L22" s="6">
        <v>0</v>
      </c>
      <c r="M22" s="6"/>
      <c r="N22" s="930"/>
      <c r="O22" s="294">
        <f>SUMIFS([1]اردیبهشت!$AD$2:$AD$600,[1]اردیبهشت!$N$2:$N$600,$C$22,[1]اردیبهشت!$D$2:$D$600,$F$22,[1]اردیبهشت!$AA$2:$AA$600,O3)</f>
        <v>0</v>
      </c>
      <c r="P22" s="171">
        <f>SUMIFS([1]اردیبهشت!$AD$2:$AD$600,[1]اردیبهشت!$N$2:$N$600,$C$22,[1]اردیبهشت!$D$2:$D$600,$F$22,[1]اردیبهشت!$AA$2:$AA$600,P3)</f>
        <v>0</v>
      </c>
      <c r="Q22" s="171">
        <f>SUMIFS([1]اردیبهشت!$AD$2:$AD$600,[1]اردیبهشت!$N$2:$N$600,$C$22,[1]اردیبهشت!$D$2:$D$600,$F$22,[1]اردیبهشت!$AA$2:$AA$600,Q3)</f>
        <v>0</v>
      </c>
      <c r="R22" s="171">
        <f>SUMIFS([1]اردیبهشت!$AD$2:$AD$600,[1]اردیبهشت!$N$2:$N$600,$C$22,[1]اردیبهشت!$D$2:$D$600,$F$22,[1]اردیبهشت!$AA$2:$AA$600,R3)</f>
        <v>0</v>
      </c>
      <c r="S22" s="171">
        <f>SUMIFS([1]اردیبهشت!$AD$2:$AD$600,[1]اردیبهشت!$N$2:$N$600,$C$22,[1]اردیبهشت!$D$2:$D$600,$F$22,[1]اردیبهشت!$AA$2:$AA$600,S3)</f>
        <v>0</v>
      </c>
      <c r="T22" s="171">
        <f>SUMIFS([1]اردیبهشت!$AD$2:$AD$600,[1]اردیبهشت!$N$2:$N$600,$C$22,[1]اردیبهشت!$D$2:$D$600,$F$22,[1]اردیبهشت!$AA$2:$AA$600,T3)</f>
        <v>0</v>
      </c>
      <c r="U22" s="164">
        <f>SUMIFS([1]اردیبهشت!$AD$2:$AD$600,[1]اردیبهشت!$N$2:$N$600,$C$22,[1]اردیبهشت!$D$2:$D$600,$F$22,[1]اردیبهشت!$AA$2:$AA$600,U3)</f>
        <v>0</v>
      </c>
    </row>
    <row r="23" spans="1:21" ht="36" customHeight="1" x14ac:dyDescent="0.25">
      <c r="A23" s="345"/>
      <c r="B23" s="307"/>
      <c r="C23" s="332"/>
      <c r="D23" s="332"/>
      <c r="E23" s="932" t="s">
        <v>19</v>
      </c>
      <c r="F23" s="20"/>
      <c r="G23" s="9">
        <f t="shared" si="0"/>
        <v>0</v>
      </c>
      <c r="H23" s="46">
        <f t="shared" si="1"/>
        <v>0</v>
      </c>
      <c r="I23" s="9">
        <v>0</v>
      </c>
      <c r="J23" s="9">
        <v>0</v>
      </c>
      <c r="K23" s="9">
        <v>0</v>
      </c>
      <c r="L23" s="9">
        <v>0</v>
      </c>
      <c r="M23" s="21"/>
      <c r="N23" s="931" t="s">
        <v>28</v>
      </c>
      <c r="O23" s="292">
        <f>SUMIFS([1]اردیبهشت!$AD$2:$AD$600,[1]اردیبهشت!$N$2:$N$600,$C$24,[1]اردیبهشت!$D$2:$D$600,$F$23,[1]اردیبهشت!$AA$2:$AA$600,O3)</f>
        <v>0</v>
      </c>
      <c r="P23" s="165">
        <f>SUMIFS([1]اردیبهشت!$AD$2:$AD$600,[1]اردیبهشت!$N$2:$N$600,$C$24,[1]اردیبهشت!$D$2:$D$600,$F$23,[1]اردیبهشت!$AA$2:$AA$600,P3)</f>
        <v>0</v>
      </c>
      <c r="Q23" s="165">
        <f>SUMIFS([1]اردیبهشت!$AD$2:$AD$600,[1]اردیبهشت!$N$2:$N$600,$C$24,[1]اردیبهشت!$D$2:$D$600,$F$23,[1]اردیبهشت!$AA$2:$AA$600,Q3)</f>
        <v>0</v>
      </c>
      <c r="R23" s="165">
        <f>SUMIFS([1]اردیبهشت!$AD$2:$AD$600,[1]اردیبهشت!$N$2:$N$600,$C$24,[1]اردیبهشت!$D$2:$D$600,$F$23,[1]اردیبهشت!$AA$2:$AA$600,R3)</f>
        <v>0</v>
      </c>
      <c r="S23" s="165">
        <f>SUMIFS([1]اردیبهشت!$AD$2:$AD$600,[1]اردیبهشت!$N$2:$N$600,$C$24,[1]اردیبهشت!$D$2:$D$600,$F$23,[1]اردیبهشت!$AA$2:$AA$600,S3)</f>
        <v>0</v>
      </c>
      <c r="T23" s="165">
        <f>SUMIFS([1]اردیبهشت!$AD$2:$AD$600,[1]اردیبهشت!$N$2:$N$600,$C$24,[1]اردیبهشت!$D$2:$D$600,$F$23,[1]اردیبهشت!$AA$2:$AA$600,T3)</f>
        <v>0</v>
      </c>
      <c r="U23" s="159">
        <f>SUMIFS([1]اردیبهشت!$AD$2:$AD$600,[1]اردیبهشت!$N$2:$N$600,$C$24,[1]اردیبهشت!$D$2:$D$600,$F$23,[1]اردیبهشت!$AA$2:$AA$600,U3)</f>
        <v>0</v>
      </c>
    </row>
    <row r="24" spans="1:21" ht="36" customHeight="1" x14ac:dyDescent="0.25">
      <c r="A24" s="345">
        <v>12</v>
      </c>
      <c r="B24" s="308" t="s">
        <v>25</v>
      </c>
      <c r="C24" s="333">
        <v>7501</v>
      </c>
      <c r="D24" s="336">
        <v>62.5</v>
      </c>
      <c r="E24" s="933"/>
      <c r="F24" s="22" t="s">
        <v>36</v>
      </c>
      <c r="G24" s="3">
        <f t="shared" si="0"/>
        <v>0</v>
      </c>
      <c r="H24" s="47">
        <f t="shared" si="1"/>
        <v>0</v>
      </c>
      <c r="I24" s="3">
        <v>0</v>
      </c>
      <c r="J24" s="3">
        <v>0</v>
      </c>
      <c r="K24" s="3">
        <v>0</v>
      </c>
      <c r="L24" s="3">
        <v>0</v>
      </c>
      <c r="M24" s="4">
        <f>SUM(G23:L25)-D24</f>
        <v>-62.5</v>
      </c>
      <c r="N24" s="929"/>
      <c r="O24" s="293">
        <f>SUMIFS([1]اردیبهشت!$AD$2:$AD$600,[1]اردیبهشت!$N$2:$N$600,$C$24,[1]اردیبهشت!$D$2:$D$600,$F$24,[1]اردیبهشت!$AA$2:$AA$600,O3)</f>
        <v>0</v>
      </c>
      <c r="P24" s="166">
        <f>SUMIFS([1]اردیبهشت!$AD$2:$AD$600,[1]اردیبهشت!$N$2:$N$600,$C$24,[1]اردیبهشت!$D$2:$D$600,$F$24,[1]اردیبهشت!$AA$2:$AA$600,P3)</f>
        <v>0</v>
      </c>
      <c r="Q24" s="166">
        <f>SUMIFS([1]اردیبهشت!$AD$2:$AD$600,[1]اردیبهشت!$N$2:$N$600,$C$24,[1]اردیبهشت!$D$2:$D$600,$F$24,[1]اردیبهشت!$AA$2:$AA$600,Q3)</f>
        <v>0</v>
      </c>
      <c r="R24" s="166">
        <f>SUMIFS([1]اردیبهشت!$AD$2:$AD$600,[1]اردیبهشت!$N$2:$N$600,$C$24,[1]اردیبهشت!$D$2:$D$600,$F$24,[1]اردیبهشت!$AA$2:$AA$600,R3)</f>
        <v>0</v>
      </c>
      <c r="S24" s="166">
        <f>SUMIFS([1]اردیبهشت!$AD$2:$AD$600,[1]اردیبهشت!$N$2:$N$600,$C$24,[1]اردیبهشت!$D$2:$D$600,$F$24,[1]اردیبهشت!$AA$2:$AA$600,S3)</f>
        <v>0</v>
      </c>
      <c r="T24" s="166">
        <f>SUMIFS([1]اردیبهشت!$AD$2:$AD$600,[1]اردیبهشت!$N$2:$N$600,$C$24,[1]اردیبهشت!$D$2:$D$600,$F$24,[1]اردیبهشت!$AA$2:$AA$600,T3)</f>
        <v>0</v>
      </c>
      <c r="U24" s="160">
        <f>SUMIFS([1]اردیبهشت!$AD$2:$AD$600,[1]اردیبهشت!$N$2:$N$600,$C$24,[1]اردیبهشت!$D$2:$D$600,$F$24,[1]اردیبهشت!$AA$2:$AA$600,U3)</f>
        <v>0</v>
      </c>
    </row>
    <row r="25" spans="1:21" ht="36" customHeight="1" thickBot="1" x14ac:dyDescent="0.3">
      <c r="A25" s="346"/>
      <c r="B25" s="310"/>
      <c r="C25" s="335"/>
      <c r="D25" s="335"/>
      <c r="E25" s="934"/>
      <c r="F25" s="5"/>
      <c r="G25" s="1">
        <f t="shared" si="0"/>
        <v>0</v>
      </c>
      <c r="H25" s="49">
        <f t="shared" si="1"/>
        <v>0</v>
      </c>
      <c r="I25" s="7">
        <v>0</v>
      </c>
      <c r="J25" s="7">
        <v>0</v>
      </c>
      <c r="K25" s="6">
        <v>0</v>
      </c>
      <c r="L25" s="6">
        <v>0</v>
      </c>
      <c r="M25" s="6"/>
      <c r="N25" s="930"/>
      <c r="O25" s="352">
        <f>SUMIFS([1]اردیبهشت!$AD$2:$AD$600,[1]اردیبهشت!$N$2:$N$600,$C$24,[1]اردیبهشت!$D$2:$D$600,$F$25,[1]اردیبهشت!$AA$2:$AA$600,O3)</f>
        <v>0</v>
      </c>
      <c r="P25" s="167">
        <f>SUMIFS([1]اردیبهشت!$AD$2:$AD$600,[1]اردیبهشت!$N$2:$N$600,$C$24,[1]اردیبهشت!$D$2:$D$600,$F$25,[1]اردیبهشت!$AA$2:$AA$600,P3)</f>
        <v>0</v>
      </c>
      <c r="Q25" s="167">
        <f>SUMIFS([1]اردیبهشت!$AD$2:$AD$600,[1]اردیبهشت!$N$2:$N$600,$C$24,[1]اردیبهشت!$D$2:$D$600,$F$25,[1]اردیبهشت!$AA$2:$AA$600,Q3)</f>
        <v>0</v>
      </c>
      <c r="R25" s="167">
        <f>SUMIFS([1]اردیبهشت!$AD$2:$AD$600,[1]اردیبهشت!$N$2:$N$600,$C$24,[1]اردیبهشت!$D$2:$D$600,$F$25,[1]اردیبهشت!$AA$2:$AA$600,R3)</f>
        <v>0</v>
      </c>
      <c r="S25" s="167">
        <f>SUMIFS([1]اردیبهشت!$AD$2:$AD$600,[1]اردیبهشت!$N$2:$N$600,$C$24,[1]اردیبهشت!$D$2:$D$600,$F$25,[1]اردیبهشت!$AA$2:$AA$600,S3)</f>
        <v>0</v>
      </c>
      <c r="T25" s="167">
        <f>SUMIFS([1]اردیبهشت!$AD$2:$AD$600,[1]اردیبهشت!$N$2:$N$600,$C$24,[1]اردیبهشت!$D$2:$D$600,$F$25,[1]اردیبهشت!$AA$2:$AA$600,T3)</f>
        <v>0</v>
      </c>
      <c r="U25" s="161">
        <f>SUMIFS([1]اردیبهشت!$AD$2:$AD$600,[1]اردیبهشت!$N$2:$N$600,$C$24,[1]اردیبهشت!$D$2:$D$600,$F$25,[1]اردیبهشت!$AA$2:$AA$600,U3)</f>
        <v>0</v>
      </c>
    </row>
    <row r="26" spans="1:21" ht="36" customHeight="1" x14ac:dyDescent="0.25">
      <c r="A26" s="345"/>
      <c r="B26" s="307"/>
      <c r="C26" s="332"/>
      <c r="D26" s="332"/>
      <c r="E26" s="935" t="s">
        <v>50</v>
      </c>
      <c r="F26" s="22" t="s">
        <v>36</v>
      </c>
      <c r="G26" s="9">
        <f t="shared" si="0"/>
        <v>59</v>
      </c>
      <c r="H26" s="46">
        <f t="shared" si="1"/>
        <v>0</v>
      </c>
      <c r="I26" s="85">
        <v>2</v>
      </c>
      <c r="J26" s="85">
        <v>0</v>
      </c>
      <c r="K26" s="85">
        <v>0</v>
      </c>
      <c r="L26" s="85">
        <v>0</v>
      </c>
      <c r="M26" s="21"/>
      <c r="N26" s="938" t="s">
        <v>42</v>
      </c>
      <c r="O26" s="165">
        <f>SUMIFS([1]اردیبهشت!$AF$2:$AF$700,[1]اردیبهشت!$O$2:$O$700,7502,[1]اردیبهشت!$D$2:$D$700,$F$26,[1]اردیبهشت!$AC$2:$AC$700,O3)</f>
        <v>11</v>
      </c>
      <c r="P26" s="169">
        <f>SUMIFS([1]اردیبهشت!$AF$2:$AF$700,[1]اردیبهشت!$O$2:$O$700,7502,[1]اردیبهشت!$D$2:$D$700,$F$26,[1]اردیبهشت!$AC$2:$AC$700,P3)</f>
        <v>9</v>
      </c>
      <c r="Q26" s="169">
        <f>SUMIFS([1]اردیبهشت!$AF$2:$AF$700,[1]اردیبهشت!$O$2:$O$700,7502,[1]اردیبهشت!$D$2:$D$700,$F$26,[1]اردیبهشت!$AC$2:$AC$700,Q3)</f>
        <v>11</v>
      </c>
      <c r="R26" s="169">
        <f>SUMIFS([1]اردیبهشت!$AF$2:$AF$700,[1]اردیبهشت!$O$2:$O$700,7502,[1]اردیبهشت!$D$2:$D$700,$F$26,[1]اردیبهشت!$AC$2:$AC$700,R3)</f>
        <v>11</v>
      </c>
      <c r="S26" s="169">
        <f>SUMIFS([1]اردیبهشت!$AF$2:$AF$700,[1]اردیبهشت!$O$2:$O$700,7502,[1]اردیبهشت!$D$2:$D$700,$F$26,[1]اردیبهشت!$AC$2:$AC$700,S3)</f>
        <v>11</v>
      </c>
      <c r="T26" s="169">
        <f>SUMIFS([1]اردیبهشت!$AF$2:$AF$700,[1]اردیبهشت!$O$2:$O$700,7502,[1]اردیبهشت!$D$2:$D$700,$F$26,[1]اردیبهشت!$AC$2:$AC$700,T3)</f>
        <v>6</v>
      </c>
      <c r="U26" s="170">
        <f>SUMIFS([1]اردیبهشت!$AF$2:$AF$700,[1]اردیبهشت!$O$2:$O$700,7502,[1]اردیبهشت!$D$2:$D$700,$F$26,[1]اردیبهشت!$AC$2:$AC$700,U3)</f>
        <v>0</v>
      </c>
    </row>
    <row r="27" spans="1:21" ht="36" customHeight="1" x14ac:dyDescent="0.25">
      <c r="A27" s="345">
        <v>13</v>
      </c>
      <c r="B27" s="146" t="s">
        <v>25</v>
      </c>
      <c r="C27" s="95">
        <v>7502</v>
      </c>
      <c r="D27" s="336">
        <v>62.5</v>
      </c>
      <c r="E27" s="936"/>
      <c r="F27" s="22"/>
      <c r="G27" s="3">
        <f t="shared" si="0"/>
        <v>0</v>
      </c>
      <c r="H27" s="47">
        <f t="shared" si="1"/>
        <v>0</v>
      </c>
      <c r="I27" s="3">
        <v>0</v>
      </c>
      <c r="J27" s="3">
        <v>0</v>
      </c>
      <c r="K27" s="3">
        <v>0</v>
      </c>
      <c r="L27" s="3">
        <v>0</v>
      </c>
      <c r="M27" s="4">
        <f>SUM(G26:L28)-D27</f>
        <v>-1.5</v>
      </c>
      <c r="N27" s="929"/>
      <c r="O27" s="166">
        <f>SUMIFS([1]اردیبهشت!$AD$2:$AD$600,[1]اردیبهشت!$N$2:$N$600,$C$27,[1]اردیبهشت!$D$2:$D$600,$F$27,[1]اردیبهشت!$AA$2:$AA$600,O3)</f>
        <v>0</v>
      </c>
      <c r="P27" s="168">
        <f>SUMIFS([1]اردیبهشت!$AD$2:$AD$600,[1]اردیبهشت!$N$2:$N$600,$C$27,[1]اردیبهشت!$D$2:$D$600,$F$27,[1]اردیبهشت!$AA$2:$AA$600,P3)</f>
        <v>0</v>
      </c>
      <c r="Q27" s="168">
        <f>SUMIFS([1]اردیبهشت!$AD$2:$AD$600,[1]اردیبهشت!$N$2:$N$600,$C$27,[1]اردیبهشت!$D$2:$D$600,$F$27,[1]اردیبهشت!$AA$2:$AA$600,Q3)</f>
        <v>0</v>
      </c>
      <c r="R27" s="168">
        <f>SUMIFS([1]اردیبهشت!$AD$2:$AD$600,[1]اردیبهشت!$N$2:$N$600,$C$27,[1]اردیبهشت!$D$2:$D$600,$F$27,[1]اردیبهشت!$AA$2:$AA$600,R3)</f>
        <v>0</v>
      </c>
      <c r="S27" s="168">
        <f>SUMIFS([1]اردیبهشت!$AD$2:$AD$600,[1]اردیبهشت!$N$2:$N$600,$C$27,[1]اردیبهشت!$D$2:$D$600,$F$27,[1]اردیبهشت!$AA$2:$AA$600,S3)</f>
        <v>0</v>
      </c>
      <c r="T27" s="168">
        <f>SUMIFS([1]اردیبهشت!$AD$2:$AD$600,[1]اردیبهشت!$N$2:$N$600,$C$27,[1]اردیبهشت!$D$2:$D$600,$F$27,[1]اردیبهشت!$AA$2:$AA$600,T3)</f>
        <v>0</v>
      </c>
      <c r="U27" s="108">
        <f>SUMIFS([1]اردیبهشت!$AD$2:$AD$600,[1]اردیبهشت!$N$2:$N$600,$C$27,[1]اردیبهشت!$D$2:$D$600,$F$27,[1]اردیبهشت!$AA$2:$AA$600,U3)</f>
        <v>0</v>
      </c>
    </row>
    <row r="28" spans="1:21" ht="36" customHeight="1" thickBot="1" x14ac:dyDescent="0.3">
      <c r="A28" s="346"/>
      <c r="B28" s="310"/>
      <c r="C28" s="335"/>
      <c r="D28" s="335"/>
      <c r="E28" s="937"/>
      <c r="F28" s="5"/>
      <c r="G28" s="6">
        <f t="shared" si="0"/>
        <v>0</v>
      </c>
      <c r="H28" s="64">
        <f t="shared" si="1"/>
        <v>0</v>
      </c>
      <c r="I28" s="7">
        <v>0</v>
      </c>
      <c r="J28" s="7">
        <v>0</v>
      </c>
      <c r="K28" s="6">
        <v>0</v>
      </c>
      <c r="L28" s="6">
        <v>0</v>
      </c>
      <c r="M28" s="6"/>
      <c r="N28" s="930"/>
      <c r="O28" s="167">
        <f>SUMIFS([1]اردیبهشت!$AD$2:$AD$600,[1]اردیبهشت!$N$2:$N$600,$C$27,[1]اردیبهشت!$D$2:$D$600,$F$28,[1]اردیبهشت!$AA$2:$AA$600,O3)</f>
        <v>0</v>
      </c>
      <c r="P28" s="175">
        <f>SUMIFS([1]اردیبهشت!$AD$2:$AD$600,[1]اردیبهشت!$N$2:$N$600,$C$27,[1]اردیبهشت!$D$2:$D$600,$F$28,[1]اردیبهشت!$AA$2:$AA$600,P3)</f>
        <v>0</v>
      </c>
      <c r="Q28" s="175">
        <f>SUMIFS([1]اردیبهشت!$AD$2:$AD$600,[1]اردیبهشت!$N$2:$N$600,$C$27,[1]اردیبهشت!$D$2:$D$600,$F$28,[1]اردیبهشت!$AA$2:$AA$600,Q3)</f>
        <v>0</v>
      </c>
      <c r="R28" s="175">
        <f>SUMIFS([1]اردیبهشت!$AD$2:$AD$600,[1]اردیبهشت!$N$2:$N$600,$C$27,[1]اردیبهشت!$D$2:$D$600,$F$28,[1]اردیبهشت!$AA$2:$AA$600,R3)</f>
        <v>0</v>
      </c>
      <c r="S28" s="175">
        <f>SUMIFS([1]اردیبهشت!$AD$2:$AD$600,[1]اردیبهشت!$N$2:$N$600,$C$27,[1]اردیبهشت!$D$2:$D$600,$F$28,[1]اردیبهشت!$AA$2:$AA$600,S3)</f>
        <v>0</v>
      </c>
      <c r="T28" s="175">
        <f>SUMIFS([1]اردیبهشت!$AD$2:$AD$600,[1]اردیبهشت!$N$2:$N$600,$C$27,[1]اردیبهشت!$D$2:$D$600,$F$28,[1]اردیبهشت!$AA$2:$AA$600,T3)</f>
        <v>0</v>
      </c>
      <c r="U28" s="114">
        <f>SUMIFS([1]اردیبهشت!$AD$2:$AD$600,[1]اردیبهشت!$N$2:$N$600,$C$27,[1]اردیبهشت!$D$2:$D$600,$F$28,[1]اردیبهشت!$AA$2:$AA$600,U3)</f>
        <v>0</v>
      </c>
    </row>
    <row r="29" spans="1:21" ht="42" customHeight="1" x14ac:dyDescent="0.25">
      <c r="A29" s="939">
        <v>14</v>
      </c>
      <c r="B29" s="83" t="s">
        <v>26</v>
      </c>
      <c r="C29" s="324">
        <v>7601</v>
      </c>
      <c r="D29" s="324">
        <v>72</v>
      </c>
      <c r="E29" s="914" t="s">
        <v>15</v>
      </c>
      <c r="F29" s="84" t="s">
        <v>27</v>
      </c>
      <c r="G29" s="85">
        <f t="shared" si="0"/>
        <v>71</v>
      </c>
      <c r="H29" s="86">
        <f t="shared" si="1"/>
        <v>8</v>
      </c>
      <c r="I29" s="85">
        <v>0</v>
      </c>
      <c r="J29" s="85">
        <v>0</v>
      </c>
      <c r="K29" s="85">
        <v>0</v>
      </c>
      <c r="L29" s="85">
        <v>0</v>
      </c>
      <c r="M29" s="87">
        <f>(J29+J30+I30+I29+H29+H30+G30+G29+L29+K29)-D29</f>
        <v>7</v>
      </c>
      <c r="N29" s="941" t="s">
        <v>29</v>
      </c>
      <c r="O29" s="187">
        <f>SUMIFS([1]اردیبهشت!$AF$2:$AF$700,[1]اردیبهشت!$O$2:$O$700,7601,[1]اردیبهشت!$D$2:$D$700,$F$29,[1]اردیبهشت!$AC$2:$AC$700,O3)</f>
        <v>11</v>
      </c>
      <c r="P29" s="188">
        <f>SUMIFS([1]اردیبهشت!$AF$2:$AF$700,[1]اردیبهشت!$O$2:$O$700,7601,[1]اردیبهشت!$D$2:$D$700,$F$29,[1]اردیبهشت!$AC$2:$AC$700,P3)</f>
        <v>12</v>
      </c>
      <c r="Q29" s="188">
        <f>SUMIFS([1]اردیبهشت!$AF$2:$AF$700,[1]اردیبهشت!$O$2:$O$700,7601,[1]اردیبهشت!$D$2:$D$700,$F$29,[1]اردیبهشت!$AC$2:$AC$700,Q3)</f>
        <v>12</v>
      </c>
      <c r="R29" s="188">
        <f>SUMIFS([1]اردیبهشت!$AF$2:$AF$700,[1]اردیبهشت!$O$2:$O$700,7601,[1]اردیبهشت!$D$2:$D$700,$F$29,[1]اردیبهشت!$AC$2:$AC$700,R3)</f>
        <v>12</v>
      </c>
      <c r="S29" s="188">
        <f>SUMIFS([1]اردیبهشت!$AF$2:$AF$700,[1]اردیبهشت!$O$2:$O$700,7601,[1]اردیبهشت!$D$2:$D$700,$F$29,[1]اردیبهشت!$AC$2:$AC$700,S3)</f>
        <v>12</v>
      </c>
      <c r="T29" s="188">
        <f>SUMIFS([1]اردیبهشت!$AF$2:$AF$700,[1]اردیبهشت!$O$2:$O$700,7601,[1]اردیبهشت!$D$2:$D$700,$F$29,[1]اردیبهشت!$AC$2:$AC$700,T3)</f>
        <v>12</v>
      </c>
      <c r="U29" s="189">
        <f>SUMIFS([1]اردیبهشت!$AF$2:$AF$700,[1]اردیبهشت!$O$2:$O$700,7601,[1]اردیبهشت!$D$2:$D$700,$F$29,[1]اردیبهشت!$AC$2:$AC$700,U3)</f>
        <v>8</v>
      </c>
    </row>
    <row r="30" spans="1:21" ht="42" customHeight="1" thickBot="1" x14ac:dyDescent="0.3">
      <c r="A30" s="940"/>
      <c r="B30" s="123"/>
      <c r="C30" s="325"/>
      <c r="D30" s="325"/>
      <c r="E30" s="915"/>
      <c r="F30" s="124"/>
      <c r="G30" s="93">
        <f t="shared" si="0"/>
        <v>0</v>
      </c>
      <c r="H30" s="92">
        <f t="shared" si="1"/>
        <v>0</v>
      </c>
      <c r="I30" s="125">
        <v>0</v>
      </c>
      <c r="J30" s="125">
        <v>0</v>
      </c>
      <c r="K30" s="126">
        <v>0</v>
      </c>
      <c r="L30" s="126">
        <v>0</v>
      </c>
      <c r="M30" s="127"/>
      <c r="N30" s="917"/>
      <c r="O30" s="190">
        <f>SUMIFS([1]اردیبهشت!$AD$2:$AD$600,[1]اردیبهشت!$N$2:$N$600,$C$29,[1]اردیبهشت!$D$2:$D$600,$F$30,[1]اردیبهشت!$AA$2:$AA$600,O3)</f>
        <v>0</v>
      </c>
      <c r="P30" s="191">
        <f>SUMIFS([1]اردیبهشت!$AD$2:$AD$600,[1]اردیبهشت!$N$2:$N$600,$C$29,[1]اردیبهشت!$D$2:$D$600,$F$30,[1]اردیبهشت!$AA$2:$AA$600,P3)</f>
        <v>0</v>
      </c>
      <c r="Q30" s="191">
        <f>SUMIFS([1]اردیبهشت!$AD$2:$AD$600,[1]اردیبهشت!$N$2:$N$600,$C$29,[1]اردیبهشت!$D$2:$D$600,$F$30,[1]اردیبهشت!$AA$2:$AA$600,Q3)</f>
        <v>0</v>
      </c>
      <c r="R30" s="191">
        <f>SUMIFS([1]اردیبهشت!$AD$2:$AD$600,[1]اردیبهشت!$N$2:$N$600,$C$29,[1]اردیبهشت!$D$2:$D$600,$F$30,[1]اردیبهشت!$AA$2:$AA$600,R3)</f>
        <v>0</v>
      </c>
      <c r="S30" s="191">
        <f>SUMIFS([1]اردیبهشت!$AD$2:$AD$600,[1]اردیبهشت!$N$2:$N$600,$C$29,[1]اردیبهشت!$D$2:$D$600,$F$30,[1]اردیبهشت!$AA$2:$AA$600,S3)</f>
        <v>0</v>
      </c>
      <c r="T30" s="191">
        <f>SUMIFS([1]اردیبهشت!$AD$2:$AD$600,[1]اردیبهشت!$N$2:$N$600,$C$29,[1]اردیبهشت!$D$2:$D$600,$F$30,[1]اردیبهشت!$AA$2:$AA$600,T3)</f>
        <v>0</v>
      </c>
      <c r="U30" s="115">
        <f>SUMIFS([1]اردیبهشت!$AD$2:$AD$600,[1]اردیبهشت!$N$2:$N$600,$C$29,[1]اردیبهشت!$D$2:$D$600,$F$30,[1]اردیبهشت!$AA$2:$AA$600,U3)</f>
        <v>0</v>
      </c>
    </row>
    <row r="31" spans="1:21" ht="42" customHeight="1" x14ac:dyDescent="0.25">
      <c r="A31" s="912">
        <v>15</v>
      </c>
      <c r="B31" s="83" t="s">
        <v>26</v>
      </c>
      <c r="C31" s="324">
        <v>7602</v>
      </c>
      <c r="D31" s="324">
        <v>72</v>
      </c>
      <c r="E31" s="914" t="s">
        <v>15</v>
      </c>
      <c r="F31" s="84" t="s">
        <v>27</v>
      </c>
      <c r="G31" s="9">
        <f t="shared" si="0"/>
        <v>71</v>
      </c>
      <c r="H31" s="46">
        <f t="shared" si="1"/>
        <v>8</v>
      </c>
      <c r="I31" s="85">
        <v>0</v>
      </c>
      <c r="J31" s="85">
        <v>0</v>
      </c>
      <c r="K31" s="85">
        <v>0</v>
      </c>
      <c r="L31" s="85">
        <v>0</v>
      </c>
      <c r="M31" s="87">
        <f>(J31+J32+I32+I31+H31+H32+G32+G31)-D31</f>
        <v>7</v>
      </c>
      <c r="N31" s="916" t="s">
        <v>29</v>
      </c>
      <c r="O31" s="165">
        <f>SUMIFS([1]اردیبهشت!$AF$2:$AF$700,[1]اردیبهشت!$O$2:$O$700,7602,[1]اردیبهشت!$D$2:$D$700,$F$31,[1]اردیبهشت!$AC$2:$AC$700,O3)</f>
        <v>11</v>
      </c>
      <c r="P31" s="169">
        <f>SUMIFS([1]اردیبهشت!$AF$2:$AF$700,[1]اردیبهشت!$O$2:$O$700,7602,[1]اردیبهشت!$D$2:$D$700,$F$31,[1]اردیبهشت!$AC$2:$AC$700,P3)</f>
        <v>12</v>
      </c>
      <c r="Q31" s="169">
        <f>SUMIFS([1]اردیبهشت!$AF$2:$AF$700,[1]اردیبهشت!$O$2:$O$700,7602,[1]اردیبهشت!$D$2:$D$700,$F$31,[1]اردیبهشت!$AC$2:$AC$700,Q3)</f>
        <v>12</v>
      </c>
      <c r="R31" s="169">
        <f>SUMIFS([1]اردیبهشت!$AF$2:$AF$700,[1]اردیبهشت!$O$2:$O$700,7602,[1]اردیبهشت!$D$2:$D$700,$F$31,[1]اردیبهشت!$AC$2:$AC$700,R3)</f>
        <v>12</v>
      </c>
      <c r="S31" s="169">
        <f>SUMIFS([1]اردیبهشت!$AF$2:$AF$700,[1]اردیبهشت!$O$2:$O$700,7602,[1]اردیبهشت!$D$2:$D$700,$F$31,[1]اردیبهشت!$AC$2:$AC$700,S3)</f>
        <v>12</v>
      </c>
      <c r="T31" s="169">
        <f>SUMIFS([1]اردیبهشت!$AF$2:$AF$700,[1]اردیبهشت!$O$2:$O$700,7602,[1]اردیبهشت!$D$2:$D$700,$F$31,[1]اردیبهشت!$AC$2:$AC$700,T3)</f>
        <v>12</v>
      </c>
      <c r="U31" s="170">
        <f>SUMIFS([1]اردیبهشت!$AF$2:$AF$700,[1]اردیبهشت!$O$2:$O$700,7602,[1]اردیبهشت!$D$2:$D$700,$F$31,[1]اردیبهشت!$AC$2:$AC$700,U3)</f>
        <v>8</v>
      </c>
    </row>
    <row r="32" spans="1:21" ht="42" customHeight="1" thickBot="1" x14ac:dyDescent="0.3">
      <c r="A32" s="913"/>
      <c r="B32" s="123"/>
      <c r="C32" s="325"/>
      <c r="D32" s="325"/>
      <c r="E32" s="915"/>
      <c r="F32" s="124"/>
      <c r="G32" s="6">
        <f t="shared" si="0"/>
        <v>0</v>
      </c>
      <c r="H32" s="64">
        <f t="shared" si="1"/>
        <v>0</v>
      </c>
      <c r="I32" s="125">
        <v>0</v>
      </c>
      <c r="J32" s="125">
        <v>0</v>
      </c>
      <c r="K32" s="126">
        <v>0</v>
      </c>
      <c r="L32" s="126">
        <v>0</v>
      </c>
      <c r="M32" s="127"/>
      <c r="N32" s="917"/>
      <c r="O32" s="171">
        <f>SUMIFS([1]اردیبهشت!$AD$2:$AD$600,[1]اردیبهشت!$N$2:$N$600,$C$31,[1]اردیبهشت!$D$2:$D$600,$F$32,[1]اردیبهشت!$AA$2:$AA$600,O3)</f>
        <v>0</v>
      </c>
      <c r="P32" s="172">
        <f>SUMIFS([1]اردیبهشت!$AD$2:$AD$600,[1]اردیبهشت!$N$2:$N$600,$C$31,[1]اردیبهشت!$D$2:$D$600,$F$32,[1]اردیبهشت!$AA$2:$AA$600,P3)</f>
        <v>0</v>
      </c>
      <c r="Q32" s="172">
        <f>SUMIFS([1]اردیبهشت!$AD$2:$AD$600,[1]اردیبهشت!$N$2:$N$600,$C$31,[1]اردیبهشت!$D$2:$D$600,$F$32,[1]اردیبهشت!$AA$2:$AA$600,Q3)</f>
        <v>0</v>
      </c>
      <c r="R32" s="172">
        <f>SUMIFS([1]اردیبهشت!$AD$2:$AD$600,[1]اردیبهشت!$N$2:$N$600,$C$31,[1]اردیبهشت!$D$2:$D$600,$F$32,[1]اردیبهشت!$AA$2:$AA$600,R3)</f>
        <v>0</v>
      </c>
      <c r="S32" s="172">
        <f>SUMIFS([1]اردیبهشت!$AD$2:$AD$600,[1]اردیبهشت!$N$2:$N$600,$C$31,[1]اردیبهشت!$D$2:$D$600,$F$32,[1]اردیبهشت!$AA$2:$AA$600,S3)</f>
        <v>0</v>
      </c>
      <c r="T32" s="172">
        <f>SUMIFS([1]اردیبهشت!$AD$2:$AD$600,[1]اردیبهشت!$N$2:$N$600,$C$31,[1]اردیبهشت!$D$2:$D$600,$F$32,[1]اردیبهشت!$AA$2:$AA$600,T3)</f>
        <v>0</v>
      </c>
      <c r="U32" s="109">
        <f>SUMIFS([1]اردیبهشت!$AD$2:$AD$600,[1]اردیبهشت!$N$2:$N$600,$C$31,[1]اردیبهشت!$D$2:$D$600,$F$32,[1]اردیبهشت!$AA$2:$AA$600,U3)</f>
        <v>0</v>
      </c>
    </row>
    <row r="33" spans="1:21" ht="36" customHeight="1" x14ac:dyDescent="0.25">
      <c r="A33" s="912">
        <v>16</v>
      </c>
      <c r="B33" s="330" t="s">
        <v>26</v>
      </c>
      <c r="C33" s="332">
        <v>7603</v>
      </c>
      <c r="D33" s="332">
        <v>72</v>
      </c>
      <c r="E33" s="943" t="s">
        <v>15</v>
      </c>
      <c r="F33" s="84" t="s">
        <v>27</v>
      </c>
      <c r="G33" s="9">
        <f t="shared" si="0"/>
        <v>70</v>
      </c>
      <c r="H33" s="46">
        <f t="shared" si="1"/>
        <v>8</v>
      </c>
      <c r="I33" s="9">
        <v>0</v>
      </c>
      <c r="J33" s="9">
        <v>0</v>
      </c>
      <c r="K33" s="9">
        <v>0</v>
      </c>
      <c r="L33" s="9">
        <v>0</v>
      </c>
      <c r="M33" s="23">
        <f>(J33+J34+I34+I33+H33+H34+G34+G33+L33+L34)-D33</f>
        <v>6</v>
      </c>
      <c r="N33" s="945" t="s">
        <v>29</v>
      </c>
      <c r="O33" s="356">
        <f>SUMIFS([1]اردیبهشت!$AF$2:$AF$700,[1]اردیبهشت!$O$2:$O$700,7603,[1]اردیبهشت!$D$2:$D$700,$F$33,[1]اردیبهشت!$AC$2:$AC$700,O3)</f>
        <v>11</v>
      </c>
      <c r="P33" s="356">
        <f>SUMIFS([1]اردیبهشت!$AF$2:$AF$700,[1]اردیبهشت!$O$2:$O$700,7603,[1]اردیبهشت!$D$2:$D$700,$F$33,[1]اردیبهشت!$AC$2:$AC$700,P3)</f>
        <v>12</v>
      </c>
      <c r="Q33" s="356">
        <f>SUMIFS([1]اردیبهشت!$AF$2:$AF$700,[1]اردیبهشت!$O$2:$O$700,7603,[1]اردیبهشت!$D$2:$D$700,$F$33,[1]اردیبهشت!$AC$2:$AC$700,Q3)</f>
        <v>12</v>
      </c>
      <c r="R33" s="356">
        <f>SUMIFS([1]اردیبهشت!$AF$2:$AF$700,[1]اردیبهشت!$O$2:$O$700,7603,[1]اردیبهشت!$D$2:$D$700,$F$33,[1]اردیبهشت!$AC$2:$AC$700,R3)</f>
        <v>12</v>
      </c>
      <c r="S33" s="356">
        <f>SUMIFS([1]اردیبهشت!$AF$2:$AF$700,[1]اردیبهشت!$O$2:$O$700,7603,[1]اردیبهشت!$D$2:$D$700,$F$33,[1]اردیبهشت!$AC$2:$AC$700,S3)</f>
        <v>11</v>
      </c>
      <c r="T33" s="356">
        <f>SUMIFS([1]اردیبهشت!$AF$2:$AF$700,[1]اردیبهشت!$O$2:$O$700,7603,[1]اردیبهشت!$D$2:$D$700,$F$33,[1]اردیبهشت!$AC$2:$AC$700,T3)</f>
        <v>12</v>
      </c>
      <c r="U33" s="356">
        <f>SUMIFS([1]اردیبهشت!$AF$2:$AF$700,[1]اردیبهشت!$O$2:$O$700,7603,[1]اردیبهشت!$D$2:$D$700,$F$33,[1]اردیبهشت!$AC$2:$AC$700,U3)</f>
        <v>8</v>
      </c>
    </row>
    <row r="34" spans="1:21" ht="36" customHeight="1" thickBot="1" x14ac:dyDescent="0.3">
      <c r="A34" s="942"/>
      <c r="B34" s="331"/>
      <c r="C34" s="335"/>
      <c r="D34" s="335"/>
      <c r="E34" s="944"/>
      <c r="F34" s="5"/>
      <c r="G34" s="1">
        <f t="shared" si="0"/>
        <v>0</v>
      </c>
      <c r="H34" s="49">
        <f t="shared" si="1"/>
        <v>0</v>
      </c>
      <c r="I34" s="7">
        <v>0</v>
      </c>
      <c r="J34" s="7">
        <v>0</v>
      </c>
      <c r="K34" s="6">
        <v>0</v>
      </c>
      <c r="L34" s="6">
        <v>0</v>
      </c>
      <c r="M34" s="8"/>
      <c r="N34" s="946"/>
      <c r="O34" s="294">
        <f>SUMIFS([1]اردیبهشت!$AD$2:$AD$600,[1]اردیبهشت!$N$2:$N$600,$C$33,[1]اردیبهشت!$D$2:$D$600,$F$34,[1]اردیبهشت!$AA$2:$AA$600,O3)</f>
        <v>0</v>
      </c>
      <c r="P34" s="171">
        <f>SUMIFS([1]اردیبهشت!$AD$2:$AD$600,[1]اردیبهشت!$N$2:$N$600,$C$33,[1]اردیبهشت!$D$2:$D$600,$F$34,[1]اردیبهشت!$AA$2:$AA$600,P3)</f>
        <v>0</v>
      </c>
      <c r="Q34" s="171">
        <f>SUMIFS([1]اردیبهشت!$AD$2:$AD$600,[1]اردیبهشت!$N$2:$N$600,$C$33,[1]اردیبهشت!$D$2:$D$600,$F$34,[1]اردیبهشت!$AA$2:$AA$600,Q3)</f>
        <v>0</v>
      </c>
      <c r="R34" s="171">
        <f>SUMIFS([1]اردیبهشت!$AD$2:$AD$600,[1]اردیبهشت!$N$2:$N$600,$C$33,[1]اردیبهشت!$D$2:$D$600,$F$34,[1]اردیبهشت!$AA$2:$AA$600,R3)</f>
        <v>0</v>
      </c>
      <c r="S34" s="171">
        <f>SUMIFS([1]اردیبهشت!$AD$2:$AD$600,[1]اردیبهشت!$N$2:$N$600,$C$33,[1]اردیبهشت!$D$2:$D$600,$F$34,[1]اردیبهشت!$AA$2:$AA$600,S3)</f>
        <v>0</v>
      </c>
      <c r="T34" s="171">
        <f>SUMIFS([1]اردیبهشت!$AD$2:$AD$600,[1]اردیبهشت!$N$2:$N$600,$C$33,[1]اردیبهشت!$D$2:$D$600,$F$34,[1]اردیبهشت!$AA$2:$AA$600,T3)</f>
        <v>0</v>
      </c>
      <c r="U34" s="164">
        <f>SUMIFS([1]اردیبهشت!$AD$2:$AD$600,[1]اردیبهشت!$N$2:$N$600,$C$33,[1]اردیبهشت!$D$2:$D$600,$F$34,[1]اردیبهشت!$AA$2:$AA$600,U3)</f>
        <v>0</v>
      </c>
    </row>
    <row r="35" spans="1:21" ht="36" customHeight="1" x14ac:dyDescent="0.25">
      <c r="A35" s="912">
        <v>17</v>
      </c>
      <c r="B35" s="81" t="s">
        <v>26</v>
      </c>
      <c r="C35" s="90">
        <v>7604</v>
      </c>
      <c r="D35" s="337">
        <v>72</v>
      </c>
      <c r="E35" s="947" t="s">
        <v>19</v>
      </c>
      <c r="F35" s="79"/>
      <c r="G35" s="9" t="s">
        <v>83</v>
      </c>
      <c r="H35" s="46">
        <f t="shared" si="1"/>
        <v>0</v>
      </c>
      <c r="I35" s="80">
        <v>0</v>
      </c>
      <c r="J35" s="80">
        <v>72</v>
      </c>
      <c r="K35" s="80">
        <v>0</v>
      </c>
      <c r="L35" s="80">
        <v>0</v>
      </c>
      <c r="M35" s="60"/>
      <c r="N35" s="949" t="s">
        <v>28</v>
      </c>
      <c r="O35" s="300"/>
      <c r="P35" s="193"/>
      <c r="Q35" s="193"/>
      <c r="R35" s="193"/>
      <c r="S35" s="193"/>
      <c r="T35" s="193"/>
      <c r="U35" s="155"/>
    </row>
    <row r="36" spans="1:21" ht="36" customHeight="1" thickBot="1" x14ac:dyDescent="0.3">
      <c r="A36" s="913"/>
      <c r="B36" s="343"/>
      <c r="C36" s="309"/>
      <c r="D36" s="334"/>
      <c r="E36" s="948"/>
      <c r="F36" s="24"/>
      <c r="G36" s="1">
        <f t="shared" si="0"/>
        <v>0</v>
      </c>
      <c r="H36" s="49">
        <f t="shared" si="1"/>
        <v>0</v>
      </c>
      <c r="I36" s="25">
        <v>0</v>
      </c>
      <c r="J36" s="25">
        <v>0</v>
      </c>
      <c r="K36" s="4">
        <v>0</v>
      </c>
      <c r="L36" s="4">
        <v>0</v>
      </c>
      <c r="M36" s="60"/>
      <c r="N36" s="950"/>
      <c r="O36" s="301"/>
      <c r="P36" s="282"/>
      <c r="Q36" s="282"/>
      <c r="R36" s="282"/>
      <c r="S36" s="282"/>
      <c r="T36" s="282"/>
      <c r="U36" s="157"/>
    </row>
    <row r="37" spans="1:21" ht="36" customHeight="1" x14ac:dyDescent="0.25">
      <c r="A37" s="954">
        <v>18</v>
      </c>
      <c r="B37" s="83" t="s">
        <v>26</v>
      </c>
      <c r="C37" s="324">
        <v>7605</v>
      </c>
      <c r="D37" s="324">
        <v>72</v>
      </c>
      <c r="E37" s="914" t="s">
        <v>15</v>
      </c>
      <c r="F37" s="84" t="s">
        <v>27</v>
      </c>
      <c r="G37" s="85">
        <f t="shared" si="0"/>
        <v>71</v>
      </c>
      <c r="H37" s="86">
        <f t="shared" si="1"/>
        <v>8</v>
      </c>
      <c r="I37" s="85">
        <v>0</v>
      </c>
      <c r="J37" s="85">
        <v>0</v>
      </c>
      <c r="K37" s="85">
        <v>0</v>
      </c>
      <c r="L37" s="153">
        <v>0</v>
      </c>
      <c r="M37" s="87">
        <f>(G37+H37+I37+J37+K37+L37)-D37</f>
        <v>7</v>
      </c>
      <c r="N37" s="955" t="s">
        <v>28</v>
      </c>
      <c r="O37" s="298">
        <f>SUMIFS([1]اردیبهشت!$AF$2:$AF$700,[1]اردیبهشت!$O$2:$O$700,7605,[1]اردیبهشت!$D$2:$D$700,$F$37,[1]اردیبهشت!$AC$2:$AC$700,O3)</f>
        <v>11</v>
      </c>
      <c r="P37" s="298">
        <f>SUMIFS([1]اردیبهشت!$AF$2:$AF$700,[1]اردیبهشت!$O$2:$O$700,7605,[1]اردیبهشت!$D$2:$D$700,$F$37,[1]اردیبهشت!$AC$2:$AC$700,P3)</f>
        <v>12</v>
      </c>
      <c r="Q37" s="298">
        <f>SUMIFS([1]اردیبهشت!$AF$2:$AF$700,[1]اردیبهشت!$O$2:$O$700,7605,[1]اردیبهشت!$D$2:$D$700,$F$37,[1]اردیبهشت!$AC$2:$AC$700,Q3)</f>
        <v>12</v>
      </c>
      <c r="R37" s="298">
        <f>SUMIFS([1]اردیبهشت!$AF$2:$AF$700,[1]اردیبهشت!$O$2:$O$700,7605,[1]اردیبهشت!$D$2:$D$700,$F$37,[1]اردیبهشت!$AC$2:$AC$700,R3)</f>
        <v>12</v>
      </c>
      <c r="S37" s="298">
        <f>SUMIFS([1]اردیبهشت!$AF$2:$AF$700,[1]اردیبهشت!$O$2:$O$700,7605,[1]اردیبهشت!$D$2:$D$700,$F$37,[1]اردیبهشت!$AC$2:$AC$700,S3)</f>
        <v>12</v>
      </c>
      <c r="T37" s="298">
        <f>SUMIFS([1]اردیبهشت!$AF$2:$AF$700,[1]اردیبهشت!$O$2:$O$700,7605,[1]اردیبهشت!$D$2:$D$700,$F$37,[1]اردیبهشت!$AC$2:$AC$700,T3)</f>
        <v>12</v>
      </c>
      <c r="U37" s="298">
        <f>SUMIFS([1]اردیبهشت!$AF$2:$AF$700,[1]اردیبهشت!$O$2:$O$700,7605,[1]اردیبهشت!$D$2:$D$700,$F$37,[1]اردیبهشت!$AC$2:$AC$700,U3)</f>
        <v>8</v>
      </c>
    </row>
    <row r="38" spans="1:21" ht="36" customHeight="1" thickBot="1" x14ac:dyDescent="0.3">
      <c r="A38" s="942"/>
      <c r="B38" s="123"/>
      <c r="C38" s="325"/>
      <c r="D38" s="325"/>
      <c r="E38" s="915"/>
      <c r="F38" s="124"/>
      <c r="G38" s="93">
        <f t="shared" si="0"/>
        <v>0</v>
      </c>
      <c r="H38" s="92">
        <f t="shared" si="1"/>
        <v>0</v>
      </c>
      <c r="I38" s="125">
        <v>0</v>
      </c>
      <c r="J38" s="125">
        <v>0</v>
      </c>
      <c r="K38" s="126">
        <v>0</v>
      </c>
      <c r="L38" s="126">
        <v>0</v>
      </c>
      <c r="M38" s="154"/>
      <c r="N38" s="917"/>
      <c r="O38" s="299">
        <f>SUMIFS([1]اردیبهشت!$AD$2:$AD$600,[1]اردیبهشت!$N$2:$N$600,$C$37,[1]اردیبهشت!$D$2:$D$600,$F$38,[1]اردیبهشت!$AA$2:$AA$600,O3)</f>
        <v>0</v>
      </c>
      <c r="P38" s="274">
        <f>SUMIFS([1]اردیبهشت!$AD$2:$AD$600,[1]اردیبهشت!$N$2:$N$600,$C$37,[1]اردیبهشت!$D$2:$D$600,$F$38,[1]اردیبهشت!$AA$2:$AA$600,P3)</f>
        <v>0</v>
      </c>
      <c r="Q38" s="274">
        <f>SUMIFS([1]اردیبهشت!$AD$2:$AD$600,[1]اردیبهشت!$N$2:$N$600,$C$37,[1]اردیبهشت!$D$2:$D$600,$F$38,[1]اردیبهشت!$AA$2:$AA$600,Q3)</f>
        <v>0</v>
      </c>
      <c r="R38" s="274">
        <f>SUMIFS([1]اردیبهشت!$AD$2:$AD$600,[1]اردیبهشت!$N$2:$N$600,$C$37,[1]اردیبهشت!$D$2:$D$600,$F$38,[1]اردیبهشت!$AA$2:$AA$600,R3)</f>
        <v>0</v>
      </c>
      <c r="S38" s="274">
        <f>SUMIFS([1]اردیبهشت!$AD$2:$AD$600,[1]اردیبهشت!$N$2:$N$600,$C$37,[1]اردیبهشت!$D$2:$D$600,$F$38,[1]اردیبهشت!$AA$2:$AA$600,S3)</f>
        <v>0</v>
      </c>
      <c r="T38" s="274">
        <f>SUMIFS([1]اردیبهشت!$AD$2:$AD$600,[1]اردیبهشت!$N$2:$N$600,$C$37,[1]اردیبهشت!$D$2:$D$600,$F$38,[1]اردیبهشت!$AA$2:$AA$600,T3)</f>
        <v>0</v>
      </c>
      <c r="U38" s="290">
        <f>SUMIFS([1]اردیبهشت!$AD$2:$AD$600,[1]اردیبهشت!$N$2:$N$600,$C$37,[1]اردیبهشت!$D$2:$D$600,$F$38,[1]اردیبهشت!$AA$2:$AA$600,U3)</f>
        <v>0</v>
      </c>
    </row>
    <row r="39" spans="1:21" ht="36" customHeight="1" x14ac:dyDescent="0.25">
      <c r="A39" s="344"/>
      <c r="B39" s="307"/>
      <c r="C39" s="332"/>
      <c r="D39" s="332"/>
      <c r="E39" s="932" t="s">
        <v>15</v>
      </c>
      <c r="F39" s="84" t="s">
        <v>27</v>
      </c>
      <c r="G39" s="9">
        <f t="shared" si="0"/>
        <v>44</v>
      </c>
      <c r="H39" s="46">
        <f t="shared" si="1"/>
        <v>8</v>
      </c>
      <c r="I39" s="9">
        <v>0</v>
      </c>
      <c r="J39" s="9">
        <v>0</v>
      </c>
      <c r="K39" s="9">
        <v>0</v>
      </c>
      <c r="L39" s="9">
        <v>0</v>
      </c>
      <c r="M39" s="28"/>
      <c r="N39" s="945" t="s">
        <v>13</v>
      </c>
      <c r="O39" s="165">
        <f>SUMIFS([1]اردیبهشت!$AF$2:$AF$700,[1]اردیبهشت!$O$2:$O$700,7701,[1]اردیبهشت!$D$2:$D$700,$F$39,[1]اردیبهشت!$AC$2:$AC$700,O3)</f>
        <v>0</v>
      </c>
      <c r="P39" s="292">
        <f>SUMIFS([1]اردیبهشت!$AF$2:$AF$700,[1]اردیبهشت!$O$2:$O$700,7701,[1]اردیبهشت!$D$2:$D$700,$F$39,[1]اردیبهشت!$AC$2:$AC$700,P3)</f>
        <v>11</v>
      </c>
      <c r="Q39" s="292">
        <f>SUMIFS([1]اردیبهشت!$AF$2:$AF$700,[1]اردیبهشت!$O$2:$O$700,7701,[1]اردیبهشت!$D$2:$D$700,$F$39,[1]اردیبهشت!$AC$2:$AC$700,Q3)</f>
        <v>11</v>
      </c>
      <c r="R39" s="292">
        <f>SUMIFS([1]اردیبهشت!$AF$2:$AF$700,[1]اردیبهشت!$O$2:$O$700,7701,[1]اردیبهشت!$D$2:$D$700,$F$39,[1]اردیبهشت!$AC$2:$AC$700,R3)</f>
        <v>11</v>
      </c>
      <c r="S39" s="292">
        <f>SUMIFS([1]اردیبهشت!$AF$2:$AF$700,[1]اردیبهشت!$O$2:$O$700,7701,[1]اردیبهشت!$D$2:$D$700,$F$39,[1]اردیبهشت!$AC$2:$AC$700,S3)</f>
        <v>11</v>
      </c>
      <c r="T39" s="292">
        <f>SUMIFS([1]اردیبهشت!$AF$2:$AF$700,[1]اردیبهشت!$O$2:$O$700,7701,[1]اردیبهشت!$D$2:$D$700,$F$39,[1]اردیبهشت!$AC$2:$AC$700,T3)</f>
        <v>0</v>
      </c>
      <c r="U39" s="357">
        <f>SUMIFS([1]اردیبهشت!$AF$2:$AF$700,[1]اردیبهشت!$O$2:$O$700,7701,[1]اردیبهشت!$D$2:$D$700,$F$39,[1]اردیبهشت!$AC$2:$AC$700,U3)</f>
        <v>8</v>
      </c>
    </row>
    <row r="40" spans="1:21" ht="36" customHeight="1" x14ac:dyDescent="0.25">
      <c r="A40" s="345">
        <v>19</v>
      </c>
      <c r="B40" s="308" t="s">
        <v>30</v>
      </c>
      <c r="C40" s="333">
        <v>7701</v>
      </c>
      <c r="D40" s="333">
        <v>62.5</v>
      </c>
      <c r="E40" s="933"/>
      <c r="F40" s="29"/>
      <c r="G40" s="3">
        <f t="shared" si="0"/>
        <v>0</v>
      </c>
      <c r="H40" s="47">
        <f t="shared" si="1"/>
        <v>0</v>
      </c>
      <c r="I40" s="3">
        <v>0</v>
      </c>
      <c r="J40" s="25">
        <v>0</v>
      </c>
      <c r="K40" s="25">
        <v>0</v>
      </c>
      <c r="L40" s="70">
        <v>0</v>
      </c>
      <c r="M40" s="4">
        <f>(J39+J40+J41+I41+I40+I39+H39+H40+H41+G41+G40+G39)-D40</f>
        <v>-10.5</v>
      </c>
      <c r="N40" s="956"/>
      <c r="O40" s="166">
        <f>SUMIFS([1]اردیبهشت!$AD$2:$AD$600,[1]اردیبهشت!$N$2:$N$600,$C$40,[1]اردیبهشت!$D$2:$D$600,$F$40,[1]اردیبهشت!$AA$2:$AA$600,O3)</f>
        <v>0</v>
      </c>
      <c r="P40" s="166">
        <f>SUMIFS([1]اردیبهشت!$AD$2:$AD$600,[1]اردیبهشت!$N$2:$N$600,$C$40,[1]اردیبهشت!$D$2:$D$600,$F$40,[1]اردیبهشت!$AA$2:$AA$600,P3)</f>
        <v>0</v>
      </c>
      <c r="Q40" s="166">
        <f>SUMIFS([1]اردیبهشت!$AD$2:$AD$600,[1]اردیبهشت!$N$2:$N$600,$C$40,[1]اردیبهشت!$D$2:$D$600,$F$40,[1]اردیبهشت!$AA$2:$AA$600,Q3)</f>
        <v>0</v>
      </c>
      <c r="R40" s="166">
        <f>SUMIFS([1]اردیبهشت!$AD$2:$AD$600,[1]اردیبهشت!$N$2:$N$600,$C$40,[1]اردیبهشت!$D$2:$D$600,$F$40,[1]اردیبهشت!$AA$2:$AA$600,R3)</f>
        <v>0</v>
      </c>
      <c r="S40" s="166">
        <f>SUMIFS([1]اردیبهشت!$AD$2:$AD$600,[1]اردیبهشت!$N$2:$N$600,$C$40,[1]اردیبهشت!$D$2:$D$600,$F$40,[1]اردیبهشت!$AA$2:$AA$600,S3)</f>
        <v>0</v>
      </c>
      <c r="T40" s="166">
        <f>SUMIFS([1]اردیبهشت!$AD$2:$AD$600,[1]اردیبهشت!$N$2:$N$600,$C$40,[1]اردیبهشت!$D$2:$D$600,$F$40,[1]اردیبهشت!$AA$2:$AA$600,T3)</f>
        <v>0</v>
      </c>
      <c r="U40" s="358">
        <f>SUMIFS([1]اردیبهشت!$AD$2:$AD$600,[1]اردیبهشت!$N$2:$N$600,$C$40,[1]اردیبهشت!$D$2:$D$600,$F$40,[1]اردیبهشت!$AA$2:$AA$600,U3)</f>
        <v>0</v>
      </c>
    </row>
    <row r="41" spans="1:21" ht="36" customHeight="1" thickBot="1" x14ac:dyDescent="0.3">
      <c r="A41" s="346"/>
      <c r="B41" s="310"/>
      <c r="C41" s="335"/>
      <c r="D41" s="335"/>
      <c r="E41" s="934"/>
      <c r="F41" s="30"/>
      <c r="G41" s="1">
        <f t="shared" si="0"/>
        <v>0</v>
      </c>
      <c r="H41" s="49">
        <f t="shared" si="1"/>
        <v>0</v>
      </c>
      <c r="I41" s="7">
        <v>0</v>
      </c>
      <c r="J41" s="7">
        <v>0</v>
      </c>
      <c r="K41" s="7">
        <v>0</v>
      </c>
      <c r="L41" s="7">
        <v>0</v>
      </c>
      <c r="M41" s="8"/>
      <c r="N41" s="946"/>
      <c r="O41" s="171">
        <f>SUMIFS([1]اردیبهشت!$AD$2:$AD$600,[1]اردیبهشت!$N$2:$N$600,$C$40,[1]اردیبهشت!$D$2:$D$600,$F$41,[1]اردیبهشت!$AA$2:$AA$600,O3)</f>
        <v>0</v>
      </c>
      <c r="P41" s="171">
        <f>SUMIFS([1]اردیبهشت!$AD$2:$AD$600,[1]اردیبهشت!$N$2:$N$600,$C$40,[1]اردیبهشت!$D$2:$D$600,$F$41,[1]اردیبهشت!$AA$2:$AA$600,P3)</f>
        <v>0</v>
      </c>
      <c r="Q41" s="171">
        <f>SUMIFS([1]اردیبهشت!$AD$2:$AD$600,[1]اردیبهشت!$N$2:$N$600,$C$40,[1]اردیبهشت!$D$2:$D$600,$F$41,[1]اردیبهشت!$AA$2:$AA$600,Q3)</f>
        <v>0</v>
      </c>
      <c r="R41" s="171">
        <f>SUMIFS([1]اردیبهشت!$AD$2:$AD$600,[1]اردیبهشت!$N$2:$N$600,$C$40,[1]اردیبهشت!$D$2:$D$600,$F$41,[1]اردیبهشت!$AA$2:$AA$600,R3)</f>
        <v>0</v>
      </c>
      <c r="S41" s="171">
        <f>SUMIFS([1]اردیبهشت!$AD$2:$AD$600,[1]اردیبهشت!$N$2:$N$600,$C$40,[1]اردیبهشت!$D$2:$D$600,$F$41,[1]اردیبهشت!$AA$2:$AA$600,S3)</f>
        <v>0</v>
      </c>
      <c r="T41" s="171">
        <f>SUMIFS([1]اردیبهشت!$AD$2:$AD$600,[1]اردیبهشت!$N$2:$N$600,$C$40,[1]اردیبهشت!$D$2:$D$600,$F$41,[1]اردیبهشت!$AA$2:$AA$600,T3)</f>
        <v>0</v>
      </c>
      <c r="U41" s="359">
        <f>SUMIFS([1]اردیبهشت!$AD$2:$AD$600,[1]اردیبهشت!$N$2:$N$600,$C$40,[1]اردیبهشت!$D$2:$D$600,$F$41,[1]اردیبهشت!$AA$2:$AA$600,U3)</f>
        <v>0</v>
      </c>
    </row>
    <row r="42" spans="1:21" ht="36" customHeight="1" thickBot="1" x14ac:dyDescent="0.3">
      <c r="A42" s="346">
        <v>20</v>
      </c>
      <c r="B42" s="216" t="s">
        <v>63</v>
      </c>
      <c r="C42" s="336">
        <v>8009</v>
      </c>
      <c r="D42" s="336">
        <v>62.5</v>
      </c>
      <c r="E42" s="336" t="s">
        <v>15</v>
      </c>
      <c r="F42" s="54" t="s">
        <v>16</v>
      </c>
      <c r="G42" s="9">
        <f t="shared" si="0"/>
        <v>0</v>
      </c>
      <c r="H42" s="46">
        <f t="shared" si="1"/>
        <v>0</v>
      </c>
      <c r="I42" s="4">
        <v>0</v>
      </c>
      <c r="J42" s="4">
        <v>0</v>
      </c>
      <c r="K42" s="4">
        <v>0</v>
      </c>
      <c r="L42" s="4">
        <v>0</v>
      </c>
      <c r="M42" s="4">
        <f>SUM(G42:J42)-62</f>
        <v>-62</v>
      </c>
      <c r="N42" s="347" t="s">
        <v>31</v>
      </c>
      <c r="O42" s="181">
        <f>SUMIFS([1]اردیبهشت!$AF$2:$AF$700,[1]اردیبهشت!$O$2:$O$700,8009,[1]اردیبهشت!$D$2:$D$700,$F$42,[1]اردیبهشت!$AC$2:$AC$700,O3)</f>
        <v>0</v>
      </c>
      <c r="P42" s="297">
        <f>SUMIFS([1]اردیبهشت!$AF$2:$AF$700,[1]اردیبهشت!$O$2:$O$700,8009,[1]اردیبهشت!$D$2:$D$700,$F$42,[1]اردیبهشت!$AC$2:$AC$700,P3)</f>
        <v>0</v>
      </c>
      <c r="Q42" s="297">
        <f>SUMIFS([1]اردیبهشت!$AF$2:$AF$700,[1]اردیبهشت!$O$2:$O$700,8009,[1]اردیبهشت!$D$2:$D$700,$F$42,[1]اردیبهشت!$AC$2:$AC$700,Q3)</f>
        <v>0</v>
      </c>
      <c r="R42" s="297">
        <f>SUMIFS([1]اردیبهشت!$AF$2:$AF$700,[1]اردیبهشت!$O$2:$O$700,8009,[1]اردیبهشت!$D$2:$D$700,$F$42,[1]اردیبهشت!$AC$2:$AC$700,R3)</f>
        <v>0</v>
      </c>
      <c r="S42" s="297">
        <f>SUMIFS([1]اردیبهشت!$AF$2:$AF$700,[1]اردیبهشت!$O$2:$O$700,8009,[1]اردیبهشت!$D$2:$D$700,$F$42,[1]اردیبهشت!$AC$2:$AC$700,S3)</f>
        <v>0</v>
      </c>
      <c r="T42" s="297">
        <f>SUMIFS([1]اردیبهشت!$AF$2:$AF$700,[1]اردیبهشت!$O$2:$O$700,8009,[1]اردیبهشت!$D$2:$D$700,$F$42,[1]اردیبهشت!$AC$2:$AC$700,T3)</f>
        <v>0</v>
      </c>
      <c r="U42" s="360">
        <f>SUMIFS([1]اردیبهشت!$AF$2:$AF$700,[1]اردیبهشت!$O$2:$O$700,8009,[1]اردیبهشت!$D$2:$D$700,$F$42,[1]اردیبهشت!$AC$2:$AC$700,U3)</f>
        <v>0</v>
      </c>
    </row>
    <row r="43" spans="1:21" ht="36" customHeight="1" thickBot="1" x14ac:dyDescent="0.3">
      <c r="A43" s="344">
        <v>21</v>
      </c>
      <c r="B43" s="12" t="s">
        <v>32</v>
      </c>
      <c r="C43" s="13">
        <v>8002</v>
      </c>
      <c r="D43" s="13">
        <v>44</v>
      </c>
      <c r="E43" s="13" t="s">
        <v>15</v>
      </c>
      <c r="F43" s="31" t="s">
        <v>23</v>
      </c>
      <c r="G43" s="9">
        <f t="shared" si="0"/>
        <v>18.5</v>
      </c>
      <c r="H43" s="46">
        <f t="shared" si="1"/>
        <v>0</v>
      </c>
      <c r="I43" s="14">
        <v>0</v>
      </c>
      <c r="J43" s="14">
        <v>0</v>
      </c>
      <c r="K43" s="14">
        <v>0</v>
      </c>
      <c r="L43" s="14">
        <v>0</v>
      </c>
      <c r="M43" s="14">
        <f>SUM(G43:L43)-(D43)</f>
        <v>-25.5</v>
      </c>
      <c r="N43" s="326" t="s">
        <v>29</v>
      </c>
      <c r="O43" s="181">
        <f>SUMIFS([1]اردیبهشت!$AF$2:$AF$700,[1]اردیبهشت!$O$2:$O$700,8002,[1]اردیبهشت!$D$2:$D$700,$F$43,[1]اردیبهشت!$AC$2:$AC$700,O3)</f>
        <v>15</v>
      </c>
      <c r="P43" s="297">
        <f>SUMIFS([1]اردیبهشت!$AF$2:$AF$700,[1]اردیبهشت!$O$2:$O$700,8002,[1]اردیبهشت!$D$2:$D$700,$F$43,[1]اردیبهشت!$AC$2:$AC$700,P3)</f>
        <v>3.5</v>
      </c>
      <c r="Q43" s="297">
        <f>SUMIFS([1]اردیبهشت!$AF$2:$AF$700,[1]اردیبهشت!$O$2:$O$700,8002,[1]اردیبهشت!$D$2:$D$700,$F$43,[1]اردیبهشت!$AC$2:$AC$700,Q3)</f>
        <v>0</v>
      </c>
      <c r="R43" s="297">
        <f>SUMIFS([1]اردیبهشت!$AF$2:$AF$700,[1]اردیبهشت!$O$2:$O$700,8002,[1]اردیبهشت!$D$2:$D$700,$F$43,[1]اردیبهشت!$AC$2:$AC$700,R3)</f>
        <v>0</v>
      </c>
      <c r="S43" s="297">
        <f>SUMIFS([1]اردیبهشت!$AF$2:$AF$700,[1]اردیبهشت!$O$2:$O$700,8002,[1]اردیبهشت!$D$2:$D$700,$F$43,[1]اردیبهشت!$AC$2:$AC$700,S3)</f>
        <v>0</v>
      </c>
      <c r="T43" s="297">
        <f>SUMIFS([1]اردیبهشت!$AF$2:$AF$700,[1]اردیبهشت!$O$2:$O$700,8002,[1]اردیبهشت!$D$2:$D$700,$F$43,[1]اردیبهشت!$AC$2:$AC$700,T3)</f>
        <v>0</v>
      </c>
      <c r="U43" s="360">
        <f>SUMIFS([1]اردیبهشت!$AF$2:$AF$700,[1]اردیبهشت!$O$2:$O$700,8002,[1]اردیبهشت!$D$2:$D$700,$F$43,[1]اردیبهشت!$AC$2:$AC$700,U3)</f>
        <v>0</v>
      </c>
    </row>
    <row r="44" spans="1:21" ht="36" customHeight="1" x14ac:dyDescent="0.25">
      <c r="A44" s="957">
        <v>22</v>
      </c>
      <c r="B44" s="961" t="s">
        <v>33</v>
      </c>
      <c r="C44" s="943" t="s">
        <v>33</v>
      </c>
      <c r="D44" s="932">
        <v>62.5</v>
      </c>
      <c r="E44" s="943"/>
      <c r="F44" s="32" t="s">
        <v>16</v>
      </c>
      <c r="G44" s="9">
        <f t="shared" si="0"/>
        <v>28.5</v>
      </c>
      <c r="H44" s="46">
        <f t="shared" si="1"/>
        <v>6.5</v>
      </c>
      <c r="I44" s="9">
        <v>0</v>
      </c>
      <c r="J44" s="9">
        <v>0</v>
      </c>
      <c r="K44" s="9">
        <v>0</v>
      </c>
      <c r="L44" s="9">
        <v>0</v>
      </c>
      <c r="M44" s="9">
        <f>(SUM(G44:L44))-D44</f>
        <v>-27.5</v>
      </c>
      <c r="N44" s="33" t="s">
        <v>29</v>
      </c>
      <c r="O44" s="165">
        <f>SUMIFS([1]اردیبهشت!$AF$2:$AF$700,[1]اردیبهشت!$O$2:$O$700,"مونتاژ",[1]اردیبهشت!$D$2:$D$700,$F$44,[1]اردیبهشت!$AC$2:$AC$700,O3)</f>
        <v>0</v>
      </c>
      <c r="P44" s="292">
        <f>SUMIFS([1]اردیبهشت!$AF$2:$AF$700,[1]اردیبهشت!$O$2:$O$700,"مونتاژ",[1]اردیبهشت!$D$2:$D$700,$F$44,[1]اردیبهشت!$AC$2:$AC$700,P3)</f>
        <v>5</v>
      </c>
      <c r="Q44" s="292">
        <f>SUMIFS([1]اردیبهشت!$AF$2:$AF$700,[1]اردیبهشت!$O$2:$O$700,"مونتاژ",[1]اردیبهشت!$D$2:$D$700,$F$44,[1]اردیبهشت!$AC$2:$AC$700,Q3)</f>
        <v>9</v>
      </c>
      <c r="R44" s="292">
        <f>SUMIFS([1]اردیبهشت!$AF$2:$AF$700,[1]اردیبهشت!$O$2:$O$700,"مونتاژ",[1]اردیبهشت!$D$2:$D$700,$F$44,[1]اردیبهشت!$AC$2:$AC$700,R3)</f>
        <v>6.5</v>
      </c>
      <c r="S44" s="292">
        <f>SUMIFS([1]اردیبهشت!$AF$2:$AF$700,[1]اردیبهشت!$O$2:$O$700,"مونتاژ",[1]اردیبهشت!$D$2:$D$700,$F$44,[1]اردیبهشت!$AC$2:$AC$700,S3)</f>
        <v>6</v>
      </c>
      <c r="T44" s="292">
        <f>SUMIFS([1]اردیبهشت!$AF$2:$AF$700,[1]اردیبهشت!$O$2:$O$700,"مونتاژ",[1]اردیبهشت!$D$2:$D$700,$F$44,[1]اردیبهشت!$AC$2:$AC$700,T3)</f>
        <v>2</v>
      </c>
      <c r="U44" s="357">
        <f>SUMIFS([1]اردیبهشت!$AF$2:$AF$700,[1]اردیبهشت!$O$2:$O$700,"مونتاژ",[1]اردیبهشت!$D$2:$D$700,$F$44,[1]اردیبهشت!$AC$2:$AC$700,U3)</f>
        <v>6.5</v>
      </c>
    </row>
    <row r="45" spans="1:21" ht="36" customHeight="1" x14ac:dyDescent="0.25">
      <c r="A45" s="958"/>
      <c r="B45" s="962"/>
      <c r="C45" s="965"/>
      <c r="D45" s="933"/>
      <c r="E45" s="965"/>
      <c r="F45" s="29"/>
      <c r="G45" s="3">
        <f t="shared" si="0"/>
        <v>0</v>
      </c>
      <c r="H45" s="47">
        <f t="shared" si="1"/>
        <v>0</v>
      </c>
      <c r="I45" s="3">
        <v>0</v>
      </c>
      <c r="J45" s="3">
        <v>0</v>
      </c>
      <c r="K45" s="3">
        <v>0</v>
      </c>
      <c r="L45" s="3">
        <v>0</v>
      </c>
      <c r="M45" s="3">
        <f>(SUM(G45:L45))-D44</f>
        <v>-62.5</v>
      </c>
      <c r="N45" s="62"/>
      <c r="O45" s="166">
        <f>SUMIFS([1]اردیبهشت!$AD$2:$AD$600,[1]اردیبهشت!$N$2:$N$600,"مونتاژ",[1]اردیبهشت!$D$2:$D$600,$F$45,[1]اردیبهشت!$AA$2:$AA$600,O3)</f>
        <v>0</v>
      </c>
      <c r="P45" s="166">
        <f>SUMIFS([1]اردیبهشت!$AD$2:$AD$600,[1]اردیبهشت!$N$2:$N$600,"مونتاژ",[1]اردیبهشت!$D$2:$D$600,$F$45,[1]اردیبهشت!$AA$2:$AA$600,P3)</f>
        <v>0</v>
      </c>
      <c r="Q45" s="166">
        <f>SUMIFS([1]اردیبهشت!$AD$2:$AD$600,[1]اردیبهشت!$N$2:$N$600,"مونتاژ",[1]اردیبهشت!$D$2:$D$600,$F$45,[1]اردیبهشت!$AA$2:$AA$600,Q3)</f>
        <v>0</v>
      </c>
      <c r="R45" s="166">
        <f>SUMIFS([1]اردیبهشت!$AD$2:$AD$600,[1]اردیبهشت!$N$2:$N$600,"مونتاژ",[1]اردیبهشت!$D$2:$D$600,$F$45,[1]اردیبهشت!$AA$2:$AA$600,R3)</f>
        <v>0</v>
      </c>
      <c r="S45" s="166">
        <f>SUMIFS([1]اردیبهشت!$AD$2:$AD$600,[1]اردیبهشت!$N$2:$N$600,"مونتاژ",[1]اردیبهشت!$D$2:$D$600,$F$45,[1]اردیبهشت!$AA$2:$AA$600,S3)</f>
        <v>0</v>
      </c>
      <c r="T45" s="166">
        <f>SUMIFS([1]اردیبهشت!$AD$2:$AD$600,[1]اردیبهشت!$N$2:$N$600,"مونتاژ",[1]اردیبهشت!$D$2:$D$600,$F$45,[1]اردیبهشت!$AA$2:$AA$600,T3)</f>
        <v>0</v>
      </c>
      <c r="U45" s="358">
        <f>SUMIFS([1]اردیبهشت!$AD$2:$AD$600,[1]اردیبهشت!$N$2:$N$600,"مونتاژ",[1]اردیبهشت!$D$2:$D$600,$F$45,[1]اردیبهشت!$AA$2:$AA$600,U3)</f>
        <v>0</v>
      </c>
    </row>
    <row r="46" spans="1:21" ht="36" customHeight="1" x14ac:dyDescent="0.25">
      <c r="A46" s="959"/>
      <c r="B46" s="963"/>
      <c r="C46" s="966"/>
      <c r="D46" s="933"/>
      <c r="E46" s="966"/>
      <c r="F46" s="29" t="s">
        <v>54</v>
      </c>
      <c r="G46" s="3">
        <f t="shared" si="0"/>
        <v>36</v>
      </c>
      <c r="H46" s="47">
        <f t="shared" si="1"/>
        <v>2</v>
      </c>
      <c r="I46" s="3">
        <v>0</v>
      </c>
      <c r="J46" s="3">
        <v>0</v>
      </c>
      <c r="K46" s="3">
        <v>0</v>
      </c>
      <c r="L46" s="3">
        <v>0</v>
      </c>
      <c r="M46" s="3">
        <f>(SUM(G46:L46))-62</f>
        <v>-24</v>
      </c>
      <c r="N46" s="58"/>
      <c r="O46" s="166">
        <f>SUMIFS([1]اردیبهشت!$AF$2:$AF$700,[1]اردیبهشت!$O$2:$O$700,"مونتاژ",[1]اردیبهشت!$D$2:$D$700,$F$46,[1]اردیبهشت!$AC$2:$AC$700,O3)</f>
        <v>4</v>
      </c>
      <c r="P46" s="293">
        <f>SUMIFS([1]اردیبهشت!$AF$2:$AF$700,[1]اردیبهشت!$O$2:$O$700,"مونتاژ",[1]اردیبهشت!$D$2:$D$700,$F$46,[1]اردیبهشت!$AC$2:$AC$700,P3)</f>
        <v>5</v>
      </c>
      <c r="Q46" s="293">
        <f>SUMIFS([1]اردیبهشت!$AF$2:$AF$700,[1]اردیبهشت!$O$2:$O$700,"مونتاژ",[1]اردیبهشت!$D$2:$D$700,$F$46,[1]اردیبهشت!$AC$2:$AC$700,Q3)</f>
        <v>6</v>
      </c>
      <c r="R46" s="293">
        <f>SUMIFS([1]اردیبهشت!$AF$2:$AF$700,[1]اردیبهشت!$O$2:$O$700,"مونتاژ",[1]اردیبهشت!$D$2:$D$700,$F$46,[1]اردیبهشت!$AC$2:$AC$700,R3)</f>
        <v>9</v>
      </c>
      <c r="S46" s="293">
        <f>SUMIFS([1]اردیبهشت!$AF$2:$AF$700,[1]اردیبهشت!$O$2:$O$700,"مونتاژ",[1]اردیبهشت!$D$2:$D$700,$F$46,[1]اردیبهشت!$AC$2:$AC$700,S3)</f>
        <v>6</v>
      </c>
      <c r="T46" s="293">
        <f>SUMIFS([1]اردیبهشت!$AF$2:$AF$700,[1]اردیبهشت!$O$2:$O$700,"مونتاژ",[1]اردیبهشت!$D$2:$D$700,$F$46,[1]اردیبهشت!$AC$2:$AC$700,T3)</f>
        <v>6</v>
      </c>
      <c r="U46" s="361">
        <f>SUMIFS([1]اردیبهشت!$AF$2:$AF$700,[1]اردیبهشت!$O$2:$O$700,"مونتاژ",[1]اردیبهشت!$D$2:$D$700,$F$46,[1]اردیبهشت!$AC$2:$AC$700,U3)</f>
        <v>2</v>
      </c>
    </row>
    <row r="47" spans="1:21" ht="36" customHeight="1" thickBot="1" x14ac:dyDescent="0.3">
      <c r="A47" s="960"/>
      <c r="B47" s="964"/>
      <c r="C47" s="944"/>
      <c r="D47" s="934"/>
      <c r="E47" s="944"/>
      <c r="F47" s="30"/>
      <c r="G47" s="6">
        <f t="shared" si="0"/>
        <v>0</v>
      </c>
      <c r="H47" s="64">
        <f t="shared" si="1"/>
        <v>0</v>
      </c>
      <c r="I47" s="7">
        <v>0</v>
      </c>
      <c r="J47" s="7">
        <v>0</v>
      </c>
      <c r="K47" s="7">
        <v>0</v>
      </c>
      <c r="L47" s="7">
        <v>0</v>
      </c>
      <c r="M47" s="7">
        <f>SUM(G47:J47)-62</f>
        <v>-62</v>
      </c>
      <c r="N47" s="34"/>
      <c r="O47" s="171">
        <f>SUMIFS([1]اردیبهشت!$AD$2:$AD$600,[1]اردیبهشت!$N$2:$N$600,"مونتاژ",[1]اردیبهشت!$D$2:$D$600,$F$47,[1]اردیبهشت!$AA$2:$AA$600,O3)</f>
        <v>0</v>
      </c>
      <c r="P47" s="171">
        <f>SUMIFS([1]اردیبهشت!$AD$2:$AD$600,[1]اردیبهشت!$N$2:$N$600,"مونتاژ",[1]اردیبهشت!$D$2:$D$600,$F$47,[1]اردیبهشت!$AA$2:$AA$600,P3)</f>
        <v>0</v>
      </c>
      <c r="Q47" s="171">
        <f>SUMIFS([1]اردیبهشت!$AD$2:$AD$600,[1]اردیبهشت!$N$2:$N$600,"مونتاژ",[1]اردیبهشت!$D$2:$D$600,$F$47,[1]اردیبهشت!$AA$2:$AA$600,Q3)</f>
        <v>0</v>
      </c>
      <c r="R47" s="171">
        <f>SUMIFS([1]اردیبهشت!$AD$2:$AD$600,[1]اردیبهشت!$N$2:$N$600,"مونتاژ",[1]اردیبهشت!$D$2:$D$600,$F$47,[1]اردیبهشت!$AA$2:$AA$600,R3)</f>
        <v>0</v>
      </c>
      <c r="S47" s="171">
        <f>SUMIFS([1]اردیبهشت!$AD$2:$AD$600,[1]اردیبهشت!$N$2:$N$600,"مونتاژ",[1]اردیبهشت!$D$2:$D$600,$F$47,[1]اردیبهشت!$AA$2:$AA$600,S3)</f>
        <v>0</v>
      </c>
      <c r="T47" s="171">
        <f>SUMIFS([1]اردیبهشت!$AD$2:$AD$600,[1]اردیبهشت!$N$2:$N$600,"مونتاژ",[1]اردیبهشت!$D$2:$D$600,$F$47,[1]اردیبهشت!$AA$2:$AA$600,T3)</f>
        <v>0</v>
      </c>
      <c r="U47" s="359">
        <f>SUMIFS([1]اردیبهشت!$AD$2:$AD$600,[1]اردیبهشت!$N$2:$N$600,"مونتاژ",[1]اردیبهشت!$D$2:$D$600,$F$47,[1]اردیبهشت!$AA$2:$AA$600,U3)</f>
        <v>0</v>
      </c>
    </row>
    <row r="48" spans="1:21" ht="36" customHeight="1" x14ac:dyDescent="0.25">
      <c r="A48" s="967">
        <v>23</v>
      </c>
      <c r="B48" s="961" t="s">
        <v>33</v>
      </c>
      <c r="C48" s="943" t="s">
        <v>34</v>
      </c>
      <c r="D48" s="932">
        <v>62.5</v>
      </c>
      <c r="E48" s="932"/>
      <c r="F48" s="32" t="s">
        <v>16</v>
      </c>
      <c r="G48" s="9">
        <f t="shared" si="0"/>
        <v>7.5</v>
      </c>
      <c r="H48" s="46">
        <f t="shared" si="1"/>
        <v>0</v>
      </c>
      <c r="I48" s="9">
        <v>0</v>
      </c>
      <c r="J48" s="9">
        <v>0</v>
      </c>
      <c r="K48" s="9">
        <v>0</v>
      </c>
      <c r="L48" s="9">
        <v>0</v>
      </c>
      <c r="M48" s="9">
        <f>SUM(G48:L48)-62</f>
        <v>-54.5</v>
      </c>
      <c r="N48" s="56"/>
      <c r="O48" s="165">
        <f>SUMIFS([1]اردیبهشت!$AF$2:$AF$700,[1]اردیبهشت!$O$2:$O$700,"دمونتاژ",[1]اردیبهشت!$D$2:$D$700,$F$44,[1]اردیبهشت!$AC$2:$AC$700,O3)</f>
        <v>6</v>
      </c>
      <c r="P48" s="292">
        <f>SUMIFS([1]اردیبهشت!$AF$2:$AF$700,[1]اردیبهشت!$O$2:$O$700,"دمونتاژ",[1]اردیبهشت!$D$2:$D$700,$F$44,[1]اردیبهشت!$AC$2:$AC$700,P3)</f>
        <v>0</v>
      </c>
      <c r="Q48" s="292">
        <f>SUMIFS([1]اردیبهشت!$AF$2:$AF$700,[1]اردیبهشت!$O$2:$O$700,"دمونتاژ",[1]اردیبهشت!$D$2:$D$700,$F$44,[1]اردیبهشت!$AC$2:$AC$700,Q3)</f>
        <v>0</v>
      </c>
      <c r="R48" s="292">
        <f>SUMIFS([1]اردیبهشت!$AF$2:$AF$700,[1]اردیبهشت!$O$2:$O$700,"دمونتاژ",[1]اردیبهشت!$D$2:$D$700,$F$44,[1]اردیبهشت!$AC$2:$AC$700,R3)</f>
        <v>0</v>
      </c>
      <c r="S48" s="292">
        <f>SUMIFS([1]اردیبهشت!$AF$2:$AF$700,[1]اردیبهشت!$O$2:$O$700,"دمونتاژ",[1]اردیبهشت!$D$2:$D$700,$F$44,[1]اردیبهشت!$AC$2:$AC$700,S3)</f>
        <v>0</v>
      </c>
      <c r="T48" s="292">
        <f>SUMIFS([1]اردیبهشت!$AF$2:$AF$700,[1]اردیبهشت!$O$2:$O$700,"دمونتاژ",[1]اردیبهشت!$D$2:$D$700,$F$44,[1]اردیبهشت!$AC$2:$AC$700,T3)</f>
        <v>1.5</v>
      </c>
      <c r="U48" s="357">
        <f>SUMIFS([1]اردیبهشت!$AF$2:$AF$700,[1]اردیبهشت!$O$2:$O$700,"دمونتاژ",[1]اردیبهشت!$D$2:$D$700,$F$44,[1]اردیبهشت!$AC$2:$AC$700,U3)</f>
        <v>0</v>
      </c>
    </row>
    <row r="49" spans="1:21" ht="36" customHeight="1" x14ac:dyDescent="0.25">
      <c r="A49" s="967"/>
      <c r="B49" s="962"/>
      <c r="C49" s="965"/>
      <c r="D49" s="933"/>
      <c r="E49" s="933"/>
      <c r="F49" s="29"/>
      <c r="G49" s="3">
        <f t="shared" si="0"/>
        <v>0</v>
      </c>
      <c r="H49" s="47">
        <f t="shared" si="1"/>
        <v>0</v>
      </c>
      <c r="I49" s="3">
        <v>0</v>
      </c>
      <c r="J49" s="3">
        <v>0</v>
      </c>
      <c r="K49" s="3">
        <v>0</v>
      </c>
      <c r="L49" s="3">
        <v>0</v>
      </c>
      <c r="M49" s="3">
        <f>SUM(G49:L49)-62</f>
        <v>-62</v>
      </c>
      <c r="N49" s="62"/>
      <c r="O49" s="166">
        <f>SUMIFS([1]اردیبهشت!$AD$2:$AD$600,[1]اردیبهشت!$N$2:$N$600,"دمونتاژ",[1]اردیبهشت!$D$2:$D$600,$F$49,[1]اردیبهشت!$AA$2:$AA$600,O3)</f>
        <v>0</v>
      </c>
      <c r="P49" s="166">
        <f>SUMIFS([1]اردیبهشت!$AD$2:$AD$600,[1]اردیبهشت!$N$2:$N$600,"دمونتاژ",[1]اردیبهشت!$D$2:$D$600,$F$49,[1]اردیبهشت!$AA$2:$AA$600,P3)</f>
        <v>0</v>
      </c>
      <c r="Q49" s="166">
        <f>SUMIFS([1]اردیبهشت!$AD$2:$AD$600,[1]اردیبهشت!$N$2:$N$600,"دمونتاژ",[1]اردیبهشت!$D$2:$D$600,$F$49,[1]اردیبهشت!$AA$2:$AA$600,Q3)</f>
        <v>0</v>
      </c>
      <c r="R49" s="166">
        <f>SUMIFS([1]اردیبهشت!$AD$2:$AD$600,[1]اردیبهشت!$N$2:$N$600,"دمونتاژ",[1]اردیبهشت!$D$2:$D$600,$F$49,[1]اردیبهشت!$AA$2:$AA$600,R3)</f>
        <v>0</v>
      </c>
      <c r="S49" s="166">
        <f>SUMIFS([1]اردیبهشت!$AD$2:$AD$600,[1]اردیبهشت!$N$2:$N$600,"دمونتاژ",[1]اردیبهشت!$D$2:$D$600,$F$49,[1]اردیبهشت!$AA$2:$AA$600,S3)</f>
        <v>0</v>
      </c>
      <c r="T49" s="166">
        <f>SUMIFS([1]اردیبهشت!$AD$2:$AD$600,[1]اردیبهشت!$N$2:$N$600,"دمونتاژ",[1]اردیبهشت!$D$2:$D$600,$F$49,[1]اردیبهشت!$AA$2:$AA$600,T3)</f>
        <v>0</v>
      </c>
      <c r="U49" s="358">
        <f>SUMIFS([1]اردیبهشت!$AD$2:$AD$600,[1]اردیبهشت!$N$2:$N$600,"دمونتاژ",[1]اردیبهشت!$D$2:$D$600,$F$49,[1]اردیبهشت!$AA$2:$AA$600,U3)</f>
        <v>0</v>
      </c>
    </row>
    <row r="50" spans="1:21" ht="36" customHeight="1" x14ac:dyDescent="0.25">
      <c r="A50" s="967"/>
      <c r="B50" s="962"/>
      <c r="C50" s="965"/>
      <c r="D50" s="933"/>
      <c r="E50" s="933"/>
      <c r="F50" s="29" t="s">
        <v>54</v>
      </c>
      <c r="G50" s="3">
        <f t="shared" si="0"/>
        <v>10</v>
      </c>
      <c r="H50" s="47">
        <f t="shared" si="1"/>
        <v>0</v>
      </c>
      <c r="I50" s="3">
        <v>0</v>
      </c>
      <c r="J50" s="3">
        <v>0</v>
      </c>
      <c r="K50" s="3">
        <v>0</v>
      </c>
      <c r="L50" s="3">
        <v>0</v>
      </c>
      <c r="M50" s="3">
        <f>SUM(G50:L50)-62</f>
        <v>-52</v>
      </c>
      <c r="N50" s="62"/>
      <c r="O50" s="166">
        <f>SUMIFS([1]اردیبهشت!$AF$2:$AF$700,[1]اردیبهشت!$O$2:$O$700,"دمونتاژ",[1]اردیبهشت!$D$2:$D$700,$F$50,[1]اردیبهشت!$AC$2:$AC$700,O3)</f>
        <v>6</v>
      </c>
      <c r="P50" s="293">
        <f>SUMIFS([1]اردیبهشت!$AF$2:$AF$700,[1]اردیبهشت!$O$2:$O$700,"دمونتاژ",[1]اردیبهشت!$D$2:$D$700,$F$50,[1]اردیبهشت!$AC$2:$AC$700,P3)</f>
        <v>2</v>
      </c>
      <c r="Q50" s="293">
        <f>SUMIFS([1]اردیبهشت!$AF$2:$AF$700,[1]اردیبهشت!$O$2:$O$700,"دمونتاژ",[1]اردیبهشت!$D$2:$D$700,$F$50,[1]اردیبهشت!$AC$2:$AC$700,Q3)</f>
        <v>2</v>
      </c>
      <c r="R50" s="293">
        <f>SUMIFS([1]اردیبهشت!$AF$2:$AF$700,[1]اردیبهشت!$O$2:$O$700,"دمونتاژ",[1]اردیبهشت!$D$2:$D$700,$F$50,[1]اردیبهشت!$AC$2:$AC$700,R3)</f>
        <v>0</v>
      </c>
      <c r="S50" s="293">
        <f>SUMIFS([1]اردیبهشت!$AF$2:$AF$700,[1]اردیبهشت!$O$2:$O$700,"دمونتاژ",[1]اردیبهشت!$D$2:$D$700,$F$50,[1]اردیبهشت!$AC$2:$AC$700,S3)</f>
        <v>0</v>
      </c>
      <c r="T50" s="293">
        <f>SUMIFS([1]اردیبهشت!$AF$2:$AF$700,[1]اردیبهشت!$O$2:$O$700,"دمونتاژ",[1]اردیبهشت!$D$2:$D$700,$F$50,[1]اردیبهشت!$AC$2:$AC$700,T3)</f>
        <v>0</v>
      </c>
      <c r="U50" s="361">
        <f>SUMIFS([1]اردیبهشت!$AF$2:$AF$700,[1]اردیبهشت!$O$2:$O$700,"دمونتاژ",[1]اردیبهشت!$D$2:$D$700,$F$50,[1]اردیبهشت!$AC$2:$AC$700,U3)</f>
        <v>0</v>
      </c>
    </row>
    <row r="51" spans="1:21" ht="36" customHeight="1" thickBot="1" x14ac:dyDescent="0.3">
      <c r="A51" s="967"/>
      <c r="B51" s="963"/>
      <c r="C51" s="966"/>
      <c r="D51" s="934"/>
      <c r="E51" s="934"/>
      <c r="F51" s="334"/>
      <c r="G51" s="4">
        <f t="shared" si="0"/>
        <v>0</v>
      </c>
      <c r="H51" s="49">
        <f t="shared" si="1"/>
        <v>0</v>
      </c>
      <c r="I51" s="25">
        <v>0</v>
      </c>
      <c r="J51" s="25">
        <v>0</v>
      </c>
      <c r="K51" s="25">
        <v>0</v>
      </c>
      <c r="L51" s="25">
        <v>0</v>
      </c>
      <c r="M51" s="25">
        <f>SUM(G51:L51)-62</f>
        <v>-62</v>
      </c>
      <c r="N51" s="58"/>
      <c r="O51" s="171">
        <f>SUMIFS([1]اردیبهشت!$AD$2:$AD$600,[1]اردیبهشت!$N$2:$N$600,"دمونتاژ",[1]اردیبهشت!$D$2:$D$600,$F$51,[1]اردیبهشت!$AA$2:$AA$600,O3)</f>
        <v>0</v>
      </c>
      <c r="P51" s="171">
        <f>SUMIFS([1]اردیبهشت!$AD$2:$AD$600,[1]اردیبهشت!$N$2:$N$600,"دمونتاژ",[1]اردیبهشت!$D$2:$D$600,$F$51,[1]اردیبهشت!$AA$2:$AA$600,P3)</f>
        <v>0</v>
      </c>
      <c r="Q51" s="171">
        <f>SUMIFS([1]اردیبهشت!$AD$2:$AD$600,[1]اردیبهشت!$N$2:$N$600,"دمونتاژ",[1]اردیبهشت!$D$2:$D$600,$F$51,[1]اردیبهشت!$AA$2:$AA$600,Q3)</f>
        <v>0</v>
      </c>
      <c r="R51" s="171">
        <f>SUMIFS([1]اردیبهشت!$AD$2:$AD$600,[1]اردیبهشت!$N$2:$N$600,"دمونتاژ",[1]اردیبهشت!$D$2:$D$600,$F$51,[1]اردیبهشت!$AA$2:$AA$600,R3)</f>
        <v>0</v>
      </c>
      <c r="S51" s="171">
        <f>SUMIFS([1]اردیبهشت!$AD$2:$AD$600,[1]اردیبهشت!$N$2:$N$600,"دمونتاژ",[1]اردیبهشت!$D$2:$D$600,$F$51,[1]اردیبهشت!$AA$2:$AA$600,S3)</f>
        <v>0</v>
      </c>
      <c r="T51" s="171">
        <f>SUMIFS([1]اردیبهشت!$AD$2:$AD$600,[1]اردیبهشت!$N$2:$N$600,"دمونتاژ",[1]اردیبهشت!$D$2:$D$600,$F$51,[1]اردیبهشت!$AA$2:$AA$600,T3)</f>
        <v>0</v>
      </c>
      <c r="U51" s="359">
        <f>SUMIFS([1]اردیبهشت!$AD$2:$AD$600,[1]اردیبهشت!$N$2:$N$600,"دمونتاژ",[1]اردیبهشت!$D$2:$D$600,$F$51,[1]اردیبهشت!$AA$2:$AA$600,U3)</f>
        <v>0</v>
      </c>
    </row>
    <row r="52" spans="1:21" ht="42.75" customHeight="1" thickBot="1" x14ac:dyDescent="0.3">
      <c r="A52" s="951" t="s">
        <v>49</v>
      </c>
      <c r="B52" s="952"/>
      <c r="C52" s="952"/>
      <c r="D52" s="952"/>
      <c r="E52" s="952"/>
      <c r="F52" s="953"/>
      <c r="G52" s="148">
        <f>SUM(G4:G50)-G43</f>
        <v>892.2833333333333</v>
      </c>
      <c r="H52" s="148">
        <f>SUM(H4:H51)</f>
        <v>57.5</v>
      </c>
      <c r="I52" s="148">
        <f>SUM(I4:I51)</f>
        <v>26.5</v>
      </c>
      <c r="J52" s="148">
        <f>SUM(J4:J51)</f>
        <v>134</v>
      </c>
      <c r="K52" s="148"/>
      <c r="L52" s="148"/>
      <c r="M52" s="149">
        <f>SUMIFS(M4:M51,F4:F51,"*")</f>
        <v>-369.7166666666667</v>
      </c>
      <c r="N52" s="306"/>
      <c r="O52" s="302">
        <f>SUM(O4:O51)</f>
        <v>164.66666666666666</v>
      </c>
      <c r="P52" s="198">
        <f t="shared" ref="P52:U52" si="2">SUM(P4:P51)</f>
        <v>147.83333333333331</v>
      </c>
      <c r="Q52" s="198">
        <f t="shared" si="2"/>
        <v>173.66666666666669</v>
      </c>
      <c r="R52" s="198">
        <f t="shared" si="2"/>
        <v>156.28333333333333</v>
      </c>
      <c r="S52" s="198">
        <f t="shared" si="2"/>
        <v>179.83333333333334</v>
      </c>
      <c r="T52" s="198">
        <f t="shared" si="2"/>
        <v>88.5</v>
      </c>
      <c r="U52" s="150">
        <f t="shared" si="2"/>
        <v>57.5</v>
      </c>
    </row>
  </sheetData>
  <mergeCells count="41">
    <mergeCell ref="E16:E18"/>
    <mergeCell ref="N16:N18"/>
    <mergeCell ref="A1:L2"/>
    <mergeCell ref="O1:U2"/>
    <mergeCell ref="E4:E6"/>
    <mergeCell ref="N4:N6"/>
    <mergeCell ref="E7:E9"/>
    <mergeCell ref="E20:E22"/>
    <mergeCell ref="N20:N22"/>
    <mergeCell ref="E23:E25"/>
    <mergeCell ref="N23:N25"/>
    <mergeCell ref="E26:E28"/>
    <mergeCell ref="N26:N28"/>
    <mergeCell ref="A29:A30"/>
    <mergeCell ref="E29:E30"/>
    <mergeCell ref="N29:N30"/>
    <mergeCell ref="A31:A32"/>
    <mergeCell ref="E31:E32"/>
    <mergeCell ref="N31:N32"/>
    <mergeCell ref="A33:A34"/>
    <mergeCell ref="E33:E34"/>
    <mergeCell ref="N33:N34"/>
    <mergeCell ref="A35:A36"/>
    <mergeCell ref="E35:E36"/>
    <mergeCell ref="N35:N36"/>
    <mergeCell ref="A52:F52"/>
    <mergeCell ref="A37:A38"/>
    <mergeCell ref="E37:E38"/>
    <mergeCell ref="N37:N38"/>
    <mergeCell ref="E39:E41"/>
    <mergeCell ref="N39:N41"/>
    <mergeCell ref="A44:A47"/>
    <mergeCell ref="B44:B47"/>
    <mergeCell ref="C44:C47"/>
    <mergeCell ref="D44:D47"/>
    <mergeCell ref="E44:E47"/>
    <mergeCell ref="A48:A51"/>
    <mergeCell ref="B48:B51"/>
    <mergeCell ref="C48:C51"/>
    <mergeCell ref="D48:D51"/>
    <mergeCell ref="E48:E51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 M8" formulaRange="1"/>
  </ignoredErrors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A6CF-44B4-4E24-AFDD-06CB28716AEE}">
  <sheetPr>
    <pageSetUpPr fitToPage="1"/>
  </sheetPr>
  <dimension ref="A1:U52"/>
  <sheetViews>
    <sheetView rightToLeft="1" view="pageLayout" zoomScaleNormal="100" workbookViewId="0">
      <selection activeCell="L5" sqref="L5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20" width="6.42578125" style="52" hidden="1" customWidth="1"/>
    <col min="21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9</v>
      </c>
      <c r="O2" s="926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291" t="s">
        <v>109</v>
      </c>
      <c r="P3" s="291" t="s">
        <v>110</v>
      </c>
      <c r="Q3" s="291" t="s">
        <v>111</v>
      </c>
      <c r="R3" s="291" t="s">
        <v>112</v>
      </c>
      <c r="S3" s="291" t="s">
        <v>113</v>
      </c>
      <c r="T3" s="291" t="s">
        <v>114</v>
      </c>
      <c r="U3" s="392" t="s">
        <v>115</v>
      </c>
    </row>
    <row r="4" spans="1:21" ht="36" customHeight="1" x14ac:dyDescent="0.25">
      <c r="A4" s="365"/>
      <c r="B4" s="380"/>
      <c r="C4" s="307"/>
      <c r="D4" s="39"/>
      <c r="E4" s="932" t="s">
        <v>15</v>
      </c>
      <c r="F4" s="370" t="s">
        <v>55</v>
      </c>
      <c r="G4" s="9">
        <f>SUM(O4:T4)</f>
        <v>53.5</v>
      </c>
      <c r="H4" s="46">
        <f>U4</f>
        <v>6.5</v>
      </c>
      <c r="I4" s="9">
        <v>2.5</v>
      </c>
      <c r="J4" s="9">
        <v>0</v>
      </c>
      <c r="K4" s="9">
        <v>0</v>
      </c>
      <c r="L4" s="9">
        <v>0</v>
      </c>
      <c r="M4" s="28"/>
      <c r="N4" s="945" t="s">
        <v>101</v>
      </c>
      <c r="O4" s="292">
        <f>SUMIFS([1]اردیبهشت!$AF$2:$AF$805,[1]اردیبهشت!$O$2:$O$805,7101,[1]اردیبهشت!$D$2:$D$805,$F$4,[1]اردیبهشت!$AC$2:$AC$805,O3)</f>
        <v>11</v>
      </c>
      <c r="P4" s="292">
        <f>SUMIFS([1]اردیبهشت!$AF$2:$AF$805,[1]اردیبهشت!$O$2:$O$805,7101,[1]اردیبهشت!$D$2:$D$805,$F$4,[1]اردیبهشت!$AC$2:$AC$805,P3)</f>
        <v>5.5</v>
      </c>
      <c r="Q4" s="292">
        <f>SUMIFS([1]اردیبهشت!$AF$2:$AF$805,[1]اردیبهشت!$O$2:$O$805,7101,[1]اردیبهشت!$D$2:$D$805,$F$4,[1]اردیبهشت!$AC$2:$AC$805,Q3)</f>
        <v>11</v>
      </c>
      <c r="R4" s="292">
        <f>SUMIFS([1]اردیبهشت!$AF$2:$AF$805,[1]اردیبهشت!$O$2:$O$805,7101,[1]اردیبهشت!$D$2:$D$805,$F$4,[1]اردیبهشت!$AC$2:$AC$805,R3)</f>
        <v>8</v>
      </c>
      <c r="S4" s="292">
        <f>SUMIFS([1]اردیبهشت!$AF$2:$AF$805,[1]اردیبهشت!$O$2:$O$805,7101,[1]اردیبهشت!$D$2:$D$805,$F$4,[1]اردیبهشت!$AC$2:$AC$805,S3)</f>
        <v>11</v>
      </c>
      <c r="T4" s="292">
        <f>SUMIFS([1]اردیبهشت!$AF$2:$AF$805,[1]اردیبهشت!$O$2:$O$805,7101,[1]اردیبهشت!$D$2:$D$805,$F$4,[1]اردیبهشت!$AC$2:$AC$805,T3)</f>
        <v>7</v>
      </c>
      <c r="U4" s="393">
        <f>SUMIFS([1]خرداد!$AF$2:$AF$805,[1]خرداد!$O$2:$O$805,7101,[1]خرداد!$D$2:$D$805,$F$4,[1]خرداد!$AC$2:$AC$805,U3)</f>
        <v>6.5</v>
      </c>
    </row>
    <row r="5" spans="1:21" ht="36" customHeight="1" x14ac:dyDescent="0.25">
      <c r="A5" s="366">
        <v>1</v>
      </c>
      <c r="B5" s="381" t="s">
        <v>14</v>
      </c>
      <c r="C5" s="308">
        <v>7101</v>
      </c>
      <c r="D5" s="2">
        <v>62.5</v>
      </c>
      <c r="E5" s="933"/>
      <c r="F5" s="371"/>
      <c r="G5" s="3">
        <f t="shared" ref="G5:G51" si="0">SUM(O5:T5)</f>
        <v>0</v>
      </c>
      <c r="H5" s="47">
        <f t="shared" ref="H5:H51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0</v>
      </c>
      <c r="N5" s="929"/>
      <c r="O5" s="293">
        <f>SUMIFS([1]اردیبهشت!$AD$2:$AD$600,[1]اردیبهشت!$N$2:$N$600,7101,[1]اردیبهشت!$D$2:$D$600,$F$5,[1]اردیبهشت!$AA$2:$AA$600,O3)</f>
        <v>0</v>
      </c>
      <c r="P5" s="168">
        <f>SUMIFS([1]اردیبهشت!$AD$2:$AD$600,[1]اردیبهشت!$N$2:$N$600,7101,[1]اردیبهشت!$D$2:$D$600,$F$5,[1]اردیبهشت!$AA$2:$AA$600,P3)</f>
        <v>0</v>
      </c>
      <c r="Q5" s="168">
        <f>SUMIFS([1]اردیبهشت!$AD$2:$AD$600,[1]اردیبهشت!$N$2:$N$600,7101,[1]اردیبهشت!$D$2:$D$600,$F$5,[1]اردیبهشت!$AA$2:$AA$600,Q3)</f>
        <v>0</v>
      </c>
      <c r="R5" s="168">
        <f>SUMIFS([1]اردیبهشت!$AD$2:$AD$600,[1]اردیبهشت!$N$2:$N$600,7101,[1]اردیبهشت!$D$2:$D$600,$F$5,[1]اردیبهشت!$AA$2:$AA$600,R3)</f>
        <v>0</v>
      </c>
      <c r="S5" s="168">
        <f>SUMIFS([1]اردیبهشت!$AD$2:$AD$600,[1]اردیبهشت!$N$2:$N$600,7101,[1]اردیبهشت!$D$2:$D$600,$F$5,[1]اردیبهشت!$AA$2:$AA$600,S3)</f>
        <v>0</v>
      </c>
      <c r="T5" s="168">
        <f>SUMIFS([1]اردیبهشت!$AD$2:$AD$600,[1]اردیبهشت!$N$2:$N$600,7101,[1]اردیبهشت!$D$2:$D$600,$F$5,[1]اردیبهشت!$AA$2:$AA$600,T3)</f>
        <v>0</v>
      </c>
      <c r="U5" s="96">
        <f>SUMIFS([1]اردیبهشت!$AD$2:$AD$600,[1]اردیبهشت!$N$2:$N$600,7101,[1]اردیبهشت!$D$2:$D$600,$F$5,[1]اردیبهشت!$AA$2:$AA$600,U3)</f>
        <v>0</v>
      </c>
    </row>
    <row r="6" spans="1:21" ht="36" customHeight="1" thickBot="1" x14ac:dyDescent="0.3">
      <c r="A6" s="367"/>
      <c r="B6" s="88"/>
      <c r="C6" s="310"/>
      <c r="D6" s="373"/>
      <c r="E6" s="934"/>
      <c r="F6" s="5"/>
      <c r="G6" s="6">
        <f t="shared" si="0"/>
        <v>0</v>
      </c>
      <c r="H6" s="64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352">
        <f>SUMIFS([1]اردیبهشت!$AD$2:$AD$600,[1]اردیبهشت!$N$2:$N$600,7101,[1]اردیبهشت!$D$2:$D$600,$F$6,[1]اردیبهشت!$AA$2:$AA$600,O3)</f>
        <v>0</v>
      </c>
      <c r="P6" s="175">
        <f>SUMIFS([1]اردیبهشت!$AD$2:$AD$600,[1]اردیبهشت!$N$2:$N$600,7101,[1]اردیبهشت!$D$2:$D$600,$F$6,[1]اردیبهشت!$AA$2:$AA$600,P3)</f>
        <v>0</v>
      </c>
      <c r="Q6" s="175">
        <f>SUMIFS([1]اردیبهشت!$AD$2:$AD$600,[1]اردیبهشت!$N$2:$N$600,7101,[1]اردیبهشت!$D$2:$D$600,$F$6,[1]اردیبهشت!$AA$2:$AA$600,Q3)</f>
        <v>0</v>
      </c>
      <c r="R6" s="175">
        <f>SUMIFS([1]اردیبهشت!$AD$2:$AD$600,[1]اردیبهشت!$N$2:$N$600,7101,[1]اردیبهشت!$D$2:$D$600,$F$6,[1]اردیبهشت!$AA$2:$AA$600,R3)</f>
        <v>0</v>
      </c>
      <c r="S6" s="175">
        <f>SUMIFS([1]اردیبهشت!$AD$2:$AD$600,[1]اردیبهشت!$N$2:$N$600,7101,[1]اردیبهشت!$D$2:$D$600,$F$6,[1]اردیبهشت!$AA$2:$AA$600,S3)</f>
        <v>0</v>
      </c>
      <c r="T6" s="175">
        <f>SUMIFS([1]اردیبهشت!$AD$2:$AD$600,[1]اردیبهشت!$N$2:$N$600,7101,[1]اردیبهشت!$D$2:$D$600,$F$6,[1]اردیبهشت!$AA$2:$AA$600,T3)</f>
        <v>0</v>
      </c>
      <c r="U6" s="97">
        <f>SUMIFS([1]اردیبهشت!$AD$2:$AD$600,[1]اردیبهشت!$N$2:$N$600,7101,[1]اردیبهشت!$D$2:$D$600,$F$6,[1]اردیبهشت!$AA$2:$AA$600,U3)</f>
        <v>0</v>
      </c>
    </row>
    <row r="7" spans="1:21" ht="36" customHeight="1" x14ac:dyDescent="0.25">
      <c r="A7" s="383"/>
      <c r="B7" s="216"/>
      <c r="C7" s="224"/>
      <c r="D7" s="387"/>
      <c r="E7" s="932" t="s">
        <v>15</v>
      </c>
      <c r="F7" s="20" t="s">
        <v>20</v>
      </c>
      <c r="G7" s="1">
        <f t="shared" si="0"/>
        <v>60</v>
      </c>
      <c r="H7" s="49">
        <f t="shared" si="1"/>
        <v>0</v>
      </c>
      <c r="I7" s="1">
        <v>0</v>
      </c>
      <c r="J7" s="1">
        <v>0</v>
      </c>
      <c r="K7" s="1">
        <v>0</v>
      </c>
      <c r="L7" s="1">
        <v>0</v>
      </c>
      <c r="M7" s="69"/>
      <c r="N7" s="376"/>
      <c r="O7" s="165">
        <f>SUMIFS([1]اردیبهشت!$AF$2:$AF$805,[1]اردیبهشت!$O$2:$O$805,7102,[1]اردیبهشت!$D$2:$D$805,$F$7,[1]اردیبهشت!$AC$2:$AC$805,O3)</f>
        <v>11</v>
      </c>
      <c r="P7" s="292">
        <f>SUMIFS([1]اردیبهشت!$AF$2:$AF$805,[1]اردیبهشت!$O$2:$O$805,7102,[1]اردیبهشت!$D$2:$D$805,$F$7,[1]اردیبهشت!$AC$2:$AC$805,P3)</f>
        <v>11</v>
      </c>
      <c r="Q7" s="169">
        <f>SUMIFS([1]اردیبهشت!$AF$2:$AF$805,[1]اردیبهشت!$O$2:$O$805,7102,[1]اردیبهشت!$D$2:$D$805,$F$7,[1]اردیبهشت!$AC$2:$AC$805,Q3)</f>
        <v>11</v>
      </c>
      <c r="R7" s="169">
        <f>SUMIFS([1]اردیبهشت!$AF$2:$AF$805,[1]اردیبهشت!$O$2:$O$805,7102,[1]اردیبهشت!$D$2:$D$805,$F$7,[1]اردیبهشت!$AC$2:$AC$805,R3)</f>
        <v>11</v>
      </c>
      <c r="S7" s="169">
        <f>SUMIFS([1]اردیبهشت!$AF$2:$AF$805,[1]اردیبهشت!$O$2:$O$805,7102,[1]اردیبهشت!$D$2:$D$805,$F$7,[1]اردیبهشت!$AC$2:$AC$805,S3)</f>
        <v>11</v>
      </c>
      <c r="T7" s="292">
        <f>SUMIFS([1]اردیبهشت!$AF$2:$AF$805,[1]اردیبهشت!$O$2:$O$805,7102,[1]اردیبهشت!$D$2:$D$805,$F$7,[1]اردیبهشت!$AC$2:$AC$805,T3)</f>
        <v>5</v>
      </c>
      <c r="U7" s="393">
        <f>SUMIFS([1]خرداد!$AF$2:$AF$805,[1]خرداد!$O$2:$O$805,7101,[1]خرداد!$D$2:$D$805,$F$7,[1]خرداد!$AC$2:$AC$805,U3)</f>
        <v>0</v>
      </c>
    </row>
    <row r="8" spans="1:21" ht="36" customHeight="1" x14ac:dyDescent="0.25">
      <c r="A8" s="383">
        <v>2</v>
      </c>
      <c r="B8" s="216" t="s">
        <v>14</v>
      </c>
      <c r="C8" s="308">
        <v>7102</v>
      </c>
      <c r="D8" s="2">
        <v>62.5</v>
      </c>
      <c r="E8" s="933"/>
      <c r="F8" s="387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-2.5</v>
      </c>
      <c r="N8" s="377" t="s">
        <v>13</v>
      </c>
      <c r="O8" s="166">
        <f>SUMIFS([1]اردیبهشت!$AD$2:$AD$600,[1]اردیبهشت!$N$2:$N$600,7102,[1]اردیبهشت!$D$2:$D$600,$F$8,[1]اردیبهشت!$AA$2:$AA$600,O3)</f>
        <v>0</v>
      </c>
      <c r="P8" s="168">
        <f>SUMIFS([1]اردیبهشت!$AD$2:$AD$600,[1]اردیبهشت!$N$2:$N$600,7102,[1]اردیبهشت!$D$2:$D$600,$F$8,[1]اردیبهشت!$AA$2:$AA$600,P3)</f>
        <v>0</v>
      </c>
      <c r="Q8" s="168">
        <f>SUMIFS([1]اردیبهشت!$AD$2:$AD$600,[1]اردیبهشت!$N$2:$N$600,7102,[1]اردیبهشت!$D$2:$D$600,$F$8,[1]اردیبهشت!$AA$2:$AA$600,Q3)</f>
        <v>0</v>
      </c>
      <c r="R8" s="168">
        <f>SUMIFS([1]اردیبهشت!$AD$2:$AD$600,[1]اردیبهشت!$N$2:$N$600,7102,[1]اردیبهشت!$D$2:$D$600,$F$8,[1]اردیبهشت!$AA$2:$AA$600,R3)</f>
        <v>0</v>
      </c>
      <c r="S8" s="168">
        <f>SUMIFS([1]اردیبهشت!$AD$2:$AD$600,[1]اردیبهشت!$N$2:$N$600,7102,[1]اردیبهشت!$D$2:$D$600,$F$8,[1]اردیبهشت!$AA$2:$AA$600,S3)</f>
        <v>0</v>
      </c>
      <c r="T8" s="168">
        <f>SUMIFS([1]اردیبهشت!$AD$2:$AD$600,[1]اردیبهشت!$N$2:$N$600,7102,[1]اردیبهشت!$D$2:$D$600,$F$8,[1]اردیبهشت!$AA$2:$AA$600,T3)</f>
        <v>0</v>
      </c>
      <c r="U8" s="108">
        <f>SUMIFS([1]اردیبهشت!$AD$2:$AD$600,[1]اردیبهشت!$N$2:$N$600,7102,[1]اردیبهشت!$D$2:$D$600,$F$8,[1]اردیبهشت!$AA$2:$AA$600,U3)</f>
        <v>0</v>
      </c>
    </row>
    <row r="9" spans="1:21" ht="36" customHeight="1" thickBot="1" x14ac:dyDescent="0.3">
      <c r="A9" s="384"/>
      <c r="B9" s="43"/>
      <c r="C9" s="310"/>
      <c r="D9" s="373"/>
      <c r="E9" s="934"/>
      <c r="F9" s="5"/>
      <c r="G9" s="1">
        <f t="shared" si="0"/>
        <v>0</v>
      </c>
      <c r="H9" s="49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378"/>
      <c r="O9" s="167">
        <f>SUMIFS([1]اردیبهشت!$AD$2:$AD$600,[1]اردیبهشت!$N$2:$N$600,7102,[1]اردیبهشت!$D$2:$D$600,$F$9,[1]اردیبهشت!$AA$2:$AA$600,O3)</f>
        <v>0</v>
      </c>
      <c r="P9" s="175">
        <f>SUMIFS([1]اردیبهشت!$AD$2:$AD$600,[1]اردیبهشت!$N$2:$N$600,7102,[1]اردیبهشت!$D$2:$D$600,$F$9,[1]اردیبهشت!$AA$2:$AA$600,P3)</f>
        <v>0</v>
      </c>
      <c r="Q9" s="175">
        <f>SUMIFS([1]اردیبهشت!$AD$2:$AD$600,[1]اردیبهشت!$N$2:$N$600,7102,[1]اردیبهشت!$D$2:$D$600,$F$9,[1]اردیبهشت!$AA$2:$AA$600,Q3)</f>
        <v>0</v>
      </c>
      <c r="R9" s="175">
        <f>SUMIFS([1]اردیبهشت!$AD$2:$AD$600,[1]اردیبهشت!$N$2:$N$600,7102,[1]اردیبهشت!$D$2:$D$600,$F$9,[1]اردیبهشت!$AA$2:$AA$600,R3)</f>
        <v>0</v>
      </c>
      <c r="S9" s="175">
        <f>SUMIFS([1]اردیبهشت!$AD$2:$AD$600,[1]اردیبهشت!$N$2:$N$600,7102,[1]اردیبهشت!$D$2:$D$600,$F$9,[1]اردیبهشت!$AA$2:$AA$600,S3)</f>
        <v>0</v>
      </c>
      <c r="T9" s="175">
        <f>SUMIFS([1]اردیبهشت!$AD$2:$AD$600,[1]اردیبهشت!$N$2:$N$600,7102,[1]اردیبهشت!$D$2:$D$600,$F$9,[1]اردیبهشت!$AA$2:$AA$600,T3)</f>
        <v>0</v>
      </c>
      <c r="U9" s="114">
        <f>SUMIFS([1]اردیبهشت!$AD$2:$AD$600,[1]اردیبهشت!$N$2:$N$600,7102,[1]اردیبهشت!$D$2:$D$600,$F$9,[1]اردیبهشت!$AA$2:$AA$600,U3)</f>
        <v>0</v>
      </c>
    </row>
    <row r="10" spans="1:21" ht="36" customHeight="1" thickBot="1" x14ac:dyDescent="0.3">
      <c r="A10" s="384">
        <v>3</v>
      </c>
      <c r="B10" s="216" t="s">
        <v>14</v>
      </c>
      <c r="C10" s="374">
        <v>7103</v>
      </c>
      <c r="D10" s="2">
        <v>44</v>
      </c>
      <c r="E10" s="374" t="s">
        <v>15</v>
      </c>
      <c r="F10" s="374" t="s">
        <v>12</v>
      </c>
      <c r="G10" s="9">
        <f t="shared" si="0"/>
        <v>31.833333333333336</v>
      </c>
      <c r="H10" s="46">
        <f t="shared" si="1"/>
        <v>0</v>
      </c>
      <c r="I10" s="4">
        <v>0</v>
      </c>
      <c r="J10" s="4">
        <v>0</v>
      </c>
      <c r="K10" s="4">
        <v>0</v>
      </c>
      <c r="L10" s="4">
        <v>0</v>
      </c>
      <c r="M10" s="4">
        <f>SUM(G10:L10)-64</f>
        <v>-32.166666666666664</v>
      </c>
      <c r="N10" s="377" t="s">
        <v>40</v>
      </c>
      <c r="O10" s="176">
        <f>SUMIFS([1]اردیبهشت!$AF$2:$AF$805,[1]اردیبهشت!$O$2:$O$805,7103,[1]اردیبهشت!$D$2:$D$805,$F$10,[1]اردیبهشت!$AC$2:$AC$805,O3)</f>
        <v>6.333333333333333</v>
      </c>
      <c r="P10" s="177">
        <f>SUMIFS([1]اردیبهشت!$AF$2:$AF$805,[1]اردیبهشت!$O$2:$O$805,7103,[1]اردیبهشت!$D$2:$D$805,$F$10,[1]اردیبهشت!$AC$2:$AC$805,P3)</f>
        <v>6.333333333333333</v>
      </c>
      <c r="Q10" s="177">
        <f>SUMIFS([1]اردیبهشت!$AF$2:$AF$805,[1]اردیبهشت!$O$2:$O$805,7103,[1]اردیبهشت!$D$2:$D$805,$F$10,[1]اردیبهشت!$AC$2:$AC$805,Q3)</f>
        <v>6.333333333333333</v>
      </c>
      <c r="R10" s="177">
        <f>SUMIFS([1]اردیبهشت!$AF$2:$AF$805,[1]اردیبهشت!$O$2:$O$805,7103,[1]اردیبهشت!$D$2:$D$805,$F$10,[1]اردیبهشت!$AC$2:$AC$805,R3)</f>
        <v>6.3333333333333339</v>
      </c>
      <c r="S10" s="177">
        <f>SUMIFS([1]اردیبهشت!$AF$2:$AF$805,[1]اردیبهشت!$O$2:$O$805,7103,[1]اردیبهشت!$D$2:$D$805,$F$10,[1]اردیبهشت!$AC$2:$AC$805,S3)</f>
        <v>6.5</v>
      </c>
      <c r="T10" s="177">
        <f>SUMIFS([1]اردیبهشت!$AF$2:$AF$805,[1]اردیبهشت!$O$2:$O$805,7103,[1]اردیبهشت!$D$2:$D$805,$F$10,[1]اردیبهشت!$AC$2:$AC$805,T3)</f>
        <v>0</v>
      </c>
      <c r="U10" s="393">
        <f>SUMIFS([1]خرداد!$AF$2:$AF$700,[1]خرداد!$O$2:$O$700,7101,[1]خرداد!$D$2:$D$700,$F$4,[1]خرداد!$AC$2:$AC$700,U9)</f>
        <v>0</v>
      </c>
    </row>
    <row r="11" spans="1:21" ht="36" customHeight="1" thickBot="1" x14ac:dyDescent="0.3">
      <c r="A11" s="383">
        <v>4</v>
      </c>
      <c r="B11" s="388" t="s">
        <v>18</v>
      </c>
      <c r="C11" s="389">
        <v>7201</v>
      </c>
      <c r="D11" s="389">
        <v>62.5</v>
      </c>
      <c r="E11" s="389" t="s">
        <v>19</v>
      </c>
      <c r="F11" s="140"/>
      <c r="G11" s="21">
        <f t="shared" si="0"/>
        <v>0</v>
      </c>
      <c r="H11" s="63">
        <f t="shared" si="1"/>
        <v>0</v>
      </c>
      <c r="I11" s="141">
        <v>0</v>
      </c>
      <c r="J11" s="141">
        <v>62</v>
      </c>
      <c r="K11" s="141">
        <v>0</v>
      </c>
      <c r="L11" s="141">
        <v>0</v>
      </c>
      <c r="M11" s="141">
        <f>SUM(G11:J11)-62</f>
        <v>0</v>
      </c>
      <c r="N11" s="142" t="s">
        <v>41</v>
      </c>
      <c r="O11" s="296"/>
      <c r="P11" s="201"/>
      <c r="Q11" s="201"/>
      <c r="R11" s="201"/>
      <c r="S11" s="201"/>
      <c r="T11" s="201"/>
      <c r="U11" s="111"/>
    </row>
    <row r="12" spans="1:21" ht="36" customHeight="1" thickBot="1" x14ac:dyDescent="0.3">
      <c r="A12" s="45">
        <v>5</v>
      </c>
      <c r="B12" s="12" t="s">
        <v>18</v>
      </c>
      <c r="C12" s="13">
        <v>7202</v>
      </c>
      <c r="D12" s="13">
        <v>62.5</v>
      </c>
      <c r="E12" s="13" t="s">
        <v>15</v>
      </c>
      <c r="F12" s="16" t="s">
        <v>46</v>
      </c>
      <c r="G12" s="14">
        <f t="shared" si="0"/>
        <v>54.5</v>
      </c>
      <c r="H12" s="48">
        <f t="shared" si="1"/>
        <v>0</v>
      </c>
      <c r="I12" s="14">
        <v>3</v>
      </c>
      <c r="J12" s="14">
        <v>0</v>
      </c>
      <c r="K12" s="14">
        <v>0</v>
      </c>
      <c r="L12" s="14">
        <v>0</v>
      </c>
      <c r="M12" s="14">
        <f>SUM(G12:L12)-62</f>
        <v>-4.5</v>
      </c>
      <c r="N12" s="271" t="s">
        <v>44</v>
      </c>
      <c r="O12" s="181">
        <f>SUMIFS([1]اردیبهشت!$AF$2:$AF$805,[1]اردیبهشت!$O$2:$O$805,7202,[1]اردیبهشت!$D$2:$D$805,$F$12,[1]اردیبهشت!$AC$2:$AC$805,O3)</f>
        <v>10.5</v>
      </c>
      <c r="P12" s="182">
        <f>SUMIFS([1]اردیبهشت!$AF$2:$AF$805,[1]اردیبهشت!$O$2:$O$805,7202,[1]اردیبهشت!$D$2:$D$805,$F$12,[1]اردیبهشت!$AC$2:$AC$805,P3)</f>
        <v>7</v>
      </c>
      <c r="Q12" s="182">
        <f>SUMIFS([1]اردیبهشت!$AF$2:$AF$805,[1]اردیبهشت!$O$2:$O$805,7202,[1]اردیبهشت!$D$2:$D$805,$F$12,[1]اردیبهشت!$AC$2:$AC$805,Q3)</f>
        <v>11</v>
      </c>
      <c r="R12" s="182">
        <f>SUMIFS([1]اردیبهشت!$AF$2:$AF$805,[1]اردیبهشت!$O$2:$O$805,7202,[1]اردیبهشت!$D$2:$D$805,$F$12,[1]اردیبهشت!$AC$2:$AC$805,R3)</f>
        <v>7.5</v>
      </c>
      <c r="S12" s="182">
        <f>SUMIFS([1]اردیبهشت!$AF$2:$AF$805,[1]اردیبهشت!$O$2:$O$805,7202,[1]اردیبهشت!$D$2:$D$805,$F$12,[1]اردیبهشت!$AC$2:$AC$805,S3)</f>
        <v>11</v>
      </c>
      <c r="T12" s="182">
        <f>SUMIFS([1]اردیبهشت!$AF$2:$AF$805,[1]اردیبهشت!$O$2:$O$805,7202,[1]اردیبهشت!$D$2:$D$805,$F$12,[1]اردیبهشت!$AC$2:$AC$805,T3)</f>
        <v>7.5</v>
      </c>
      <c r="U12" s="393">
        <f>SUMIFS([1]خرداد!$AF$2:$AF$700,[1]خرداد!$O$2:$O$700,7101,[1]خرداد!$D$2:$D$700,$F$4,[1]خرداد!$AC$2:$AC$700,U11)</f>
        <v>0</v>
      </c>
    </row>
    <row r="13" spans="1:21" ht="36" customHeight="1" thickBot="1" x14ac:dyDescent="0.3">
      <c r="A13" s="382">
        <v>6</v>
      </c>
      <c r="B13" s="381" t="s">
        <v>18</v>
      </c>
      <c r="C13" s="374">
        <v>7203</v>
      </c>
      <c r="D13" s="374">
        <v>62.5</v>
      </c>
      <c r="E13" s="374" t="s">
        <v>15</v>
      </c>
      <c r="F13" s="16" t="s">
        <v>45</v>
      </c>
      <c r="G13" s="4">
        <f t="shared" si="0"/>
        <v>58</v>
      </c>
      <c r="H13" s="67">
        <f t="shared" si="1"/>
        <v>5.5</v>
      </c>
      <c r="I13" s="4">
        <v>0</v>
      </c>
      <c r="J13" s="4">
        <v>0</v>
      </c>
      <c r="K13" s="4">
        <v>0</v>
      </c>
      <c r="L13" s="4">
        <v>0</v>
      </c>
      <c r="M13" s="4">
        <f>(G13+H13+I13+J13+K13)-D13</f>
        <v>1</v>
      </c>
      <c r="N13" s="377"/>
      <c r="O13" s="353">
        <f>SUMIFS([1]اردیبهشت!$AF$2:$AF$805,[1]اردیبهشت!$O$2:$O$805,7203,[1]اردیبهشت!$D$2:$D$805,$F$13,[1]اردیبهشت!$AC$2:$AC$805,O3)</f>
        <v>11</v>
      </c>
      <c r="P13" s="353">
        <f>SUMIFS([1]اردیبهشت!$AF$2:$AF$805,[1]اردیبهشت!$O$2:$O$805,7203,[1]اردیبهشت!$D$2:$D$805,$F$13,[1]اردیبهشت!$AC$2:$AC$805,P3)</f>
        <v>10</v>
      </c>
      <c r="Q13" s="353">
        <f>SUMIFS([1]اردیبهشت!$AF$2:$AF$805,[1]اردیبهشت!$O$2:$O$805,7203,[1]اردیبهشت!$D$2:$D$805,$F$13,[1]اردیبهشت!$AC$2:$AC$805,Q3)</f>
        <v>11</v>
      </c>
      <c r="R13" s="353">
        <f>SUMIFS([1]اردیبهشت!$AF$2:$AF$805,[1]اردیبهشت!$O$2:$O$805,7203,[1]اردیبهشت!$D$2:$D$805,$F$13,[1]اردیبهشت!$AC$2:$AC$805,R3)</f>
        <v>11</v>
      </c>
      <c r="S13" s="353">
        <f>SUMIFS([1]اردیبهشت!$AF$2:$AF$805,[1]اردیبهشت!$O$2:$O$805,7203,[1]اردیبهشت!$D$2:$D$805,$F$13,[1]اردیبهشت!$AC$2:$AC$805,S3)</f>
        <v>7.5</v>
      </c>
      <c r="T13" s="353">
        <f>SUMIFS([1]اردیبهشت!$AF$2:$AF$805,[1]اردیبهشت!$O$2:$O$805,7203,[1]اردیبهشت!$D$2:$D$805,$F$13,[1]اردیبهشت!$AC$2:$AC$805,T3)</f>
        <v>7.5</v>
      </c>
      <c r="U13" s="393">
        <f>SUMIFS([1]خرداد!$AF$2:$AF$805,[1]خرداد!$O$2:$O$805,7203,[1]خرداد!$D$2:$D$805,$F$13,[1]خرداد!$AC$2:$AC$805,$U$3)</f>
        <v>5.5</v>
      </c>
    </row>
    <row r="14" spans="1:21" ht="36" customHeight="1" thickBot="1" x14ac:dyDescent="0.3">
      <c r="A14" s="45">
        <v>7</v>
      </c>
      <c r="B14" s="12" t="s">
        <v>18</v>
      </c>
      <c r="C14" s="13">
        <v>7204</v>
      </c>
      <c r="D14" s="13">
        <v>62.5</v>
      </c>
      <c r="E14" s="13" t="s">
        <v>15</v>
      </c>
      <c r="F14" s="16" t="s">
        <v>45</v>
      </c>
      <c r="G14" s="14">
        <f t="shared" si="0"/>
        <v>27</v>
      </c>
      <c r="H14" s="48">
        <f t="shared" si="1"/>
        <v>5.5</v>
      </c>
      <c r="I14" s="14">
        <v>0</v>
      </c>
      <c r="J14" s="14">
        <v>0</v>
      </c>
      <c r="K14" s="14">
        <v>0</v>
      </c>
      <c r="L14" s="14">
        <v>0</v>
      </c>
      <c r="M14" s="14">
        <f>SUM(G14:J14)-62</f>
        <v>-29.5</v>
      </c>
      <c r="N14" s="61"/>
      <c r="O14" s="295">
        <f>SUMIFS([1]اردیبهشت!$AF$2:$AF$805,[1]اردیبهشت!$O$2:$O$805,7204,[1]اردیبهشت!$D$2:$D$805,$F$14,[1]اردیبهشت!$AC$2:$AC$805,O3)</f>
        <v>0</v>
      </c>
      <c r="P14" s="295">
        <f>SUMIFS([1]اردیبهشت!$AF$2:$AF$805,[1]اردیبهشت!$O$2:$O$805,7204,[1]اردیبهشت!$D$2:$D$805,$F$14,[1]اردیبهشت!$AC$2:$AC$805,P3)</f>
        <v>1</v>
      </c>
      <c r="Q14" s="295">
        <f>SUMIFS([1]اردیبهشت!$AF$2:$AF$805,[1]اردیبهشت!$O$2:$O$805,7204,[1]اردیبهشت!$D$2:$D$805,$F$14,[1]اردیبهشت!$AC$2:$AC$805,Q3)</f>
        <v>11</v>
      </c>
      <c r="R14" s="295">
        <f>SUMIFS([1]اردیبهشت!$AF$2:$AF$805,[1]اردیبهشت!$O$2:$O$805,7204,[1]اردیبهشت!$D$2:$D$805,$F$14,[1]اردیبهشت!$AC$2:$AC$805,R3)</f>
        <v>7.5</v>
      </c>
      <c r="S14" s="295">
        <f>SUMIFS([1]اردیبهشت!$AF$2:$AF$805,[1]اردیبهشت!$O$2:$O$805,7204,[1]اردیبهشت!$D$2:$D$805,$F$14,[1]اردیبهشت!$AC$2:$AC$805,S3)</f>
        <v>0</v>
      </c>
      <c r="T14" s="295">
        <f>SUMIFS([1]اردیبهشت!$AF$2:$AF$805,[1]اردیبهشت!$O$2:$O$805,7204,[1]اردیبهشت!$D$2:$D$805,$F$14,[1]اردیبهشت!$AC$2:$AC$805,T3)</f>
        <v>7.5</v>
      </c>
      <c r="U14" s="393">
        <f>SUMIFS([1]خرداد!$AF$2:$AF$805,[1]خرداد!$O$2:$O$805,7204,[1]خرداد!$D$2:$D$805,$F$14,[1]خرداد!$AC$2:$AC$805,$U$3)</f>
        <v>5.5</v>
      </c>
    </row>
    <row r="15" spans="1:21" ht="36" customHeight="1" thickBot="1" x14ac:dyDescent="0.3">
      <c r="A15" s="45">
        <v>8</v>
      </c>
      <c r="B15" s="12" t="s">
        <v>21</v>
      </c>
      <c r="C15" s="13">
        <v>7301</v>
      </c>
      <c r="D15" s="13">
        <v>62.5</v>
      </c>
      <c r="E15" s="13" t="s">
        <v>15</v>
      </c>
      <c r="F15" s="19" t="s">
        <v>22</v>
      </c>
      <c r="G15" s="14">
        <f t="shared" si="0"/>
        <v>55.666666666666664</v>
      </c>
      <c r="H15" s="48">
        <f t="shared" si="1"/>
        <v>0</v>
      </c>
      <c r="I15" s="14">
        <v>2</v>
      </c>
      <c r="J15" s="14">
        <v>0</v>
      </c>
      <c r="K15" s="14">
        <v>0</v>
      </c>
      <c r="L15" s="14">
        <v>0</v>
      </c>
      <c r="M15" s="14">
        <f>SUM(G15:L15)-D15</f>
        <v>-4.8333333333333357</v>
      </c>
      <c r="N15" s="15" t="s">
        <v>29</v>
      </c>
      <c r="O15" s="354">
        <f>SUMIFS([1]اردیبهشت!$AF$2:$AF$805,[1]اردیبهشت!$O$2:$O$805,7301,[1]اردیبهشت!$D$2:$D$805,$F$15,[1]اردیبهشت!$AC$2:$AC$805,O3)</f>
        <v>11</v>
      </c>
      <c r="P15" s="354">
        <f>SUMIFS([1]اردیبهشت!$AF$2:$AF$805,[1]اردیبهشت!$O$2:$O$805,7301,[1]اردیبهشت!$D$2:$D$805,$F$15,[1]اردیبهشت!$AC$2:$AC$805,P3)</f>
        <v>10</v>
      </c>
      <c r="Q15" s="354">
        <f>SUMIFS([1]اردیبهشت!$AF$2:$AF$805,[1]اردیبهشت!$O$2:$O$805,7301,[1]اردیبهشت!$D$2:$D$805,$F$15,[1]اردیبهشت!$AC$2:$AC$805,Q3)</f>
        <v>10</v>
      </c>
      <c r="R15" s="354">
        <f>SUMIFS([1]اردیبهشت!$AF$2:$AF$805,[1]اردیبهشت!$O$2:$O$805,7301,[1]اردیبهشت!$D$2:$D$805,$F$15,[1]اردیبهشت!$AC$2:$AC$805,R3)</f>
        <v>9</v>
      </c>
      <c r="S15" s="354">
        <f>SUMIFS([1]اردیبهشت!$AF$2:$AF$805,[1]اردیبهشت!$O$2:$O$805,7301,[1]اردیبهشت!$D$2:$D$805,$F$15,[1]اردیبهشت!$AC$2:$AC$805,S3)</f>
        <v>11</v>
      </c>
      <c r="T15" s="354">
        <f>SUMIFS([1]اردیبهشت!$AF$2:$AF$805,[1]اردیبهشت!$O$2:$O$805,7301,[1]اردیبهشت!$D$2:$D$805,$F$15,[1]اردیبهشت!$AC$2:$AC$805,T3)</f>
        <v>4.666666666666667</v>
      </c>
      <c r="U15" s="394">
        <f>SUMIFS([1]خرداد!$AF$2:$AF$805,[1]خرداد!$O$2:$O$805,7101,[1]خرداد!$D$2:$D$805,$F$15,[1]خرداد!$AC$2:$AC$805,U4)</f>
        <v>0</v>
      </c>
    </row>
    <row r="16" spans="1:21" ht="36" customHeight="1" x14ac:dyDescent="0.25">
      <c r="A16" s="383"/>
      <c r="B16" s="216"/>
      <c r="C16" s="224"/>
      <c r="D16" s="387"/>
      <c r="E16" s="932" t="s">
        <v>15</v>
      </c>
      <c r="F16" s="22" t="s">
        <v>17</v>
      </c>
      <c r="G16" s="1">
        <f t="shared" si="0"/>
        <v>51.5</v>
      </c>
      <c r="H16" s="49">
        <v>5</v>
      </c>
      <c r="I16" s="1">
        <v>1</v>
      </c>
      <c r="J16" s="1">
        <v>0</v>
      </c>
      <c r="K16" s="1">
        <v>0</v>
      </c>
      <c r="L16" s="1">
        <v>0</v>
      </c>
      <c r="M16" s="4"/>
      <c r="N16" s="928" t="s">
        <v>44</v>
      </c>
      <c r="O16" s="165">
        <f>SUMIFS([1]اردیبهشت!$AF$2:$AF$805,[1]اردیبهشت!$O$2:$O$805,7302,[1]اردیبهشت!$D$2:$D$805,$F$16,[1]اردیبهشت!$AC$2:$AC$805,O3)</f>
        <v>9</v>
      </c>
      <c r="P16" s="169">
        <f>SUMIFS([1]اردیبهشت!$AF$2:$AF$805,[1]اردیبهشت!$O$2:$O$805,7302,[1]اردیبهشت!$D$2:$D$805,$F$16,[1]اردیبهشت!$AC$2:$AC$805,P3)</f>
        <v>11</v>
      </c>
      <c r="Q16" s="169">
        <f>SUMIFS([1]اردیبهشت!$AF$2:$AF$805,[1]اردیبهشت!$O$2:$O$805,7302,[1]اردیبهشت!$D$2:$D$805,$F$16,[1]اردیبهشت!$AC$2:$AC$805,Q3)</f>
        <v>9</v>
      </c>
      <c r="R16" s="169">
        <f>SUMIFS([1]اردیبهشت!$AF$2:$AF$805,[1]اردیبهشت!$O$2:$O$805,7302,[1]اردیبهشت!$D$2:$D$805,$F$16,[1]اردیبهشت!$AC$2:$AC$805,R3)</f>
        <v>11</v>
      </c>
      <c r="S16" s="169">
        <f>SUMIFS([1]اردیبهشت!$AF$2:$AF$805,[1]اردیبهشت!$O$2:$O$805,7302,[1]اردیبهشت!$D$2:$D$805,$F$16,[1]اردیبهشت!$AC$2:$AC$805,S3)</f>
        <v>6</v>
      </c>
      <c r="T16" s="169">
        <f>SUMIFS([1]اردیبهشت!$AF$2:$AF$805,[1]اردیبهشت!$O$2:$O$805,7302,[1]اردیبهشت!$D$2:$D$805,$F$16,[1]اردیبهشت!$AC$2:$AC$805,T3)</f>
        <v>5.5</v>
      </c>
      <c r="U16" s="107">
        <f>SUMIFS([1]خرداد!$AF$2:$AF$805,[1]خرداد!$O$2:$O$805,7302,[1]خرداد!$D$2:$D$805,$F$16,[1]خرداد!$AC$2:$AC$805,$U$3)</f>
        <v>6</v>
      </c>
    </row>
    <row r="17" spans="1:21" ht="36" customHeight="1" x14ac:dyDescent="0.25">
      <c r="A17" s="383">
        <v>9</v>
      </c>
      <c r="B17" s="216" t="s">
        <v>21</v>
      </c>
      <c r="C17" s="308">
        <v>7302</v>
      </c>
      <c r="D17" s="374">
        <v>62.5</v>
      </c>
      <c r="E17" s="933"/>
      <c r="F17" s="22" t="s">
        <v>23</v>
      </c>
      <c r="G17" s="3">
        <f t="shared" si="0"/>
        <v>3</v>
      </c>
      <c r="H17" s="47">
        <f t="shared" si="1"/>
        <v>0</v>
      </c>
      <c r="I17" s="3">
        <v>0</v>
      </c>
      <c r="J17" s="3">
        <v>0</v>
      </c>
      <c r="K17" s="3">
        <v>0</v>
      </c>
      <c r="L17" s="3">
        <v>0</v>
      </c>
      <c r="M17" s="4">
        <f>SUM(G16:L18)-D17</f>
        <v>-2</v>
      </c>
      <c r="N17" s="929"/>
      <c r="O17" s="166">
        <f>SUMIFS([1]اردیبهشت!$AF$2:$AF$805,[1]اردیبهشت!$O$2:$O$805,7302,[1]اردیبهشت!$D$2:$D$805,$F$17,[1]اردیبهشت!$AC$2:$AC$805,O3)</f>
        <v>3</v>
      </c>
      <c r="P17" s="168">
        <f>SUMIFS([1]اردیبهشت!$AF$2:$AF$805,[1]اردیبهشت!$O$2:$O$805,7302,[1]اردیبهشت!$D$2:$D$805,$F$17,[1]اردیبهشت!$AC$2:$AC$805,P3)</f>
        <v>0</v>
      </c>
      <c r="Q17" s="168">
        <f>SUMIFS([1]اردیبهشت!$AF$2:$AF$805,[1]اردیبهشت!$O$2:$O$805,7302,[1]اردیبهشت!$D$2:$D$805,$F$17,[1]اردیبهشت!$AC$2:$AC$805,Q3)</f>
        <v>0</v>
      </c>
      <c r="R17" s="168">
        <f>SUMIFS([1]اردیبهشت!$AF$2:$AF$805,[1]اردیبهشت!$O$2:$O$805,7302,[1]اردیبهشت!$D$2:$D$805,$F$17,[1]اردیبهشت!$AC$2:$AC$805,R3)</f>
        <v>0</v>
      </c>
      <c r="S17" s="168">
        <f>SUMIFS([1]اردیبهشت!$AF$2:$AF$805,[1]اردیبهشت!$O$2:$O$805,7302,[1]اردیبهشت!$D$2:$D$805,$F$17,[1]اردیبهشت!$AC$2:$AC$805,S3)</f>
        <v>0</v>
      </c>
      <c r="T17" s="168">
        <f>SUMIFS([1]اردیبهشت!$AF$2:$AF$805,[1]اردیبهشت!$O$2:$O$805,7302,[1]اردیبهشت!$D$2:$D$805,$F$17,[1]اردیبهشت!$AC$2:$AC$805,T3)</f>
        <v>0</v>
      </c>
      <c r="U17" s="424">
        <f>SUMIFS([1]اردیبهشت!$AF$2:$AF$805,[1]اردیبهشت!$O$2:$O$805,7302,[1]اردیبهشت!$D$2:$D$805,$F$17,[1]اردیبهشت!$AC$2:$AC$805,U3)</f>
        <v>0</v>
      </c>
    </row>
    <row r="18" spans="1:21" ht="36" customHeight="1" thickBot="1" x14ac:dyDescent="0.3">
      <c r="A18" s="384"/>
      <c r="B18" s="43"/>
      <c r="C18" s="310"/>
      <c r="D18" s="373"/>
      <c r="E18" s="934"/>
      <c r="F18" s="5"/>
      <c r="G18" s="1">
        <f t="shared" si="0"/>
        <v>0</v>
      </c>
      <c r="H18" s="49">
        <f t="shared" si="1"/>
        <v>0</v>
      </c>
      <c r="I18" s="7">
        <v>0</v>
      </c>
      <c r="J18" s="7">
        <v>0</v>
      </c>
      <c r="K18" s="6">
        <v>0</v>
      </c>
      <c r="L18" s="6">
        <v>0</v>
      </c>
      <c r="M18" s="6"/>
      <c r="N18" s="930"/>
      <c r="O18" s="171">
        <f>SUMIFS([1]اردیبهشت!$AD$2:$AD$805,[1]اردیبهشت!$N$2:$N$805,$C$17,[1]اردیبهشت!$D$2:$D$805,$F$17,[1]اردیبهشت!$AA$2:$AA$805,O4)</f>
        <v>0</v>
      </c>
      <c r="P18" s="172">
        <f>SUMIFS([1]اردیبهشت!$AD$2:$AD$805,[1]اردیبهشت!$N$2:$N$805,$C$17,[1]اردیبهشت!$D$2:$D$805,$F$17,[1]اردیبهشت!$AA$2:$AA$805,P4)</f>
        <v>0</v>
      </c>
      <c r="Q18" s="172">
        <f>SUMIFS([1]اردیبهشت!$AD$2:$AD$805,[1]اردیبهشت!$N$2:$N$805,$C$17,[1]اردیبهشت!$D$2:$D$805,$F$17,[1]اردیبهشت!$AA$2:$AA$805,Q4)</f>
        <v>0</v>
      </c>
      <c r="R18" s="172">
        <f>SUMIFS([1]اردیبهشت!$AD$2:$AD$805,[1]اردیبهشت!$N$2:$N$805,$C$17,[1]اردیبهشت!$D$2:$D$805,$F$17,[1]اردیبهشت!$AA$2:$AA$805,R4)</f>
        <v>0</v>
      </c>
      <c r="S18" s="172">
        <f>SUMIFS([1]اردیبهشت!$AD$2:$AD$805,[1]اردیبهشت!$N$2:$N$805,$C$17,[1]اردیبهشت!$D$2:$D$805,$F$17,[1]اردیبهشت!$AA$2:$AA$805,S4)</f>
        <v>0</v>
      </c>
      <c r="T18" s="172">
        <f>SUMIFS([1]اردیبهشت!$AD$2:$AD$805,[1]اردیبهشت!$N$2:$N$805,$C$17,[1]اردیبهشت!$D$2:$D$805,$F$17,[1]اردیبهشت!$AA$2:$AA$805,T4)</f>
        <v>0</v>
      </c>
      <c r="U18" s="109">
        <f>SUMIFS([1]خرداد!$AF$2:$AF$700,[1]خرداد!$O$2:$O$700,7101,[1]خرداد!$D$2:$D$700,$F$4,[1]خرداد!$AC$2:$AC$700,U17)</f>
        <v>0</v>
      </c>
    </row>
    <row r="19" spans="1:21" ht="36" customHeight="1" thickBot="1" x14ac:dyDescent="0.3">
      <c r="A19" s="147">
        <v>10</v>
      </c>
      <c r="B19" s="386" t="s">
        <v>21</v>
      </c>
      <c r="C19" s="379">
        <v>7303</v>
      </c>
      <c r="D19" s="379">
        <v>44</v>
      </c>
      <c r="E19" s="379" t="s">
        <v>19</v>
      </c>
      <c r="F19" s="144" t="s">
        <v>23</v>
      </c>
      <c r="G19" s="85">
        <f t="shared" si="0"/>
        <v>13</v>
      </c>
      <c r="H19" s="86">
        <f t="shared" si="1"/>
        <v>0</v>
      </c>
      <c r="I19" s="89">
        <v>15.5</v>
      </c>
      <c r="J19" s="89">
        <v>0</v>
      </c>
      <c r="K19" s="89">
        <v>0</v>
      </c>
      <c r="L19" s="89">
        <v>0</v>
      </c>
      <c r="M19" s="89">
        <f>SUM(G19:L19)-44</f>
        <v>-15.5</v>
      </c>
      <c r="N19" s="305" t="s">
        <v>29</v>
      </c>
      <c r="O19" s="425">
        <f>SUMIFS([1]اردیبهشت!$AF$2:$AF$805,[1]اردیبهشت!$O$2:$O$805,7303,[1]اردیبهشت!$D$2:$D$805,$F$19,[1]اردیبهشت!$AC$2:$AC$805,O3)</f>
        <v>2</v>
      </c>
      <c r="P19" s="355">
        <f>SUMIFS([1]اردیبهشت!$AF$2:$AF$805,[1]اردیبهشت!$O$2:$O$805,7303,[1]اردیبهشت!$D$2:$D$805,$F$19,[1]اردیبهشت!$AC$2:$AC$805,P3)</f>
        <v>3.5</v>
      </c>
      <c r="Q19" s="355">
        <f>SUMIFS([1]اردیبهشت!$AF$2:$AF$805,[1]اردیبهشت!$O$2:$O$805,7303,[1]اردیبهشت!$D$2:$D$805,$F$19,[1]اردیبهشت!$AC$2:$AC$805,Q3)</f>
        <v>0</v>
      </c>
      <c r="R19" s="355">
        <f>SUMIFS([1]اردیبهشت!$AF$2:$AF$805,[1]اردیبهشت!$O$2:$O$805,7303,[1]اردیبهشت!$D$2:$D$805,$F$19,[1]اردیبهشت!$AC$2:$AC$805,R3)</f>
        <v>0</v>
      </c>
      <c r="S19" s="355">
        <f>SUMIFS([1]اردیبهشت!$AF$2:$AF$805,[1]اردیبهشت!$O$2:$O$805,7303,[1]اردیبهشت!$D$2:$D$805,$F$19,[1]اردیبهشت!$AC$2:$AC$805,S3)</f>
        <v>7.5</v>
      </c>
      <c r="T19" s="355">
        <f>SUMIFS([1]اردیبهشت!$AF$2:$AF$805,[1]اردیبهشت!$O$2:$O$805,7303,[1]اردیبهشت!$D$2:$D$805,$F$19,[1]اردیبهشت!$AC$2:$AC$805,T3)</f>
        <v>0</v>
      </c>
      <c r="U19" s="426">
        <f>SUMIFS([1]خرداد!$AF$2:$AF$805,[1]خرداد!$O$2:$O$805,7303,[1]خرداد!$D$2:$D$805,$F$19,[1]خرداد!$AC$2:$AC$805,$U$3)</f>
        <v>0</v>
      </c>
    </row>
    <row r="20" spans="1:21" ht="36" customHeight="1" x14ac:dyDescent="0.25">
      <c r="A20" s="382"/>
      <c r="B20" s="42"/>
      <c r="C20" s="307"/>
      <c r="D20" s="370"/>
      <c r="E20" s="932" t="s">
        <v>15</v>
      </c>
      <c r="F20" s="20" t="s">
        <v>16</v>
      </c>
      <c r="G20" s="9">
        <f t="shared" si="0"/>
        <v>4</v>
      </c>
      <c r="H20" s="46">
        <f t="shared" si="1"/>
        <v>2</v>
      </c>
      <c r="I20" s="9">
        <v>0</v>
      </c>
      <c r="J20" s="9">
        <v>0</v>
      </c>
      <c r="K20" s="9">
        <v>0</v>
      </c>
      <c r="L20" s="9">
        <v>0</v>
      </c>
      <c r="M20" s="21"/>
      <c r="N20" s="931" t="s">
        <v>53</v>
      </c>
      <c r="O20" s="165">
        <f>SUMIFS([1]اردیبهشت!$AF$2:$AF$805,[1]اردیبهشت!$O$2:$O$805,7401,[1]اردیبهشت!$D$2:$D$805,$F$20,[1]اردیبهشت!$AC$2:$AC$805,O3)</f>
        <v>3</v>
      </c>
      <c r="P20" s="169">
        <f>SUMIFS([1]اردیبهشت!$AF$2:$AF$805,[1]اردیبهشت!$O$2:$O$805,7401,[1]اردیبهشت!$D$2:$D$805,$F$20,[1]اردیبهشت!$AC$2:$AC$805,P3)</f>
        <v>0</v>
      </c>
      <c r="Q20" s="169">
        <f>SUMIFS([1]اردیبهشت!$AF$2:$AF$805,[1]اردیبهشت!$O$2:$O$805,7401,[1]اردیبهشت!$D$2:$D$805,$F$20,[1]اردیبهشت!$AC$2:$AC$805,Q3)</f>
        <v>0</v>
      </c>
      <c r="R20" s="169">
        <f>SUMIFS([1]اردیبهشت!$AF$2:$AF$805,[1]اردیبهشت!$O$2:$O$805,7401,[1]اردیبهشت!$D$2:$D$805,$F$20,[1]اردیبهشت!$AC$2:$AC$805,R3)</f>
        <v>1</v>
      </c>
      <c r="S20" s="169">
        <f>SUMIFS([1]اردیبهشت!$AF$2:$AF$805,[1]اردیبهشت!$O$2:$O$805,7401,[1]اردیبهشت!$D$2:$D$805,$F$20,[1]اردیبهشت!$AC$2:$AC$805,S3)</f>
        <v>0</v>
      </c>
      <c r="T20" s="169">
        <f>SUMIFS([1]اردیبهشت!$AF$2:$AF$805,[1]اردیبهشت!$O$2:$O$805,7401,[1]اردیبهشت!$D$2:$D$805,$F$20,[1]اردیبهشت!$AC$2:$AC$805,T3)</f>
        <v>0</v>
      </c>
      <c r="U20" s="107">
        <f>SUMIFS([1]خرداد!$AF$2:$AF$805,[1]خرداد!$O$2:$O$805,7401,[1]خرداد!$D$2:$D$805,$F$20,[1]خرداد!$AC$2:$AC$805,$U$3)</f>
        <v>2</v>
      </c>
    </row>
    <row r="21" spans="1:21" ht="36" customHeight="1" x14ac:dyDescent="0.25">
      <c r="A21" s="383">
        <v>11</v>
      </c>
      <c r="B21" s="216" t="s">
        <v>24</v>
      </c>
      <c r="C21" s="308">
        <v>7401</v>
      </c>
      <c r="D21" s="374">
        <v>62.5</v>
      </c>
      <c r="E21" s="933"/>
      <c r="F21" s="22" t="s">
        <v>54</v>
      </c>
      <c r="G21" s="3">
        <f t="shared" si="0"/>
        <v>0</v>
      </c>
      <c r="H21" s="47">
        <f t="shared" si="1"/>
        <v>0</v>
      </c>
      <c r="I21" s="3">
        <v>0</v>
      </c>
      <c r="J21" s="3">
        <v>0</v>
      </c>
      <c r="K21" s="3">
        <v>0</v>
      </c>
      <c r="L21" s="3">
        <v>0</v>
      </c>
      <c r="M21" s="1">
        <f>SUM(G20:L22)-D21</f>
        <v>-56.5</v>
      </c>
      <c r="N21" s="929"/>
      <c r="O21" s="166">
        <f>SUMIFS([1]اردیبهشت!$AF$2:$AF$805,[1]اردیبهشت!$O$2:$O$805,7401,[1]اردیبهشت!$D$2:$D$805,$F$21,[1]اردیبهشت!$AC$2:$AC$805,O3)</f>
        <v>0</v>
      </c>
      <c r="P21" s="168">
        <f>SUMIFS([1]اردیبهشت!$AF$2:$AF$805,[1]اردیبهشت!$O$2:$O$805,7401,[1]اردیبهشت!$D$2:$D$805,$F$21,[1]اردیبهشت!$AC$2:$AC$805,P3)</f>
        <v>0</v>
      </c>
      <c r="Q21" s="168">
        <f>SUMIFS([1]اردیبهشت!$AF$2:$AF$805,[1]اردیبهشت!$O$2:$O$805,7401,[1]اردیبهشت!$D$2:$D$805,$F$21,[1]اردیبهشت!$AC$2:$AC$805,Q3)</f>
        <v>0</v>
      </c>
      <c r="R21" s="168">
        <f>SUMIFS([1]اردیبهشت!$AF$2:$AF$805,[1]اردیبهشت!$O$2:$O$805,7401,[1]اردیبهشت!$D$2:$D$805,$F$21,[1]اردیبهشت!$AC$2:$AC$805,R3)</f>
        <v>0</v>
      </c>
      <c r="S21" s="168">
        <f>SUMIFS([1]اردیبهشت!$AF$2:$AF$805,[1]اردیبهشت!$O$2:$O$805,7401,[1]اردیبهشت!$D$2:$D$805,$F$21,[1]اردیبهشت!$AC$2:$AC$805,S3)</f>
        <v>0</v>
      </c>
      <c r="T21" s="168">
        <f>SUMIFS([1]اردیبهشت!$AF$2:$AF$805,[1]اردیبهشت!$O$2:$O$805,7401,[1]اردیبهشت!$D$2:$D$805,$F$21,[1]اردیبهشت!$AC$2:$AC$805,T3)</f>
        <v>0</v>
      </c>
      <c r="U21" s="108">
        <f>SUMIFS([1]خرداد!$AF$2:$AF$700,[1]خرداد!$O$2:$O$700,7101,[1]خرداد!$D$2:$D$700,$F$4,[1]خرداد!$AC$2:$AC$700,U20)</f>
        <v>0</v>
      </c>
    </row>
    <row r="22" spans="1:21" ht="36" customHeight="1" thickBot="1" x14ac:dyDescent="0.3">
      <c r="A22" s="384"/>
      <c r="B22" s="43" t="s">
        <v>24</v>
      </c>
      <c r="C22" s="310"/>
      <c r="D22" s="374"/>
      <c r="E22" s="934"/>
      <c r="F22" s="5"/>
      <c r="G22" s="1">
        <f t="shared" si="0"/>
        <v>0</v>
      </c>
      <c r="H22" s="49">
        <f t="shared" si="1"/>
        <v>0</v>
      </c>
      <c r="I22" s="7">
        <v>0</v>
      </c>
      <c r="J22" s="7">
        <v>0</v>
      </c>
      <c r="K22" s="6">
        <v>0</v>
      </c>
      <c r="L22" s="6">
        <v>0</v>
      </c>
      <c r="M22" s="6"/>
      <c r="N22" s="930"/>
      <c r="O22" s="171">
        <f>SUMIFS([1]اردیبهشت!$AD$2:$AD$805,[1]اردیبهشت!$N$2:$N$805,$C$22,[1]اردیبهشت!$D$2:$D$805,$F$22,[1]اردیبهشت!$AA$2:$AA$805,O3)</f>
        <v>0</v>
      </c>
      <c r="P22" s="172">
        <f>SUMIFS([1]اردیبهشت!$AD$2:$AD$805,[1]اردیبهشت!$N$2:$N$805,$C$22,[1]اردیبهشت!$D$2:$D$805,$F$22,[1]اردیبهشت!$AA$2:$AA$805,P3)</f>
        <v>0</v>
      </c>
      <c r="Q22" s="172">
        <f>SUMIFS([1]اردیبهشت!$AD$2:$AD$805,[1]اردیبهشت!$N$2:$N$805,$C$22,[1]اردیبهشت!$D$2:$D$805,$F$22,[1]اردیبهشت!$AA$2:$AA$805,Q3)</f>
        <v>0</v>
      </c>
      <c r="R22" s="172">
        <f>SUMIFS([1]اردیبهشت!$AD$2:$AD$805,[1]اردیبهشت!$N$2:$N$805,$C$22,[1]اردیبهشت!$D$2:$D$805,$F$22,[1]اردیبهشت!$AA$2:$AA$805,R3)</f>
        <v>0</v>
      </c>
      <c r="S22" s="172">
        <f>SUMIFS([1]اردیبهشت!$AD$2:$AD$805,[1]اردیبهشت!$N$2:$N$805,$C$22,[1]اردیبهشت!$D$2:$D$805,$F$22,[1]اردیبهشت!$AA$2:$AA$805,S3)</f>
        <v>0</v>
      </c>
      <c r="T22" s="172">
        <f>SUMIFS([1]اردیبهشت!$AD$2:$AD$805,[1]اردیبهشت!$N$2:$N$805,$C$22,[1]اردیبهشت!$D$2:$D$805,$F$22,[1]اردیبهشت!$AA$2:$AA$805,T3)</f>
        <v>0</v>
      </c>
      <c r="U22" s="109">
        <f>SUMIFS([1]خرداد!$AF$2:$AF$700,[1]خرداد!$O$2:$O$700,7101,[1]خرداد!$D$2:$D$700,$F$4,[1]خرداد!$AC$2:$AC$700,U21)</f>
        <v>0</v>
      </c>
    </row>
    <row r="23" spans="1:21" ht="36" customHeight="1" x14ac:dyDescent="0.25">
      <c r="A23" s="383"/>
      <c r="B23" s="307"/>
      <c r="C23" s="370"/>
      <c r="D23" s="370"/>
      <c r="E23" s="932" t="s">
        <v>19</v>
      </c>
      <c r="F23" s="20"/>
      <c r="G23" s="9">
        <f t="shared" si="0"/>
        <v>0</v>
      </c>
      <c r="H23" s="46">
        <f t="shared" si="1"/>
        <v>0</v>
      </c>
      <c r="I23" s="9">
        <v>0</v>
      </c>
      <c r="J23" s="9">
        <v>0</v>
      </c>
      <c r="K23" s="9">
        <v>0</v>
      </c>
      <c r="L23" s="9">
        <v>0</v>
      </c>
      <c r="M23" s="21"/>
      <c r="N23" s="931" t="s">
        <v>28</v>
      </c>
      <c r="O23" s="173">
        <f>SUMIFS([1]اردیبهشت!$AD$2:$AD$805,[1]اردیبهشت!$N$2:$N$805,$C$23,[1]اردیبهشت!$D$2:$D$805,$F$23,[1]اردیبهشت!$AA$2:$AA$805,O3)</f>
        <v>0</v>
      </c>
      <c r="P23" s="173">
        <f>SUMIFS([1]اردیبهشت!$AD$2:$AD$805,[1]اردیبهشت!$N$2:$N$805,$C$23,[1]اردیبهشت!$D$2:$D$805,$F$23,[1]اردیبهشت!$AA$2:$AA$805,P3)</f>
        <v>0</v>
      </c>
      <c r="Q23" s="173">
        <f>SUMIFS([1]اردیبهشت!$AD$2:$AD$805,[1]اردیبهشت!$N$2:$N$805,$C$23,[1]اردیبهشت!$D$2:$D$805,$F$23,[1]اردیبهشت!$AA$2:$AA$805,Q3)</f>
        <v>0</v>
      </c>
      <c r="R23" s="173">
        <f>SUMIFS([1]اردیبهشت!$AD$2:$AD$805,[1]اردیبهشت!$N$2:$N$805,$C$23,[1]اردیبهشت!$D$2:$D$805,$F$23,[1]اردیبهشت!$AA$2:$AA$805,R3)</f>
        <v>0</v>
      </c>
      <c r="S23" s="173">
        <f>SUMIFS([1]اردیبهشت!$AD$2:$AD$805,[1]اردیبهشت!$N$2:$N$805,$C$23,[1]اردیبهشت!$D$2:$D$805,$F$23,[1]اردیبهشت!$AA$2:$AA$805,S3)</f>
        <v>0</v>
      </c>
      <c r="T23" s="173">
        <f>SUMIFS([1]اردیبهشت!$AD$2:$AD$805,[1]اردیبهشت!$N$2:$N$805,$C$23,[1]اردیبهشت!$D$2:$D$805,$F$23,[1]اردیبهشت!$AA$2:$AA$805,T3)</f>
        <v>0</v>
      </c>
      <c r="U23" s="110">
        <f>SUMIFS([1]خرداد!$AF$2:$AF$700,[1]خرداد!$O$2:$O$700,7101,[1]خرداد!$D$2:$D$700,$F$4,[1]خرداد!$AC$2:$AC$700,U22)</f>
        <v>0</v>
      </c>
    </row>
    <row r="24" spans="1:21" ht="36" customHeight="1" x14ac:dyDescent="0.25">
      <c r="A24" s="383">
        <v>12</v>
      </c>
      <c r="B24" s="308" t="s">
        <v>25</v>
      </c>
      <c r="C24" s="371">
        <v>7501</v>
      </c>
      <c r="D24" s="374">
        <v>62.5</v>
      </c>
      <c r="E24" s="933"/>
      <c r="F24" s="22" t="s">
        <v>36</v>
      </c>
      <c r="G24" s="3">
        <f t="shared" si="0"/>
        <v>0</v>
      </c>
      <c r="H24" s="47">
        <f t="shared" si="1"/>
        <v>0</v>
      </c>
      <c r="I24" s="3">
        <v>0</v>
      </c>
      <c r="J24" s="3">
        <v>0</v>
      </c>
      <c r="K24" s="3">
        <v>0</v>
      </c>
      <c r="L24" s="3">
        <v>0</v>
      </c>
      <c r="M24" s="4">
        <f>SUM(G23:L25)-D24</f>
        <v>-62.5</v>
      </c>
      <c r="N24" s="929"/>
      <c r="O24" s="166">
        <f>SUMIFS([1]اردیبهشت!$AD$2:$AD$805,[1]اردیبهشت!$N$2:$N$805,$C$24,[1]اردیبهشت!$D$2:$D$805,$F$24,[1]اردیبهشت!$AA$2:$AA$805,O3)</f>
        <v>0</v>
      </c>
      <c r="P24" s="166">
        <f>SUMIFS([1]اردیبهشت!$AD$2:$AD$805,[1]اردیبهشت!$N$2:$N$805,$C$24,[1]اردیبهشت!$D$2:$D$805,$F$24,[1]اردیبهشت!$AA$2:$AA$805,P3)</f>
        <v>0</v>
      </c>
      <c r="Q24" s="166">
        <f>SUMIFS([1]اردیبهشت!$AD$2:$AD$805,[1]اردیبهشت!$N$2:$N$805,$C$24,[1]اردیبهشت!$D$2:$D$805,$F$24,[1]اردیبهشت!$AA$2:$AA$805,Q3)</f>
        <v>0</v>
      </c>
      <c r="R24" s="166">
        <f>SUMIFS([1]اردیبهشت!$AD$2:$AD$805,[1]اردیبهشت!$N$2:$N$805,$C$24,[1]اردیبهشت!$D$2:$D$805,$F$24,[1]اردیبهشت!$AA$2:$AA$805,R3)</f>
        <v>0</v>
      </c>
      <c r="S24" s="166">
        <f>SUMIFS([1]اردیبهشت!$AD$2:$AD$805,[1]اردیبهشت!$N$2:$N$805,$C$24,[1]اردیبهشت!$D$2:$D$805,$F$24,[1]اردیبهشت!$AA$2:$AA$805,S3)</f>
        <v>0</v>
      </c>
      <c r="T24" s="166">
        <f>SUMIFS([1]اردیبهشت!$AD$2:$AD$805,[1]اردیبهشت!$N$2:$N$805,$C$24,[1]اردیبهشت!$D$2:$D$805,$F$24,[1]اردیبهشت!$AA$2:$AA$805,T3)</f>
        <v>0</v>
      </c>
      <c r="U24" s="108">
        <f>SUMIFS([1]خرداد!$AF$2:$AF$700,[1]خرداد!$O$2:$O$700,7101,[1]خرداد!$D$2:$D$700,$F$4,[1]خرداد!$AC$2:$AC$700,U23)</f>
        <v>0</v>
      </c>
    </row>
    <row r="25" spans="1:21" ht="36" customHeight="1" thickBot="1" x14ac:dyDescent="0.3">
      <c r="A25" s="384"/>
      <c r="B25" s="310"/>
      <c r="C25" s="373"/>
      <c r="D25" s="373"/>
      <c r="E25" s="934"/>
      <c r="F25" s="5"/>
      <c r="G25" s="1">
        <f t="shared" si="0"/>
        <v>0</v>
      </c>
      <c r="H25" s="49">
        <f t="shared" si="1"/>
        <v>0</v>
      </c>
      <c r="I25" s="7">
        <v>0</v>
      </c>
      <c r="J25" s="7">
        <v>0</v>
      </c>
      <c r="K25" s="6">
        <v>0</v>
      </c>
      <c r="L25" s="6">
        <v>0</v>
      </c>
      <c r="M25" s="6"/>
      <c r="N25" s="930"/>
      <c r="O25" s="171">
        <f>SUMIFS([1]اردیبهشت!$AD$2:$AD$805,[1]اردیبهشت!$N$2:$N$805,$C$24,[1]اردیبهشت!$D$2:$D$805,$F$25,[1]اردیبهشت!$AA$2:$AA$805,O3)</f>
        <v>0</v>
      </c>
      <c r="P25" s="171">
        <f>SUMIFS([1]اردیبهشت!$AD$2:$AD$805,[1]اردیبهشت!$N$2:$N$805,$C$24,[1]اردیبهشت!$D$2:$D$805,$F$25,[1]اردیبهشت!$AA$2:$AA$805,P3)</f>
        <v>0</v>
      </c>
      <c r="Q25" s="171">
        <f>SUMIFS([1]اردیبهشت!$AD$2:$AD$805,[1]اردیبهشت!$N$2:$N$805,$C$24,[1]اردیبهشت!$D$2:$D$805,$F$25,[1]اردیبهشت!$AA$2:$AA$805,Q3)</f>
        <v>0</v>
      </c>
      <c r="R25" s="171">
        <f>SUMIFS([1]اردیبهشت!$AD$2:$AD$805,[1]اردیبهشت!$N$2:$N$805,$C$24,[1]اردیبهشت!$D$2:$D$805,$F$25,[1]اردیبهشت!$AA$2:$AA$805,R3)</f>
        <v>0</v>
      </c>
      <c r="S25" s="171">
        <f>SUMIFS([1]اردیبهشت!$AD$2:$AD$805,[1]اردیبهشت!$N$2:$N$805,$C$24,[1]اردیبهشت!$D$2:$D$805,$F$25,[1]اردیبهشت!$AA$2:$AA$805,S3)</f>
        <v>0</v>
      </c>
      <c r="T25" s="171">
        <f>SUMIFS([1]اردیبهشت!$AD$2:$AD$805,[1]اردیبهشت!$N$2:$N$805,$C$24,[1]اردیبهشت!$D$2:$D$805,$F$25,[1]اردیبهشت!$AA$2:$AA$805,T3)</f>
        <v>0</v>
      </c>
      <c r="U25" s="109">
        <f>SUMIFS([1]خرداد!$AF$2:$AF$700,[1]خرداد!$O$2:$O$700,7101,[1]خرداد!$D$2:$D$700,$F$4,[1]خرداد!$AC$2:$AC$700,U24)</f>
        <v>0</v>
      </c>
    </row>
    <row r="26" spans="1:21" ht="36" customHeight="1" thickBot="1" x14ac:dyDescent="0.3">
      <c r="A26" s="383"/>
      <c r="B26" s="307"/>
      <c r="C26" s="370"/>
      <c r="D26" s="370"/>
      <c r="E26" s="935" t="s">
        <v>50</v>
      </c>
      <c r="F26" s="22" t="s">
        <v>36</v>
      </c>
      <c r="G26" s="9">
        <f t="shared" si="0"/>
        <v>53.5</v>
      </c>
      <c r="H26" s="46">
        <f t="shared" si="1"/>
        <v>6.5</v>
      </c>
      <c r="I26" s="85">
        <v>2</v>
      </c>
      <c r="J26" s="85">
        <v>0</v>
      </c>
      <c r="K26" s="85">
        <v>0</v>
      </c>
      <c r="L26" s="85">
        <v>0</v>
      </c>
      <c r="M26" s="21"/>
      <c r="N26" s="938" t="s">
        <v>42</v>
      </c>
      <c r="O26" s="173">
        <f>SUMIFS([1]اردیبهشت!$AF$2:$AF$805,[1]اردیبهشت!$O$2:$O$805,7502,[1]اردیبهشت!$D$2:$D$805,$F$26,[1]اردیبهشت!$AC$2:$AC$805,O3)</f>
        <v>11</v>
      </c>
      <c r="P26" s="173">
        <f>SUMIFS([1]اردیبهشت!$AF$2:$AF$805,[1]اردیبهشت!$O$2:$O$805,7502,[1]اردیبهشت!$D$2:$D$805,$F$26,[1]اردیبهشت!$AC$2:$AC$805,P3)</f>
        <v>6</v>
      </c>
      <c r="Q26" s="173">
        <f>SUMIFS([1]اردیبهشت!$AF$2:$AF$805,[1]اردیبهشت!$O$2:$O$805,7502,[1]اردیبهشت!$D$2:$D$805,$F$26,[1]اردیبهشت!$AC$2:$AC$805,Q3)</f>
        <v>8</v>
      </c>
      <c r="R26" s="173">
        <f>SUMIFS([1]اردیبهشت!$AF$2:$AF$805,[1]اردیبهشت!$O$2:$O$805,7502,[1]اردیبهشت!$D$2:$D$805,$F$26,[1]اردیبهشت!$AC$2:$AC$805,R3)</f>
        <v>11</v>
      </c>
      <c r="S26" s="173">
        <f>SUMIFS([1]اردیبهشت!$AF$2:$AF$805,[1]اردیبهشت!$O$2:$O$805,7502,[1]اردیبهشت!$D$2:$D$805,$F$26,[1]اردیبهشت!$AC$2:$AC$805,S3)</f>
        <v>11</v>
      </c>
      <c r="T26" s="173">
        <f>SUMIFS([1]اردیبهشت!$AF$2:$AF$805,[1]اردیبهشت!$O$2:$O$805,7502,[1]اردیبهشت!$D$2:$D$805,$F$26,[1]اردیبهشت!$AC$2:$AC$805,T3)</f>
        <v>6.5</v>
      </c>
      <c r="U26" s="395">
        <f>SUMIFS([1]خرداد!$AF$2:$AF$805,[1]خرداد!$O$2:$O$805,7502,[1]خرداد!$D$2:$D$805,$F$26,[1]خرداد!$AC$2:$AC$805,$U$3)</f>
        <v>6.5</v>
      </c>
    </row>
    <row r="27" spans="1:21" ht="36" customHeight="1" thickBot="1" x14ac:dyDescent="0.3">
      <c r="A27" s="383">
        <v>13</v>
      </c>
      <c r="B27" s="146" t="s">
        <v>25</v>
      </c>
      <c r="C27" s="95">
        <v>7502</v>
      </c>
      <c r="D27" s="374">
        <v>62.5</v>
      </c>
      <c r="E27" s="936"/>
      <c r="F27" s="22"/>
      <c r="G27" s="3">
        <f t="shared" si="0"/>
        <v>0</v>
      </c>
      <c r="H27" s="47">
        <f t="shared" si="1"/>
        <v>0</v>
      </c>
      <c r="I27" s="3">
        <v>0</v>
      </c>
      <c r="J27" s="3">
        <v>0</v>
      </c>
      <c r="K27" s="3">
        <v>0</v>
      </c>
      <c r="L27" s="3">
        <v>0</v>
      </c>
      <c r="M27" s="4">
        <f>SUM(G26:L28)-D27</f>
        <v>-0.5</v>
      </c>
      <c r="N27" s="929"/>
      <c r="O27" s="166">
        <f>SUMIFS([1]اردیبهشت!$AD$2:$AD$805,[1]اردیبهشت!$N$2:$N$805,$C$27,[1]اردیبهشت!$D$2:$D$805,$F$27,[1]اردیبهشت!$AA$2:$AA$805,O3)</f>
        <v>0</v>
      </c>
      <c r="P27" s="166">
        <f>SUMIFS([1]اردیبهشت!$AD$2:$AD$805,[1]اردیبهشت!$N$2:$N$805,$C$27,[1]اردیبهشت!$D$2:$D$805,$F$27,[1]اردیبهشت!$AA$2:$AA$805,P3)</f>
        <v>0</v>
      </c>
      <c r="Q27" s="166">
        <f>SUMIFS([1]اردیبهشت!$AD$2:$AD$805,[1]اردیبهشت!$N$2:$N$805,$C$27,[1]اردیبهشت!$D$2:$D$805,$F$27,[1]اردیبهشت!$AA$2:$AA$805,Q3)</f>
        <v>0</v>
      </c>
      <c r="R27" s="166">
        <f>SUMIFS([1]اردیبهشت!$AD$2:$AD$805,[1]اردیبهشت!$N$2:$N$805,$C$27,[1]اردیبهشت!$D$2:$D$805,$F$27,[1]اردیبهشت!$AA$2:$AA$805,R3)</f>
        <v>0</v>
      </c>
      <c r="S27" s="166">
        <f>SUMIFS([1]اردیبهشت!$AD$2:$AD$805,[1]اردیبهشت!$N$2:$N$805,$C$27,[1]اردیبهشت!$D$2:$D$805,$F$27,[1]اردیبهشت!$AA$2:$AA$805,S3)</f>
        <v>0</v>
      </c>
      <c r="T27" s="166">
        <f>SUMIFS([1]اردیبهشت!$AD$2:$AD$805,[1]اردیبهشت!$N$2:$N$805,$C$27,[1]اردیبهشت!$D$2:$D$805,$F$27,[1]اردیبهشت!$AA$2:$AA$805,T3)</f>
        <v>0</v>
      </c>
      <c r="U27" s="393">
        <f>SUMIFS([1]خرداد!$AF$2:$AF$700,[1]خرداد!$O$2:$O$700,7101,[1]خرداد!$D$2:$D$700,$F$4,[1]خرداد!$AC$2:$AC$700,U26)</f>
        <v>0</v>
      </c>
    </row>
    <row r="28" spans="1:21" ht="36" customHeight="1" thickBot="1" x14ac:dyDescent="0.3">
      <c r="A28" s="384"/>
      <c r="B28" s="310"/>
      <c r="C28" s="373"/>
      <c r="D28" s="373"/>
      <c r="E28" s="937"/>
      <c r="F28" s="5"/>
      <c r="G28" s="6">
        <f t="shared" si="0"/>
        <v>0</v>
      </c>
      <c r="H28" s="64">
        <f t="shared" si="1"/>
        <v>0</v>
      </c>
      <c r="I28" s="7">
        <v>0</v>
      </c>
      <c r="J28" s="7">
        <v>0</v>
      </c>
      <c r="K28" s="6">
        <v>0</v>
      </c>
      <c r="L28" s="6">
        <v>0</v>
      </c>
      <c r="M28" s="6"/>
      <c r="N28" s="930"/>
      <c r="O28" s="167">
        <f>SUMIFS([1]اردیبهشت!$AD$2:$AD$805,[1]اردیبهشت!$N$2:$N$805,$C$27,[1]اردیبهشت!$D$2:$D$805,$F$28,[1]اردیبهشت!$AA$2:$AA$805,O3)</f>
        <v>0</v>
      </c>
      <c r="P28" s="167">
        <f>SUMIFS([1]اردیبهشت!$AD$2:$AD$805,[1]اردیبهشت!$N$2:$N$805,$C$27,[1]اردیبهشت!$D$2:$D$805,$F$28,[1]اردیبهشت!$AA$2:$AA$805,P3)</f>
        <v>0</v>
      </c>
      <c r="Q28" s="167">
        <f>SUMIFS([1]اردیبهشت!$AD$2:$AD$805,[1]اردیبهشت!$N$2:$N$805,$C$27,[1]اردیبهشت!$D$2:$D$805,$F$28,[1]اردیبهشت!$AA$2:$AA$805,Q3)</f>
        <v>0</v>
      </c>
      <c r="R28" s="167">
        <f>SUMIFS([1]اردیبهشت!$AD$2:$AD$805,[1]اردیبهشت!$N$2:$N$805,$C$27,[1]اردیبهشت!$D$2:$D$805,$F$28,[1]اردیبهشت!$AA$2:$AA$805,R3)</f>
        <v>0</v>
      </c>
      <c r="S28" s="167">
        <f>SUMIFS([1]اردیبهشت!$AD$2:$AD$805,[1]اردیبهشت!$N$2:$N$805,$C$27,[1]اردیبهشت!$D$2:$D$805,$F$28,[1]اردیبهشت!$AA$2:$AA$805,S3)</f>
        <v>0</v>
      </c>
      <c r="T28" s="167">
        <f>SUMIFS([1]اردیبهشت!$AD$2:$AD$805,[1]اردیبهشت!$N$2:$N$805,$C$27,[1]اردیبهشت!$D$2:$D$805,$F$28,[1]اردیبهشت!$AA$2:$AA$805,T3)</f>
        <v>0</v>
      </c>
      <c r="U28" s="393">
        <f>SUMIFS([1]خرداد!$AF$2:$AF$700,[1]خرداد!$O$2:$O$700,7101,[1]خرداد!$D$2:$D$700,$F$4,[1]خرداد!$AC$2:$AC$700,U27)</f>
        <v>0</v>
      </c>
    </row>
    <row r="29" spans="1:21" ht="42" customHeight="1" thickBot="1" x14ac:dyDescent="0.3">
      <c r="A29" s="939">
        <v>14</v>
      </c>
      <c r="B29" s="83" t="s">
        <v>26</v>
      </c>
      <c r="C29" s="362">
        <v>7601</v>
      </c>
      <c r="D29" s="362">
        <v>72</v>
      </c>
      <c r="E29" s="914" t="s">
        <v>15</v>
      </c>
      <c r="F29" s="84" t="s">
        <v>27</v>
      </c>
      <c r="G29" s="85">
        <f t="shared" si="0"/>
        <v>44</v>
      </c>
      <c r="H29" s="86">
        <f t="shared" si="1"/>
        <v>7</v>
      </c>
      <c r="I29" s="85">
        <v>0</v>
      </c>
      <c r="J29" s="85">
        <v>0</v>
      </c>
      <c r="K29" s="85">
        <v>0</v>
      </c>
      <c r="L29" s="85">
        <v>0</v>
      </c>
      <c r="M29" s="87">
        <f>(J29+J30+I30+I29+H29+H30+G30+G29+L29+K29)-D29</f>
        <v>-21</v>
      </c>
      <c r="N29" s="941" t="s">
        <v>29</v>
      </c>
      <c r="O29" s="187">
        <f>SUMIFS([1]اردیبهشت!$AF$2:$AF$805,[1]اردیبهشت!$O$2:$O$805,7601,[1]اردیبهشت!$D$2:$D$805,$F$29,[1]اردیبهشت!$AC$2:$AC$805,O3)</f>
        <v>0</v>
      </c>
      <c r="P29" s="187">
        <f>SUMIFS([1]اردیبهشت!$AF$2:$AF$805,[1]اردیبهشت!$O$2:$O$805,7601,[1]اردیبهشت!$D$2:$D$805,$F$29,[1]اردیبهشت!$AC$2:$AC$805,P3)</f>
        <v>0</v>
      </c>
      <c r="Q29" s="187">
        <f>SUMIFS([1]اردیبهشت!$AF$2:$AF$805,[1]اردیبهشت!$O$2:$O$805,7601,[1]اردیبهشت!$D$2:$D$805,$F$29,[1]اردیبهشت!$AC$2:$AC$805,Q3)</f>
        <v>12</v>
      </c>
      <c r="R29" s="187">
        <f>SUMIFS([1]اردیبهشت!$AF$2:$AF$805,[1]اردیبهشت!$O$2:$O$805,7601,[1]اردیبهشت!$D$2:$D$805,$F$29,[1]اردیبهشت!$AC$2:$AC$805,R3)</f>
        <v>12</v>
      </c>
      <c r="S29" s="187">
        <f>SUMIFS([1]اردیبهشت!$AF$2:$AF$805,[1]اردیبهشت!$O$2:$O$805,7601,[1]اردیبهشت!$D$2:$D$805,$F$29,[1]اردیبهشت!$AC$2:$AC$805,S3)</f>
        <v>12</v>
      </c>
      <c r="T29" s="187">
        <f>SUMIFS([1]اردیبهشت!$AF$2:$AF$805,[1]اردیبهشت!$O$2:$O$805,7601,[1]اردیبهشت!$D$2:$D$805,$F$29,[1]اردیبهشت!$AC$2:$AC$805,T3)</f>
        <v>8</v>
      </c>
      <c r="U29" s="393">
        <f>SUMIFS([1]خرداد!$AF$2:$AF$805,[1]خرداد!$O$2:$O$805,7601,[1]خرداد!$D$2:$D$805,$F$29,[1]خرداد!$AC$2:$AC$805,$U$3)</f>
        <v>7</v>
      </c>
    </row>
    <row r="30" spans="1:21" ht="42" customHeight="1" thickBot="1" x14ac:dyDescent="0.3">
      <c r="A30" s="940"/>
      <c r="B30" s="123"/>
      <c r="C30" s="363"/>
      <c r="D30" s="363"/>
      <c r="E30" s="915"/>
      <c r="F30" s="124"/>
      <c r="G30" s="93">
        <f t="shared" si="0"/>
        <v>0</v>
      </c>
      <c r="H30" s="92">
        <f t="shared" si="1"/>
        <v>0</v>
      </c>
      <c r="I30" s="125">
        <v>0</v>
      </c>
      <c r="J30" s="125">
        <v>0</v>
      </c>
      <c r="K30" s="126">
        <v>0</v>
      </c>
      <c r="L30" s="126">
        <v>0</v>
      </c>
      <c r="M30" s="127"/>
      <c r="N30" s="917"/>
      <c r="O30" s="190">
        <f>SUMIFS([1]اردیبهشت!$AD$2:$AD$805,[1]اردیبهشت!$N$2:$N$805,$C$29,[1]اردیبهشت!$D$2:$D$805,$F$30,[1]اردیبهشت!$AA$2:$AA$805,O3)</f>
        <v>0</v>
      </c>
      <c r="P30" s="191">
        <f>SUMIFS([1]اردیبهشت!$AD$2:$AD$600,[1]اردیبهشت!$N$2:$N$600,$C$29,[1]اردیبهشت!$D$2:$D$600,$F$30,[1]اردیبهشت!$AA$2:$AA$600,P3)</f>
        <v>0</v>
      </c>
      <c r="Q30" s="191">
        <f>SUMIFS([1]اردیبهشت!$AD$2:$AD$600,[1]اردیبهشت!$N$2:$N$600,$C$29,[1]اردیبهشت!$D$2:$D$600,$F$30,[1]اردیبهشت!$AA$2:$AA$600,Q3)</f>
        <v>0</v>
      </c>
      <c r="R30" s="191">
        <f>SUMIFS([1]اردیبهشت!$AD$2:$AD$600,[1]اردیبهشت!$N$2:$N$600,$C$29,[1]اردیبهشت!$D$2:$D$600,$F$30,[1]اردیبهشت!$AA$2:$AA$600,R3)</f>
        <v>0</v>
      </c>
      <c r="S30" s="191">
        <f>SUMIFS([1]اردیبهشت!$AD$2:$AD$600,[1]اردیبهشت!$N$2:$N$600,$C$29,[1]اردیبهشت!$D$2:$D$600,$F$30,[1]اردیبهشت!$AA$2:$AA$600,S3)</f>
        <v>0</v>
      </c>
      <c r="T30" s="191">
        <f>SUMIFS([1]اردیبهشت!$AD$2:$AD$600,[1]اردیبهشت!$N$2:$N$600,$C$29,[1]اردیبهشت!$D$2:$D$600,$F$30,[1]اردیبهشت!$AA$2:$AA$600,T3)</f>
        <v>0</v>
      </c>
      <c r="U30" s="393">
        <f>SUMIFS([1]خرداد!$AF$2:$AF$700,[1]خرداد!$O$2:$O$700,7101,[1]خرداد!$D$2:$D$700,$F$4,[1]خرداد!$AC$2:$AC$700,U29)</f>
        <v>0</v>
      </c>
    </row>
    <row r="31" spans="1:21" ht="42" customHeight="1" thickBot="1" x14ac:dyDescent="0.3">
      <c r="A31" s="912">
        <v>15</v>
      </c>
      <c r="B31" s="83" t="s">
        <v>26</v>
      </c>
      <c r="C31" s="362">
        <v>7602</v>
      </c>
      <c r="D31" s="362">
        <v>72</v>
      </c>
      <c r="E31" s="914" t="s">
        <v>15</v>
      </c>
      <c r="F31" s="84" t="s">
        <v>27</v>
      </c>
      <c r="G31" s="9">
        <f t="shared" si="0"/>
        <v>52</v>
      </c>
      <c r="H31" s="46">
        <f t="shared" si="1"/>
        <v>7</v>
      </c>
      <c r="I31" s="85">
        <v>0</v>
      </c>
      <c r="J31" s="85">
        <v>0</v>
      </c>
      <c r="K31" s="85">
        <v>0</v>
      </c>
      <c r="L31" s="85">
        <v>0</v>
      </c>
      <c r="M31" s="87">
        <f>(J31+J32+I32+I31+H31+H32+G32+G31)-D31</f>
        <v>-13</v>
      </c>
      <c r="N31" s="916" t="s">
        <v>29</v>
      </c>
      <c r="O31" s="165">
        <f>SUMIFS([1]اردیبهشت!$AF$2:$AF$805,[1]اردیبهشت!$O$2:$O$805,7602,[1]اردیبهشت!$D$2:$D$805,$F$31,[1]اردیبهشت!$AC$2:$AC$805,O3)</f>
        <v>0</v>
      </c>
      <c r="P31" s="165">
        <f>SUMIFS([1]اردیبهشت!$AF$2:$AF$805,[1]اردیبهشت!$O$2:$O$805,7602,[1]اردیبهشت!$D$2:$D$805,$F$31,[1]اردیبهشت!$AC$2:$AC$805,P3)</f>
        <v>8</v>
      </c>
      <c r="Q31" s="165">
        <f>SUMIFS([1]اردیبهشت!$AF$2:$AF$805,[1]اردیبهشت!$O$2:$O$805,7602,[1]اردیبهشت!$D$2:$D$805,$F$31,[1]اردیبهشت!$AC$2:$AC$805,Q3)</f>
        <v>12</v>
      </c>
      <c r="R31" s="165">
        <f>SUMIFS([1]اردیبهشت!$AF$2:$AF$805,[1]اردیبهشت!$O$2:$O$805,7602,[1]اردیبهشت!$D$2:$D$805,$F$31,[1]اردیبهشت!$AC$2:$AC$805,R3)</f>
        <v>12</v>
      </c>
      <c r="S31" s="165">
        <f>SUMIFS([1]اردیبهشت!$AF$2:$AF$805,[1]اردیبهشت!$O$2:$O$805,7602,[1]اردیبهشت!$D$2:$D$805,$F$31,[1]اردیبهشت!$AC$2:$AC$805,S3)</f>
        <v>12</v>
      </c>
      <c r="T31" s="165">
        <f>SUMIFS([1]اردیبهشت!$AF$2:$AF$805,[1]اردیبهشت!$O$2:$O$805,7602,[1]اردیبهشت!$D$2:$D$805,$F$31,[1]اردیبهشت!$AC$2:$AC$805,T3)</f>
        <v>8</v>
      </c>
      <c r="U31" s="393">
        <f>SUMIFS([1]خرداد!$AF$2:$AF$805,[1]خرداد!$O$2:$O$805,7602,[1]خرداد!$D$2:$D$805,$F$31,[1]خرداد!$AC$2:$AC$805,$U$3)</f>
        <v>7</v>
      </c>
    </row>
    <row r="32" spans="1:21" ht="42" customHeight="1" thickBot="1" x14ac:dyDescent="0.3">
      <c r="A32" s="913"/>
      <c r="B32" s="123"/>
      <c r="C32" s="363"/>
      <c r="D32" s="363"/>
      <c r="E32" s="915"/>
      <c r="F32" s="124"/>
      <c r="G32" s="6">
        <f t="shared" si="0"/>
        <v>0</v>
      </c>
      <c r="H32" s="64">
        <f t="shared" si="1"/>
        <v>0</v>
      </c>
      <c r="I32" s="125">
        <v>0</v>
      </c>
      <c r="J32" s="125">
        <v>0</v>
      </c>
      <c r="K32" s="126">
        <v>0</v>
      </c>
      <c r="L32" s="126">
        <v>0</v>
      </c>
      <c r="M32" s="127"/>
      <c r="N32" s="917"/>
      <c r="O32" s="167">
        <f>SUMIFS([1]اردیبهشت!$AD$2:$AD$805,[1]اردیبهشت!$N$2:$N$805,$C$31,[1]اردیبهشت!$D$2:$D$805,$F$32,[1]اردیبهشت!$AA$2:$AA$805,O3)</f>
        <v>0</v>
      </c>
      <c r="P32" s="175">
        <f>SUMIFS([1]اردیبهشت!$AD$2:$AD$600,[1]اردیبهشت!$N$2:$N$600,$C$31,[1]اردیبهشت!$D$2:$D$600,$F$32,[1]اردیبهشت!$AA$2:$AA$600,P3)</f>
        <v>0</v>
      </c>
      <c r="Q32" s="175">
        <f>SUMIFS([1]اردیبهشت!$AD$2:$AD$600,[1]اردیبهشت!$N$2:$N$600,$C$31,[1]اردیبهشت!$D$2:$D$600,$F$32,[1]اردیبهشت!$AA$2:$AA$600,Q3)</f>
        <v>0</v>
      </c>
      <c r="R32" s="175">
        <f>SUMIFS([1]اردیبهشت!$AD$2:$AD$600,[1]اردیبهشت!$N$2:$N$600,$C$31,[1]اردیبهشت!$D$2:$D$600,$F$32,[1]اردیبهشت!$AA$2:$AA$600,R3)</f>
        <v>0</v>
      </c>
      <c r="S32" s="175">
        <f>SUMIFS([1]اردیبهشت!$AD$2:$AD$600,[1]اردیبهشت!$N$2:$N$600,$C$31,[1]اردیبهشت!$D$2:$D$600,$F$32,[1]اردیبهشت!$AA$2:$AA$600,S3)</f>
        <v>0</v>
      </c>
      <c r="T32" s="175">
        <f>SUMIFS([1]اردیبهشت!$AD$2:$AD$600,[1]اردیبهشت!$N$2:$N$600,$C$31,[1]اردیبهشت!$D$2:$D$600,$F$32,[1]اردیبهشت!$AA$2:$AA$600,T3)</f>
        <v>0</v>
      </c>
      <c r="U32" s="394">
        <f>SUMIFS([1]خرداد!$AF$2:$AF$700,[1]خرداد!$O$2:$O$700,7101,[1]خرداد!$D$2:$D$700,$F$4,[1]خرداد!$AC$2:$AC$700,U31)</f>
        <v>0</v>
      </c>
    </row>
    <row r="33" spans="1:21" ht="36" customHeight="1" x14ac:dyDescent="0.25">
      <c r="A33" s="912">
        <v>16</v>
      </c>
      <c r="B33" s="368" t="s">
        <v>26</v>
      </c>
      <c r="C33" s="370">
        <v>7603</v>
      </c>
      <c r="D33" s="370">
        <v>72</v>
      </c>
      <c r="E33" s="943" t="s">
        <v>15</v>
      </c>
      <c r="F33" s="84" t="s">
        <v>27</v>
      </c>
      <c r="G33" s="9">
        <f t="shared" si="0"/>
        <v>52</v>
      </c>
      <c r="H33" s="46">
        <f t="shared" si="1"/>
        <v>7</v>
      </c>
      <c r="I33" s="9">
        <v>0</v>
      </c>
      <c r="J33" s="9">
        <v>0</v>
      </c>
      <c r="K33" s="9">
        <v>0</v>
      </c>
      <c r="L33" s="9">
        <v>0</v>
      </c>
      <c r="M33" s="23">
        <f>(J33+J34+I34+I33+H33+H34+G34+G33+L33+L34)-D33</f>
        <v>-13</v>
      </c>
      <c r="N33" s="945" t="s">
        <v>29</v>
      </c>
      <c r="O33" s="165">
        <f>SUMIFS([1]اردیبهشت!$AF$2:$AF$805,[1]اردیبهشت!$O$2:$O$805,7603,[1]اردیبهشت!$D$2:$D$805,$F$33,[1]اردیبهشت!$AC$2:$AC$805,O3)</f>
        <v>0</v>
      </c>
      <c r="P33" s="169">
        <f>SUMIFS([1]اردیبهشت!$AF$2:$AF$805,[1]اردیبهشت!$O$2:$O$805,7603,[1]اردیبهشت!$D$2:$D$805,$F$33,[1]اردیبهشت!$AC$2:$AC$805,P3)</f>
        <v>8</v>
      </c>
      <c r="Q33" s="169">
        <f>SUMIFS([1]اردیبهشت!$AF$2:$AF$805,[1]اردیبهشت!$O$2:$O$805,7603,[1]اردیبهشت!$D$2:$D$805,$F$33,[1]اردیبهشت!$AC$2:$AC$805,Q3)</f>
        <v>12</v>
      </c>
      <c r="R33" s="169">
        <f>SUMIFS([1]اردیبهشت!$AF$2:$AF$805,[1]اردیبهشت!$O$2:$O$805,7603,[1]اردیبهشت!$D$2:$D$805,$F$33,[1]اردیبهشت!$AC$2:$AC$805,R3)</f>
        <v>12</v>
      </c>
      <c r="S33" s="169">
        <f>SUMIFS([1]اردیبهشت!$AF$2:$AF$805,[1]اردیبهشت!$O$2:$O$805,7603,[1]اردیبهشت!$D$2:$D$805,$F$33,[1]اردیبهشت!$AC$2:$AC$805,S3)</f>
        <v>12</v>
      </c>
      <c r="T33" s="169">
        <f>SUMIFS([1]اردیبهشت!$AF$2:$AF$805,[1]اردیبهشت!$O$2:$O$805,7603,[1]اردیبهشت!$D$2:$D$805,$F$33,[1]اردیبهشت!$AC$2:$AC$805,T3)</f>
        <v>8</v>
      </c>
      <c r="U33" s="107">
        <f>SUMIFS([1]خرداد!$AF$2:$AF$805,[1]خرداد!$O$2:$O$805,7603,[1]خرداد!$D$2:$D$805,$F$33,[1]خرداد!$AC$2:$AC$805,$U$3)</f>
        <v>7</v>
      </c>
    </row>
    <row r="34" spans="1:21" ht="36" customHeight="1" thickBot="1" x14ac:dyDescent="0.3">
      <c r="A34" s="942"/>
      <c r="B34" s="369"/>
      <c r="C34" s="373"/>
      <c r="D34" s="373"/>
      <c r="E34" s="944"/>
      <c r="F34" s="5"/>
      <c r="G34" s="1">
        <f t="shared" si="0"/>
        <v>0</v>
      </c>
      <c r="H34" s="49">
        <f t="shared" si="1"/>
        <v>0</v>
      </c>
      <c r="I34" s="7">
        <v>0</v>
      </c>
      <c r="J34" s="7">
        <v>0</v>
      </c>
      <c r="K34" s="6">
        <v>0</v>
      </c>
      <c r="L34" s="6">
        <v>0</v>
      </c>
      <c r="M34" s="8"/>
      <c r="N34" s="946"/>
      <c r="O34" s="171">
        <f>SUMIFS([1]اردیبهشت!$AD$2:$AD$805,[1]اردیبهشت!$N$2:$N$805,$C$33,[1]اردیبهشت!$D$2:$D$805,$F$34,[1]اردیبهشت!$AA$2:$AA$805,O3)</f>
        <v>0</v>
      </c>
      <c r="P34" s="172">
        <f>SUMIFS([1]اردیبهشت!$AD$2:$AD$600,[1]اردیبهشت!$N$2:$N$600,$C$33,[1]اردیبهشت!$D$2:$D$600,$F$34,[1]اردیبهشت!$AA$2:$AA$600,P3)</f>
        <v>0</v>
      </c>
      <c r="Q34" s="172">
        <f>SUMIFS([1]اردیبهشت!$AD$2:$AD$600,[1]اردیبهشت!$N$2:$N$600,$C$33,[1]اردیبهشت!$D$2:$D$600,$F$34,[1]اردیبهشت!$AA$2:$AA$600,Q3)</f>
        <v>0</v>
      </c>
      <c r="R34" s="172">
        <f>SUMIFS([1]اردیبهشت!$AD$2:$AD$600,[1]اردیبهشت!$N$2:$N$600,$C$33,[1]اردیبهشت!$D$2:$D$600,$F$34,[1]اردیبهشت!$AA$2:$AA$600,R3)</f>
        <v>0</v>
      </c>
      <c r="S34" s="172">
        <f>SUMIFS([1]اردیبهشت!$AD$2:$AD$600,[1]اردیبهشت!$N$2:$N$600,$C$33,[1]اردیبهشت!$D$2:$D$600,$F$34,[1]اردیبهشت!$AA$2:$AA$600,S3)</f>
        <v>0</v>
      </c>
      <c r="T34" s="172">
        <f>SUMIFS([1]اردیبهشت!$AD$2:$AD$600,[1]اردیبهشت!$N$2:$N$600,$C$33,[1]اردیبهشت!$D$2:$D$600,$F$34,[1]اردیبهشت!$AA$2:$AA$600,T3)</f>
        <v>0</v>
      </c>
      <c r="U34" s="109">
        <f>SUMIFS([1]خرداد!$AF$2:$AF$700,[1]خرداد!$O$2:$O$700,7101,[1]خرداد!$D$2:$D$700,$F$4,[1]خرداد!$AC$2:$AC$700,U33)</f>
        <v>0</v>
      </c>
    </row>
    <row r="35" spans="1:21" ht="36" customHeight="1" x14ac:dyDescent="0.25">
      <c r="A35" s="912">
        <v>17</v>
      </c>
      <c r="B35" s="81" t="s">
        <v>26</v>
      </c>
      <c r="C35" s="90">
        <v>7604</v>
      </c>
      <c r="D35" s="375">
        <v>72</v>
      </c>
      <c r="E35" s="947" t="s">
        <v>19</v>
      </c>
      <c r="F35" s="79"/>
      <c r="G35" s="9" t="s">
        <v>83</v>
      </c>
      <c r="H35" s="46">
        <f t="shared" si="1"/>
        <v>0</v>
      </c>
      <c r="I35" s="80">
        <v>0</v>
      </c>
      <c r="J35" s="80">
        <v>72</v>
      </c>
      <c r="K35" s="80">
        <v>0</v>
      </c>
      <c r="L35" s="80">
        <v>0</v>
      </c>
      <c r="M35" s="60"/>
      <c r="N35" s="949" t="s">
        <v>28</v>
      </c>
      <c r="O35" s="390"/>
      <c r="P35" s="204"/>
      <c r="Q35" s="204"/>
      <c r="R35" s="204"/>
      <c r="S35" s="204"/>
      <c r="T35" s="204"/>
      <c r="U35" s="116"/>
    </row>
    <row r="36" spans="1:21" ht="36" customHeight="1" thickBot="1" x14ac:dyDescent="0.3">
      <c r="A36" s="913"/>
      <c r="B36" s="381"/>
      <c r="C36" s="309"/>
      <c r="D36" s="372"/>
      <c r="E36" s="948"/>
      <c r="F36" s="24"/>
      <c r="G36" s="1">
        <f t="shared" si="0"/>
        <v>0</v>
      </c>
      <c r="H36" s="49">
        <f t="shared" si="1"/>
        <v>0</v>
      </c>
      <c r="I36" s="25">
        <v>0</v>
      </c>
      <c r="J36" s="25">
        <v>0</v>
      </c>
      <c r="K36" s="4">
        <v>0</v>
      </c>
      <c r="L36" s="4">
        <v>0</v>
      </c>
      <c r="M36" s="60"/>
      <c r="N36" s="950"/>
      <c r="O36" s="391"/>
      <c r="P36" s="194"/>
      <c r="Q36" s="194"/>
      <c r="R36" s="194"/>
      <c r="S36" s="194"/>
      <c r="T36" s="194"/>
      <c r="U36" s="117"/>
    </row>
    <row r="37" spans="1:21" ht="36" customHeight="1" x14ac:dyDescent="0.25">
      <c r="A37" s="954">
        <v>18</v>
      </c>
      <c r="B37" s="83" t="s">
        <v>26</v>
      </c>
      <c r="C37" s="362">
        <v>7605</v>
      </c>
      <c r="D37" s="362">
        <v>72</v>
      </c>
      <c r="E37" s="914" t="s">
        <v>15</v>
      </c>
      <c r="F37" s="84" t="s">
        <v>27</v>
      </c>
      <c r="G37" s="85">
        <f t="shared" si="0"/>
        <v>52</v>
      </c>
      <c r="H37" s="86">
        <f t="shared" si="1"/>
        <v>7</v>
      </c>
      <c r="I37" s="85">
        <v>0</v>
      </c>
      <c r="J37" s="85">
        <v>0</v>
      </c>
      <c r="K37" s="85">
        <v>0</v>
      </c>
      <c r="L37" s="153">
        <v>0</v>
      </c>
      <c r="M37" s="87">
        <f>(G37+H37+I37+J37+K37+L37)-D37</f>
        <v>-13</v>
      </c>
      <c r="N37" s="955" t="s">
        <v>28</v>
      </c>
      <c r="O37" s="187">
        <f>SUMIFS([1]اردیبهشت!$AF$2:$AF$805,[1]اردیبهشت!$O$2:$O$805,7605,[1]اردیبهشت!$D$2:$D$805,$F$37,[1]اردیبهشت!$AC$2:$AC$805,O3)</f>
        <v>0</v>
      </c>
      <c r="P37" s="188">
        <f>SUMIFS([1]اردیبهشت!$AF$2:$AF$805,[1]اردیبهشت!$O$2:$O$805,7605,[1]اردیبهشت!$D$2:$D$805,$F$37,[1]اردیبهشت!$AC$2:$AC$805,P3)</f>
        <v>8</v>
      </c>
      <c r="Q37" s="188">
        <f>SUMIFS([1]اردیبهشت!$AF$2:$AF$805,[1]اردیبهشت!$O$2:$O$805,7605,[1]اردیبهشت!$D$2:$D$805,$F$37,[1]اردیبهشت!$AC$2:$AC$805,Q3)</f>
        <v>12</v>
      </c>
      <c r="R37" s="188">
        <f>SUMIFS([1]اردیبهشت!$AF$2:$AF$805,[1]اردیبهشت!$O$2:$O$805,7605,[1]اردیبهشت!$D$2:$D$805,$F$37,[1]اردیبهشت!$AC$2:$AC$805,R3)</f>
        <v>12</v>
      </c>
      <c r="S37" s="188">
        <f>SUMIFS([1]اردیبهشت!$AF$2:$AF$805,[1]اردیبهشت!$O$2:$O$805,7605,[1]اردیبهشت!$D$2:$D$805,$F$37,[1]اردیبهشت!$AC$2:$AC$805,S3)</f>
        <v>12</v>
      </c>
      <c r="T37" s="188">
        <f>SUMIFS([1]اردیبهشت!$AF$2:$AF$805,[1]اردیبهشت!$O$2:$O$805,7605,[1]اردیبهشت!$D$2:$D$805,$F$37,[1]اردیبهشت!$AC$2:$AC$805,T3)</f>
        <v>8</v>
      </c>
      <c r="U37" s="128">
        <f>SUMIFS([1]خرداد!$AF$2:$AF$805,[1]خرداد!$O$2:$O$805,7605,[1]خرداد!$D$2:$D$805,$F$37,[1]خرداد!$AC$2:$AC$805,$U$3)</f>
        <v>7</v>
      </c>
    </row>
    <row r="38" spans="1:21" ht="36" customHeight="1" thickBot="1" x14ac:dyDescent="0.3">
      <c r="A38" s="942"/>
      <c r="B38" s="123"/>
      <c r="C38" s="363"/>
      <c r="D38" s="363"/>
      <c r="E38" s="915"/>
      <c r="F38" s="124"/>
      <c r="G38" s="93">
        <f t="shared" si="0"/>
        <v>0</v>
      </c>
      <c r="H38" s="92">
        <f t="shared" si="1"/>
        <v>0</v>
      </c>
      <c r="I38" s="125">
        <v>0</v>
      </c>
      <c r="J38" s="125">
        <v>0</v>
      </c>
      <c r="K38" s="126">
        <v>0</v>
      </c>
      <c r="L38" s="126">
        <v>0</v>
      </c>
      <c r="M38" s="154"/>
      <c r="N38" s="917"/>
      <c r="O38" s="190">
        <f>SUMIFS([1]اردیبهشت!$AD$2:$AD$805,[1]اردیبهشت!$N$2:$N$805,$C$37,[1]اردیبهشت!$D$2:$D$805,$F$38,[1]اردیبهشت!$AA$2:$AA$805,O3)</f>
        <v>0</v>
      </c>
      <c r="P38" s="191">
        <f>SUMIFS([1]اردیبهشت!$AD$2:$AD$600,[1]اردیبهشت!$N$2:$N$600,$C$37,[1]اردیبهشت!$D$2:$D$600,$F$38,[1]اردیبهشت!$AA$2:$AA$600,P3)</f>
        <v>0</v>
      </c>
      <c r="Q38" s="191">
        <f>SUMIFS([1]اردیبهشت!$AD$2:$AD$600,[1]اردیبهشت!$N$2:$N$600,$C$37,[1]اردیبهشت!$D$2:$D$600,$F$38,[1]اردیبهشت!$AA$2:$AA$600,Q3)</f>
        <v>0</v>
      </c>
      <c r="R38" s="191">
        <f>SUMIFS([1]اردیبهشت!$AD$2:$AD$600,[1]اردیبهشت!$N$2:$N$600,$C$37,[1]اردیبهشت!$D$2:$D$600,$F$38,[1]اردیبهشت!$AA$2:$AA$600,R3)</f>
        <v>0</v>
      </c>
      <c r="S38" s="191">
        <f>SUMIFS([1]اردیبهشت!$AD$2:$AD$600,[1]اردیبهشت!$N$2:$N$600,$C$37,[1]اردیبهشت!$D$2:$D$600,$F$38,[1]اردیبهشت!$AA$2:$AA$600,S3)</f>
        <v>0</v>
      </c>
      <c r="T38" s="191">
        <f>SUMIFS([1]اردیبهشت!$AD$2:$AD$600,[1]اردیبهشت!$N$2:$N$600,$C$37,[1]اردیبهشت!$D$2:$D$600,$F$38,[1]اردیبهشت!$AA$2:$AA$600,T3)</f>
        <v>0</v>
      </c>
      <c r="U38" s="115">
        <f>SUMIFS([1]اردیبهشت!$AD$2:$AD$600,[1]اردیبهشت!$N$2:$N$600,$C$37,[1]اردیبهشت!$D$2:$D$600,$F$38,[1]اردیبهشت!$AA$2:$AA$600,U3)</f>
        <v>0</v>
      </c>
    </row>
    <row r="39" spans="1:21" ht="36" customHeight="1" x14ac:dyDescent="0.25">
      <c r="A39" s="382"/>
      <c r="B39" s="307"/>
      <c r="C39" s="370"/>
      <c r="D39" s="370"/>
      <c r="E39" s="932" t="s">
        <v>15</v>
      </c>
      <c r="F39" s="84" t="s">
        <v>27</v>
      </c>
      <c r="G39" s="9">
        <f t="shared" si="0"/>
        <v>0</v>
      </c>
      <c r="H39" s="46">
        <f t="shared" si="1"/>
        <v>0</v>
      </c>
      <c r="I39" s="9">
        <v>0</v>
      </c>
      <c r="J39" s="9">
        <v>0</v>
      </c>
      <c r="K39" s="9">
        <v>0</v>
      </c>
      <c r="L39" s="9">
        <v>0</v>
      </c>
      <c r="M39" s="28"/>
      <c r="N39" s="945" t="s">
        <v>13</v>
      </c>
      <c r="O39" s="165">
        <f>SUMIFS([1]اردیبهشت!$AF$2:$AF$805,[1]اردیبهشت!$O$2:$O$805,7701,[1]اردیبهشت!$D$2:$D$805,$F$39,[1]اردیبهشت!$AC$2:$AC$805,O3)</f>
        <v>0</v>
      </c>
      <c r="P39" s="169">
        <f>SUMIFS([1]اردیبهشت!$AF$2:$AF$805,[1]اردیبهشت!$O$2:$O$805,7701,[1]اردیبهشت!$D$2:$D$805,$F$39,[1]اردیبهشت!$AC$2:$AC$805,P3)</f>
        <v>0</v>
      </c>
      <c r="Q39" s="169">
        <f>SUMIFS([1]اردیبهشت!$AF$2:$AF$805,[1]اردیبهشت!$O$2:$O$805,7701,[1]اردیبهشت!$D$2:$D$805,$F$39,[1]اردیبهشت!$AC$2:$AC$805,Q3)</f>
        <v>0</v>
      </c>
      <c r="R39" s="169">
        <f>SUMIFS([1]اردیبهشت!$AF$2:$AF$805,[1]اردیبهشت!$O$2:$O$805,7701,[1]اردیبهشت!$D$2:$D$805,$F$39,[1]اردیبهشت!$AC$2:$AC$805,R3)</f>
        <v>0</v>
      </c>
      <c r="S39" s="169">
        <f>SUMIFS([1]اردیبهشت!$AF$2:$AF$805,[1]اردیبهشت!$O$2:$O$805,7701,[1]اردیبهشت!$D$2:$D$805,$F$39,[1]اردیبهشت!$AC$2:$AC$805,S3)</f>
        <v>0</v>
      </c>
      <c r="T39" s="169">
        <f>SUMIFS([1]اردیبهشت!$AF$2:$AF$805,[1]اردیبهشت!$O$2:$O$805,7701,[1]اردیبهشت!$D$2:$D$805,$F$39,[1]اردیبهشت!$AC$2:$AC$805,T3)</f>
        <v>0</v>
      </c>
      <c r="U39" s="107">
        <f>SUMIFS([1]اردیبهشت!$AF$2:$AF$700,[1]اردیبهشت!$O$2:$O$700,7701,[1]اردیبهشت!$D$2:$D$700,$F$39,[1]اردیبهشت!$AC$2:$AC$700,U3)</f>
        <v>0</v>
      </c>
    </row>
    <row r="40" spans="1:21" ht="36" customHeight="1" x14ac:dyDescent="0.25">
      <c r="A40" s="383">
        <v>19</v>
      </c>
      <c r="B40" s="308" t="s">
        <v>30</v>
      </c>
      <c r="C40" s="371">
        <v>7701</v>
      </c>
      <c r="D40" s="371">
        <v>62.5</v>
      </c>
      <c r="E40" s="933"/>
      <c r="F40" s="29"/>
      <c r="G40" s="3">
        <f t="shared" si="0"/>
        <v>0</v>
      </c>
      <c r="H40" s="47">
        <f t="shared" si="1"/>
        <v>0</v>
      </c>
      <c r="I40" s="3">
        <v>0</v>
      </c>
      <c r="J40" s="25">
        <v>0</v>
      </c>
      <c r="K40" s="25">
        <v>0</v>
      </c>
      <c r="L40" s="70">
        <v>0</v>
      </c>
      <c r="M40" s="4">
        <f>(J39+J40+J41+I41+I40+I39+H39+H40+H41+G41+G40+G39)-D40</f>
        <v>-62.5</v>
      </c>
      <c r="N40" s="956"/>
      <c r="O40" s="166">
        <f>SUMIFS([1]اردیبهشت!$AD$2:$AD$805,[1]اردیبهشت!$N$2:$N$805,$C$40,[1]اردیبهشت!$D$2:$D$805,$F$40,[1]اردیبهشت!$AA$2:$AA$805,O3)</f>
        <v>0</v>
      </c>
      <c r="P40" s="168">
        <f>SUMIFS([1]اردیبهشت!$AD$2:$AD$805,[1]اردیبهشت!$N$2:$N$805,$C$40,[1]اردیبهشت!$D$2:$D$805,$F$40,[1]اردیبهشت!$AA$2:$AA$805,P3)</f>
        <v>0</v>
      </c>
      <c r="Q40" s="168">
        <f>SUMIFS([1]اردیبهشت!$AD$2:$AD$805,[1]اردیبهشت!$N$2:$N$805,$C$40,[1]اردیبهشت!$D$2:$D$805,$F$40,[1]اردیبهشت!$AA$2:$AA$805,Q3)</f>
        <v>0</v>
      </c>
      <c r="R40" s="168">
        <f>SUMIFS([1]اردیبهشت!$AD$2:$AD$805,[1]اردیبهشت!$N$2:$N$805,$C$40,[1]اردیبهشت!$D$2:$D$805,$F$40,[1]اردیبهشت!$AA$2:$AA$805,R3)</f>
        <v>0</v>
      </c>
      <c r="S40" s="168">
        <f>SUMIFS([1]اردیبهشت!$AD$2:$AD$805,[1]اردیبهشت!$N$2:$N$805,$C$40,[1]اردیبهشت!$D$2:$D$805,$F$40,[1]اردیبهشت!$AA$2:$AA$805,S3)</f>
        <v>0</v>
      </c>
      <c r="T40" s="168">
        <f>SUMIFS([1]اردیبهشت!$AD$2:$AD$805,[1]اردیبهشت!$N$2:$N$805,$C$40,[1]اردیبهشت!$D$2:$D$805,$F$40,[1]اردیبهشت!$AA$2:$AA$805,T3)</f>
        <v>0</v>
      </c>
      <c r="U40" s="108">
        <f>SUMIFS([1]اردیبهشت!$AD$2:$AD$600,[1]اردیبهشت!$N$2:$N$600,$C$40,[1]اردیبهشت!$D$2:$D$600,$F$40,[1]اردیبهشت!$AA$2:$AA$600,U3)</f>
        <v>0</v>
      </c>
    </row>
    <row r="41" spans="1:21" ht="36" customHeight="1" thickBot="1" x14ac:dyDescent="0.3">
      <c r="A41" s="384"/>
      <c r="B41" s="310"/>
      <c r="C41" s="373"/>
      <c r="D41" s="373"/>
      <c r="E41" s="934"/>
      <c r="F41" s="30"/>
      <c r="G41" s="1">
        <f t="shared" si="0"/>
        <v>0</v>
      </c>
      <c r="H41" s="49">
        <f t="shared" si="1"/>
        <v>0</v>
      </c>
      <c r="I41" s="7">
        <v>0</v>
      </c>
      <c r="J41" s="7">
        <v>0</v>
      </c>
      <c r="K41" s="7">
        <v>0</v>
      </c>
      <c r="L41" s="7">
        <v>0</v>
      </c>
      <c r="M41" s="8"/>
      <c r="N41" s="946"/>
      <c r="O41" s="167">
        <f>SUMIFS([1]اردیبهشت!$AD$2:$AD$805,[1]اردیبهشت!$N$2:$N$805,$C$40,[1]اردیبهشت!$D$2:$D$805,$F$41,[1]اردیبهشت!$AA$2:$AA$805,O3)</f>
        <v>0</v>
      </c>
      <c r="P41" s="175">
        <f>SUMIFS([1]اردیبهشت!$AD$2:$AD$805,[1]اردیبهشت!$N$2:$N$805,$C$40,[1]اردیبهشت!$D$2:$D$805,$F$41,[1]اردیبهشت!$AA$2:$AA$805,P3)</f>
        <v>0</v>
      </c>
      <c r="Q41" s="175">
        <f>SUMIFS([1]اردیبهشت!$AD$2:$AD$805,[1]اردیبهشت!$N$2:$N$805,$C$40,[1]اردیبهشت!$D$2:$D$805,$F$41,[1]اردیبهشت!$AA$2:$AA$805,Q3)</f>
        <v>0</v>
      </c>
      <c r="R41" s="175">
        <f>SUMIFS([1]اردیبهشت!$AD$2:$AD$805,[1]اردیبهشت!$N$2:$N$805,$C$40,[1]اردیبهشت!$D$2:$D$805,$F$41,[1]اردیبهشت!$AA$2:$AA$805,R3)</f>
        <v>0</v>
      </c>
      <c r="S41" s="175">
        <f>SUMIFS([1]اردیبهشت!$AD$2:$AD$805,[1]اردیبهشت!$N$2:$N$805,$C$40,[1]اردیبهشت!$D$2:$D$805,$F$41,[1]اردیبهشت!$AA$2:$AA$805,S3)</f>
        <v>0</v>
      </c>
      <c r="T41" s="175">
        <f>SUMIFS([1]اردیبهشت!$AD$2:$AD$805,[1]اردیبهشت!$N$2:$N$805,$C$40,[1]اردیبهشت!$D$2:$D$805,$F$41,[1]اردیبهشت!$AA$2:$AA$805,T3)</f>
        <v>0</v>
      </c>
      <c r="U41" s="114">
        <f>SUMIFS([1]اردیبهشت!$AD$2:$AD$600,[1]اردیبهشت!$N$2:$N$600,$C$40,[1]اردیبهشت!$D$2:$D$600,$F$41,[1]اردیبهشت!$AA$2:$AA$600,U3)</f>
        <v>0</v>
      </c>
    </row>
    <row r="42" spans="1:21" ht="36" customHeight="1" thickBot="1" x14ac:dyDescent="0.3">
      <c r="A42" s="384">
        <v>20</v>
      </c>
      <c r="B42" s="216" t="s">
        <v>63</v>
      </c>
      <c r="C42" s="374">
        <v>8001</v>
      </c>
      <c r="D42" s="374">
        <v>62.5</v>
      </c>
      <c r="E42" s="374" t="s">
        <v>15</v>
      </c>
      <c r="F42" s="54" t="s">
        <v>16</v>
      </c>
      <c r="G42" s="9">
        <f t="shared" si="0"/>
        <v>11</v>
      </c>
      <c r="H42" s="46">
        <f t="shared" si="1"/>
        <v>0</v>
      </c>
      <c r="I42" s="4">
        <v>0</v>
      </c>
      <c r="J42" s="4">
        <v>0</v>
      </c>
      <c r="K42" s="4">
        <v>0</v>
      </c>
      <c r="L42" s="4">
        <v>0</v>
      </c>
      <c r="M42" s="4">
        <f>SUM(G42:J42)-62</f>
        <v>-51</v>
      </c>
      <c r="N42" s="385" t="s">
        <v>31</v>
      </c>
      <c r="O42" s="179">
        <f>SUMIFS([1]اردیبهشت!$AF$2:$AF$805,[1]اردیبهشت!$O$2:$O$805,8001,[1]اردیبهشت!$D$2:$D$805,"*",[1]اردیبهشت!$AC$2:$AC$805,O3)</f>
        <v>1</v>
      </c>
      <c r="P42" s="186">
        <f>SUMIFS([1]اردیبهشت!$AF$2:$AF$805,[1]اردیبهشت!$O$2:$O$805,8001,[1]اردیبهشت!$D$2:$D$805,"*",[1]اردیبهشت!$AC$2:$AC$805,P3)</f>
        <v>0</v>
      </c>
      <c r="Q42" s="186">
        <f>SUMIFS([1]اردیبهشت!$AF$2:$AF$805,[1]اردیبهشت!$O$2:$O$805,8001,[1]اردیبهشت!$D$2:$D$805,"*",[1]اردیبهشت!$AC$2:$AC$805,Q3)</f>
        <v>0</v>
      </c>
      <c r="R42" s="186">
        <f>SUMIFS([1]اردیبهشت!$AF$2:$AF$805,[1]اردیبهشت!$O$2:$O$805,8001,[1]اردیبهشت!$D$2:$D$805,"*",[1]اردیبهشت!$AC$2:$AC$805,R3)</f>
        <v>6</v>
      </c>
      <c r="S42" s="186">
        <f>SUMIFS([1]اردیبهشت!$AF$2:$AF$805,[1]اردیبهشت!$O$2:$O$805,8001,[1]اردیبهشت!$D$2:$D$805,"*",[1]اردیبهشت!$AC$2:$AC$805,S3)</f>
        <v>4</v>
      </c>
      <c r="T42" s="186">
        <f>SUMIFS([1]اردیبهشت!$AF$2:$AF$805,[1]اردیبهشت!$O$2:$O$805,8001,[1]اردیبهشت!$D$2:$D$805,"*",[1]اردیبهشت!$AC$2:$AC$805,T3)</f>
        <v>0</v>
      </c>
      <c r="U42" s="118">
        <f>SUMIFS([1]اردیبهشت!$AF$2:$AF$700,[1]اردیبهشت!$O$2:$O$700,8001,[1]اردیبهشت!$D$2:$D$700,$F$42,[1]اردیبهشت!$AC$2:$AC$700,U3)</f>
        <v>0</v>
      </c>
    </row>
    <row r="43" spans="1:21" ht="36" customHeight="1" thickBot="1" x14ac:dyDescent="0.3">
      <c r="A43" s="382">
        <v>21</v>
      </c>
      <c r="B43" s="12" t="s">
        <v>32</v>
      </c>
      <c r="C43" s="13">
        <v>8002</v>
      </c>
      <c r="D43" s="13">
        <v>44</v>
      </c>
      <c r="E43" s="13" t="s">
        <v>15</v>
      </c>
      <c r="F43" s="31" t="s">
        <v>23</v>
      </c>
      <c r="G43" s="9">
        <f t="shared" si="0"/>
        <v>26</v>
      </c>
      <c r="H43" s="46">
        <f t="shared" si="1"/>
        <v>0</v>
      </c>
      <c r="I43" s="14">
        <v>0</v>
      </c>
      <c r="J43" s="14">
        <v>0</v>
      </c>
      <c r="K43" s="14">
        <v>0</v>
      </c>
      <c r="L43" s="14">
        <v>0</v>
      </c>
      <c r="M43" s="14">
        <f>SUM(G43:L43)-(D43)</f>
        <v>-18</v>
      </c>
      <c r="N43" s="364" t="s">
        <v>29</v>
      </c>
      <c r="O43" s="179">
        <f>SUMIFS([1]اردیبهشت!$AF$2:$AF$805,[1]اردیبهشت!$O$2:$O$805,8002,[1]اردیبهشت!$D$2:$D$805,$F$43,[1]اردیبهشت!$AC$2:$AC$805,O3)</f>
        <v>7.5</v>
      </c>
      <c r="P43" s="186">
        <f>SUMIFS([1]اردیبهشت!$AF$2:$AF$805,[1]اردیبهشت!$O$2:$O$805,8002,[1]اردیبهشت!$D$2:$D$805,$F$43,[1]اردیبهشت!$AC$2:$AC$805,P3)</f>
        <v>5.5</v>
      </c>
      <c r="Q43" s="186">
        <f>SUMIFS([1]اردیبهشت!$AF$2:$AF$805,[1]اردیبهشت!$O$2:$O$805,8002,[1]اردیبهشت!$D$2:$D$805,$F$43,[1]اردیبهشت!$AC$2:$AC$805,Q3)</f>
        <v>7.5</v>
      </c>
      <c r="R43" s="186">
        <f>SUMIFS([1]اردیبهشت!$AF$2:$AF$805,[1]اردیبهشت!$O$2:$O$805,8002,[1]اردیبهشت!$D$2:$D$805,$F$43,[1]اردیبهشت!$AC$2:$AC$805,R3)</f>
        <v>5.5</v>
      </c>
      <c r="S43" s="186">
        <f>SUMIFS([1]اردیبهشت!$AF$2:$AF$805,[1]اردیبهشت!$O$2:$O$805,8002,[1]اردیبهشت!$D$2:$D$805,$F$43,[1]اردیبهشت!$AC$2:$AC$805,S3)</f>
        <v>0</v>
      </c>
      <c r="T43" s="186">
        <f>SUMIFS([1]اردیبهشت!$AF$2:$AF$805,[1]اردیبهشت!$O$2:$O$805,8002,[1]اردیبهشت!$D$2:$D$805,$F$43,[1]اردیبهشت!$AC$2:$AC$805,T3)</f>
        <v>0</v>
      </c>
      <c r="U43" s="118">
        <f>SUMIFS([1]اردیبهشت!$AF$2:$AF$700,[1]اردیبهشت!$O$2:$O$700,8002,[1]اردیبهشت!$D$2:$D$700,$F$43,[1]اردیبهشت!$AC$2:$AC$700,U3)</f>
        <v>0</v>
      </c>
    </row>
    <row r="44" spans="1:21" ht="36" customHeight="1" x14ac:dyDescent="0.25">
      <c r="A44" s="957">
        <v>22</v>
      </c>
      <c r="B44" s="961" t="s">
        <v>33</v>
      </c>
      <c r="C44" s="943" t="s">
        <v>33</v>
      </c>
      <c r="D44" s="932">
        <v>62.5</v>
      </c>
      <c r="E44" s="943"/>
      <c r="F44" s="32" t="s">
        <v>16</v>
      </c>
      <c r="G44" s="9">
        <f t="shared" si="0"/>
        <v>31</v>
      </c>
      <c r="H44" s="46">
        <f t="shared" si="1"/>
        <v>2</v>
      </c>
      <c r="I44" s="9">
        <v>0</v>
      </c>
      <c r="J44" s="9">
        <v>0</v>
      </c>
      <c r="K44" s="9">
        <v>0</v>
      </c>
      <c r="L44" s="9">
        <v>0</v>
      </c>
      <c r="M44" s="9">
        <f>(SUM(G44:L44))-D44</f>
        <v>-29.5</v>
      </c>
      <c r="N44" s="33" t="s">
        <v>29</v>
      </c>
      <c r="O44" s="165">
        <f>SUMIFS([1]اردیبهشت!$AF$2:$AF$805,[1]اردیبهشت!$O$2:$O$805,"مونتاژ",[1]اردیبهشت!$D$2:$D$805,$F$44,[1]اردیبهشت!$AC$2:$AC$805,O3)</f>
        <v>15</v>
      </c>
      <c r="P44" s="169">
        <f>SUMIFS([1]اردیبهشت!$AF$2:$AF$805,[1]اردیبهشت!$O$2:$O$805,"مونتاژ",[1]اردیبهشت!$D$2:$D$805,$F$44,[1]اردیبهشت!$AC$2:$AC$805,P3)</f>
        <v>8</v>
      </c>
      <c r="Q44" s="169">
        <f>SUMIFS([1]اردیبهشت!$AF$2:$AF$805,[1]اردیبهشت!$O$2:$O$805,"مونتاژ",[1]اردیبهشت!$D$2:$D$805,$F$44,[1]اردیبهشت!$AC$2:$AC$805,Q3)</f>
        <v>0</v>
      </c>
      <c r="R44" s="169">
        <f>SUMIFS([1]اردیبهشت!$AF$2:$AF$805,[1]اردیبهشت!$O$2:$O$805,"مونتاژ",[1]اردیبهشت!$D$2:$D$805,$F$44,[1]اردیبهشت!$AC$2:$AC$805,R3)</f>
        <v>4</v>
      </c>
      <c r="S44" s="169">
        <f>SUMIFS([1]اردیبهشت!$AF$2:$AF$805,[1]اردیبهشت!$O$2:$O$805,"مونتاژ",[1]اردیبهشت!$D$2:$D$805,$F$44,[1]اردیبهشت!$AC$2:$AC$805,S3)</f>
        <v>0</v>
      </c>
      <c r="T44" s="169">
        <f>SUMIFS([1]اردیبهشت!$AF$2:$AF$805,[1]اردیبهشت!$O$2:$O$805,"مونتاژ",[1]اردیبهشت!$D$2:$D$805,$F$44,[1]اردیبهشت!$AC$2:$AC$805,T3)</f>
        <v>4</v>
      </c>
      <c r="U44" s="107">
        <f>SUMIFS([1]خرداد!$AF$2:$AF$805,[1]خرداد!$O$2:$O$805,"مونتاژ",[1]خرداد!$D$2:$D$805,$F$44,[1]خرداد!$AC$2:$AC$805,$U$3)</f>
        <v>2</v>
      </c>
    </row>
    <row r="45" spans="1:21" ht="36" customHeight="1" x14ac:dyDescent="0.25">
      <c r="A45" s="958"/>
      <c r="B45" s="962"/>
      <c r="C45" s="965"/>
      <c r="D45" s="933"/>
      <c r="E45" s="965"/>
      <c r="F45" s="29" t="s">
        <v>23</v>
      </c>
      <c r="G45" s="3">
        <f t="shared" si="0"/>
        <v>9</v>
      </c>
      <c r="H45" s="47">
        <f t="shared" si="1"/>
        <v>0</v>
      </c>
      <c r="I45" s="3">
        <v>0</v>
      </c>
      <c r="J45" s="3">
        <v>0</v>
      </c>
      <c r="K45" s="3">
        <v>0</v>
      </c>
      <c r="L45" s="3">
        <v>0</v>
      </c>
      <c r="M45" s="3">
        <f>(SUM(G45:L45))-D44</f>
        <v>-53.5</v>
      </c>
      <c r="N45" s="62"/>
      <c r="O45" s="166">
        <f>SUMIFS([1]اردیبهشت!$AF$2:$AF$805,[1]اردیبهشت!$O$2:$O$805,"مونتاژ",[1]اردیبهشت!$D$2:$D$805,$F$45,[1]اردیبهشت!$AC$2:$AC$805,O3)</f>
        <v>0</v>
      </c>
      <c r="P45" s="168">
        <f>SUMIFS([1]اردیبهشت!$AF$2:$AF$805,[1]اردیبهشت!$O$2:$O$805,"مونتاژ",[1]اردیبهشت!$D$2:$D$805,$F$45,[1]اردیبهشت!$AC$2:$AC$805,P3)</f>
        <v>2</v>
      </c>
      <c r="Q45" s="168">
        <f>SUMIFS([1]اردیبهشت!$AF$2:$AF$805,[1]اردیبهشت!$O$2:$O$805,"مونتاژ",[1]اردیبهشت!$D$2:$D$805,$F$45,[1]اردیبهشت!$AC$2:$AC$805,Q3)</f>
        <v>3</v>
      </c>
      <c r="R45" s="168">
        <f>SUMIFS([1]اردیبهشت!$AF$2:$AF$805,[1]اردیبهشت!$O$2:$O$805,"مونتاژ",[1]اردیبهشت!$D$2:$D$805,$F$45,[1]اردیبهشت!$AC$2:$AC$805,R3)</f>
        <v>4</v>
      </c>
      <c r="S45" s="168">
        <f>SUMIFS([1]اردیبهشت!$AF$2:$AF$805,[1]اردیبهشت!$O$2:$O$805,"مونتاژ",[1]اردیبهشت!$D$2:$D$805,$F$45,[1]اردیبهشت!$AC$2:$AC$805,S3)</f>
        <v>0</v>
      </c>
      <c r="T45" s="168">
        <f>SUMIFS([1]اردیبهشت!$AF$2:$AF$805,[1]اردیبهشت!$O$2:$O$805,"مونتاژ",[1]اردیبهشت!$D$2:$D$805,$F$45,[1]اردیبهشت!$AC$2:$AC$805,T3)</f>
        <v>0</v>
      </c>
      <c r="U45" s="108">
        <f>SUMIFS([1]اردیبهشت!$AD$2:$AD$600,[1]اردیبهشت!$N$2:$N$600,"مونتاژ",[1]اردیبهشت!$D$2:$D$600,$F$45,[1]اردیبهشت!$AA$2:$AA$600,U3)</f>
        <v>0</v>
      </c>
    </row>
    <row r="46" spans="1:21" ht="36" customHeight="1" x14ac:dyDescent="0.25">
      <c r="A46" s="959"/>
      <c r="B46" s="963"/>
      <c r="C46" s="966"/>
      <c r="D46" s="933"/>
      <c r="E46" s="966"/>
      <c r="F46" s="29" t="s">
        <v>54</v>
      </c>
      <c r="G46" s="3">
        <f t="shared" si="0"/>
        <v>36</v>
      </c>
      <c r="H46" s="47">
        <f t="shared" si="1"/>
        <v>5</v>
      </c>
      <c r="I46" s="3">
        <v>0</v>
      </c>
      <c r="J46" s="3">
        <v>0</v>
      </c>
      <c r="K46" s="3">
        <v>0</v>
      </c>
      <c r="L46" s="3">
        <v>0</v>
      </c>
      <c r="M46" s="3">
        <f>(SUM(G46:L46))-62</f>
        <v>-21</v>
      </c>
      <c r="N46" s="58"/>
      <c r="O46" s="166">
        <f>SUMIFS([1]اردیبهشت!$AF$2:$AF$805,[1]اردیبهشت!$O$2:$O$805,"مونتاژ",[1]اردیبهشت!$D$2:$D$805,$F$46,[1]اردیبهشت!$AC$2:$AC$805,O3)</f>
        <v>10</v>
      </c>
      <c r="P46" s="168">
        <f>SUMIFS([1]اردیبهشت!$AF$2:$AF$805,[1]اردیبهشت!$O$2:$O$805,"مونتاژ",[1]اردیبهشت!$D$2:$D$805,$F$46,[1]اردیبهشت!$AC$2:$AC$805,P3)</f>
        <v>8</v>
      </c>
      <c r="Q46" s="168">
        <f>SUMIFS([1]اردیبهشت!$AF$2:$AF$805,[1]اردیبهشت!$O$2:$O$805,"مونتاژ",[1]اردیبهشت!$D$2:$D$805,$F$46,[1]اردیبهشت!$AC$2:$AC$805,Q3)</f>
        <v>8</v>
      </c>
      <c r="R46" s="168">
        <f>SUMIFS([1]اردیبهشت!$AF$2:$AF$805,[1]اردیبهشت!$O$2:$O$805,"مونتاژ",[1]اردیبهشت!$D$2:$D$805,$F$46,[1]اردیبهشت!$AC$2:$AC$805,R3)</f>
        <v>5</v>
      </c>
      <c r="S46" s="168">
        <f>SUMIFS([1]اردیبهشت!$AF$2:$AF$805,[1]اردیبهشت!$O$2:$O$805,"مونتاژ",[1]اردیبهشت!$D$2:$D$805,$F$46,[1]اردیبهشت!$AC$2:$AC$805,S3)</f>
        <v>3</v>
      </c>
      <c r="T46" s="168">
        <f>SUMIFS([1]اردیبهشت!$AF$2:$AF$805,[1]اردیبهشت!$O$2:$O$805,"مونتاژ",[1]اردیبهشت!$D$2:$D$805,$F$46,[1]اردیبهشت!$AC$2:$AC$805,T3)</f>
        <v>2</v>
      </c>
      <c r="U46" s="108">
        <f>SUMIFS([1]خرداد!$AF$2:$AF$805,[1]خرداد!$O$2:$O$805,"مونتاژ",[1]خرداد!$D$2:$D$805,$F$46,[1]خرداد!$AC$2:$AC$805,$U$3)</f>
        <v>5</v>
      </c>
    </row>
    <row r="47" spans="1:21" ht="36" customHeight="1" thickBot="1" x14ac:dyDescent="0.3">
      <c r="A47" s="960"/>
      <c r="B47" s="964"/>
      <c r="C47" s="944"/>
      <c r="D47" s="934"/>
      <c r="E47" s="944"/>
      <c r="F47" s="30" t="s">
        <v>17</v>
      </c>
      <c r="G47" s="6">
        <f t="shared" si="0"/>
        <v>13</v>
      </c>
      <c r="H47" s="64">
        <f t="shared" si="1"/>
        <v>0</v>
      </c>
      <c r="I47" s="7">
        <v>0</v>
      </c>
      <c r="J47" s="7">
        <v>0</v>
      </c>
      <c r="K47" s="7">
        <v>0</v>
      </c>
      <c r="L47" s="7">
        <v>0</v>
      </c>
      <c r="M47" s="7">
        <f>SUM(G47:J47)-62</f>
        <v>-49</v>
      </c>
      <c r="N47" s="34"/>
      <c r="O47" s="167">
        <f>SUMIFS([1]اردیبهشت!$AF$2:$AF$805,[1]اردیبهشت!$O$2:$O$805,"مونتاژ",[1]اردیبهشت!$D$2:$D$805,$F$47,[1]اردیبهشت!$AC$2:$AC$805,O3)+6</f>
        <v>6</v>
      </c>
      <c r="P47" s="175">
        <f>SUMIFS([1]اردیبهشت!$AF$2:$AF$805,[1]اردیبهشت!$O$2:$O$805,"مونتاژ",[1]اردیبهشت!$D$2:$D$805,$F$47,[1]اردیبهشت!$AC$2:$AC$805,P3)</f>
        <v>0</v>
      </c>
      <c r="Q47" s="175">
        <f>SUMIFS([1]اردیبهشت!$AF$2:$AF$805,[1]اردیبهشت!$O$2:$O$805,"مونتاژ",[1]اردیبهشت!$D$2:$D$805,$F$47,[1]اردیبهشت!$AC$2:$AC$805,Q3)</f>
        <v>2</v>
      </c>
      <c r="R47" s="175">
        <f>SUMIFS([1]اردیبهشت!$AF$2:$AF$805,[1]اردیبهشت!$O$2:$O$805,"مونتاژ",[1]اردیبهشت!$D$2:$D$805,$F$47,[1]اردیبهشت!$AC$2:$AC$805,R3)</f>
        <v>0</v>
      </c>
      <c r="S47" s="175">
        <f>SUMIFS([1]اردیبهشت!$AF$2:$AF$805,[1]اردیبهشت!$O$2:$O$805,"مونتاژ",[1]اردیبهشت!$D$2:$D$805,$F$47,[1]اردیبهشت!$AC$2:$AC$805,S3)</f>
        <v>5</v>
      </c>
      <c r="T47" s="175">
        <f>SUMIFS([1]اردیبهشت!$AF$2:$AF$805,[1]اردیبهشت!$O$2:$O$805,"مونتاژ",[1]اردیبهشت!$D$2:$D$805,$F$47,[1]اردیبهشت!$AC$2:$AC$805,T3)</f>
        <v>0</v>
      </c>
      <c r="U47" s="114">
        <f>SUMIFS([1]اردیبهشت!$AD$2:$AD$600,[1]اردیبهشت!$N$2:$N$600,"مونتاژ",[1]اردیبهشت!$D$2:$D$600,$F$47,[1]اردیبهشت!$AA$2:$AA$600,U3)</f>
        <v>0</v>
      </c>
    </row>
    <row r="48" spans="1:21" ht="36" customHeight="1" x14ac:dyDescent="0.25">
      <c r="A48" s="967">
        <v>23</v>
      </c>
      <c r="B48" s="961" t="s">
        <v>33</v>
      </c>
      <c r="C48" s="943" t="s">
        <v>34</v>
      </c>
      <c r="D48" s="932">
        <v>62.5</v>
      </c>
      <c r="E48" s="932"/>
      <c r="F48" s="32" t="s">
        <v>16</v>
      </c>
      <c r="G48" s="9">
        <f t="shared" si="0"/>
        <v>8</v>
      </c>
      <c r="H48" s="46">
        <f t="shared" si="1"/>
        <v>0</v>
      </c>
      <c r="I48" s="9">
        <v>0</v>
      </c>
      <c r="J48" s="9">
        <v>0</v>
      </c>
      <c r="K48" s="9">
        <v>0</v>
      </c>
      <c r="L48" s="9">
        <v>0</v>
      </c>
      <c r="M48" s="9">
        <f>SUM(G48:L48)-62</f>
        <v>-54</v>
      </c>
      <c r="N48" s="56"/>
      <c r="O48" s="165">
        <f>SUMIFS([1]اردیبهشت!$AF$2:$AF$805,[1]اردیبهشت!$O$2:$O$805,"دمونتاژ",[1]اردیبهشت!$D$2:$D$805,$F$44,[1]اردیبهشت!$AC$2:$AC$805,O3)</f>
        <v>2</v>
      </c>
      <c r="P48" s="169">
        <f>SUMIFS([1]اردیبهشت!$AF$2:$AF$805,[1]اردیبهشت!$O$2:$O$805,"دمونتاژ",[1]اردیبهشت!$D$2:$D$805,$F$44,[1]اردیبهشت!$AC$2:$AC$805,P3)</f>
        <v>0</v>
      </c>
      <c r="Q48" s="169">
        <f>SUMIFS([1]اردیبهشت!$AF$2:$AF$805,[1]اردیبهشت!$O$2:$O$805,"دمونتاژ",[1]اردیبهشت!$D$2:$D$805,$F$44,[1]اردیبهشت!$AC$2:$AC$805,Q3)</f>
        <v>0</v>
      </c>
      <c r="R48" s="169">
        <f>SUMIFS([1]اردیبهشت!$AF$2:$AF$805,[1]اردیبهشت!$O$2:$O$805,"دمونتاژ",[1]اردیبهشت!$D$2:$D$805,$F$44,[1]اردیبهشت!$AC$2:$AC$805,R3)</f>
        <v>4</v>
      </c>
      <c r="S48" s="169">
        <f>SUMIFS([1]اردیبهشت!$AF$2:$AF$805,[1]اردیبهشت!$O$2:$O$805,"دمونتاژ",[1]اردیبهشت!$D$2:$D$805,$F$44,[1]اردیبهشت!$AC$2:$AC$805,S3)</f>
        <v>0</v>
      </c>
      <c r="T48" s="169">
        <f>SUMIFS([1]اردیبهشت!$AF$2:$AF$805,[1]اردیبهشت!$O$2:$O$805,"دمونتاژ",[1]اردیبهشت!$D$2:$D$805,$F$44,[1]اردیبهشت!$AC$2:$AC$805,T3)</f>
        <v>2</v>
      </c>
      <c r="U48" s="107">
        <f>SUMIFS([1]اردیبهشت!$AF$2:$AF$700,[1]اردیبهشت!$O$2:$O$700,"دمونتاژ",[1]اردیبهشت!$D$2:$D$700,$F$44,[1]اردیبهشت!$AC$2:$AC$700,U3)</f>
        <v>0</v>
      </c>
    </row>
    <row r="49" spans="1:21" ht="36" customHeight="1" x14ac:dyDescent="0.25">
      <c r="A49" s="967"/>
      <c r="B49" s="962"/>
      <c r="C49" s="965"/>
      <c r="D49" s="933"/>
      <c r="E49" s="933"/>
      <c r="F49" s="29"/>
      <c r="G49" s="3">
        <f t="shared" si="0"/>
        <v>0</v>
      </c>
      <c r="H49" s="47">
        <f t="shared" si="1"/>
        <v>0</v>
      </c>
      <c r="I49" s="3">
        <v>0</v>
      </c>
      <c r="J49" s="3">
        <v>0</v>
      </c>
      <c r="K49" s="3">
        <v>0</v>
      </c>
      <c r="L49" s="3">
        <v>0</v>
      </c>
      <c r="M49" s="3">
        <f>SUM(G49:L49)-62</f>
        <v>-62</v>
      </c>
      <c r="N49" s="62"/>
      <c r="O49" s="166">
        <f>SUMIFS([1]اردیبهشت!$AF$2:$AF$805,[1]اردیبهشت!$O$2:$O$805,"دمونتاژ",[1]اردیبهشت!$D$2:$D$805,$F$49,[1]اردیبهشت!$AC$2:$AC$805,O3)</f>
        <v>0</v>
      </c>
      <c r="P49" s="168">
        <f>SUMIFS([1]اردیبهشت!$AF$2:$AF$805,[1]اردیبهشت!$O$2:$O$805,"دمونتاژ",[1]اردیبهشت!$D$2:$D$805,$F$49,[1]اردیبهشت!$AC$2:$AC$805,P3)</f>
        <v>0</v>
      </c>
      <c r="Q49" s="168">
        <f>SUMIFS([1]اردیبهشت!$AF$2:$AF$805,[1]اردیبهشت!$O$2:$O$805,"دمونتاژ",[1]اردیبهشت!$D$2:$D$805,$F$49,[1]اردیبهشت!$AC$2:$AC$805,Q3)</f>
        <v>0</v>
      </c>
      <c r="R49" s="168">
        <f>SUMIFS([1]اردیبهشت!$AF$2:$AF$805,[1]اردیبهشت!$O$2:$O$805,"دمونتاژ",[1]اردیبهشت!$D$2:$D$805,$F$49,[1]اردیبهشت!$AC$2:$AC$805,R3)</f>
        <v>0</v>
      </c>
      <c r="S49" s="168">
        <f>SUMIFS([1]اردیبهشت!$AF$2:$AF$805,[1]اردیبهشت!$O$2:$O$805,"دمونتاژ",[1]اردیبهشت!$D$2:$D$805,$F$49,[1]اردیبهشت!$AC$2:$AC$805,S3)</f>
        <v>0</v>
      </c>
      <c r="T49" s="168">
        <f>SUMIFS([1]اردیبهشت!$AF$2:$AF$805,[1]اردیبهشت!$O$2:$O$805,"دمونتاژ",[1]اردیبهشت!$D$2:$D$805,$F$49,[1]اردیبهشت!$AC$2:$AC$805,T3)</f>
        <v>0</v>
      </c>
      <c r="U49" s="108">
        <f>SUMIFS([1]اردیبهشت!$AD$2:$AD$600,[1]اردیبهشت!$N$2:$N$600,"دمونتاژ",[1]اردیبهشت!$D$2:$D$600,$F$49,[1]اردیبهشت!$AA$2:$AA$600,U3)</f>
        <v>0</v>
      </c>
    </row>
    <row r="50" spans="1:21" ht="36" customHeight="1" x14ac:dyDescent="0.25">
      <c r="A50" s="967"/>
      <c r="B50" s="962"/>
      <c r="C50" s="965"/>
      <c r="D50" s="933"/>
      <c r="E50" s="933"/>
      <c r="F50" s="29" t="s">
        <v>54</v>
      </c>
      <c r="G50" s="3">
        <f t="shared" si="0"/>
        <v>6</v>
      </c>
      <c r="H50" s="47">
        <f t="shared" si="1"/>
        <v>0</v>
      </c>
      <c r="I50" s="3">
        <v>0</v>
      </c>
      <c r="J50" s="3">
        <v>0</v>
      </c>
      <c r="K50" s="3">
        <v>0</v>
      </c>
      <c r="L50" s="3">
        <v>0</v>
      </c>
      <c r="M50" s="3">
        <f>SUM(G50:L50)-62</f>
        <v>-56</v>
      </c>
      <c r="N50" s="62"/>
      <c r="O50" s="166">
        <f>SUMIFS([1]اردیبهشت!$AF$2:$AF$805,[1]اردیبهشت!$O$2:$O$805,"دمونتاژ",[1]اردیبهشت!$D$2:$D$805,$F$50,[1]اردیبهشت!$AC$2:$AC$805,O3)</f>
        <v>0</v>
      </c>
      <c r="P50" s="168">
        <f>SUMIFS([1]اردیبهشت!$AF$2:$AF$805,[1]اردیبهشت!$O$2:$O$805,"دمونتاژ",[1]اردیبهشت!$D$2:$D$805,$F$50,[1]اردیبهشت!$AC$2:$AC$805,P3)</f>
        <v>0</v>
      </c>
      <c r="Q50" s="168">
        <f>SUMIFS([1]اردیبهشت!$AF$2:$AF$805,[1]اردیبهشت!$O$2:$O$805,"دمونتاژ",[1]اردیبهشت!$D$2:$D$805,$F$50,[1]اردیبهشت!$AC$2:$AC$805,Q3)</f>
        <v>0</v>
      </c>
      <c r="R50" s="168">
        <f>SUMIFS([1]اردیبهشت!$AF$2:$AF$805,[1]اردیبهشت!$O$2:$O$805,"دمونتاژ",[1]اردیبهشت!$D$2:$D$805,$F$50,[1]اردیبهشت!$AC$2:$AC$805,R3)</f>
        <v>0</v>
      </c>
      <c r="S50" s="168">
        <f>SUMIFS([1]اردیبهشت!$AF$2:$AF$805,[1]اردیبهشت!$O$2:$O$805,"دمونتاژ",[1]اردیبهشت!$D$2:$D$805,$F$50,[1]اردیبهشت!$AC$2:$AC$805,S3)</f>
        <v>4</v>
      </c>
      <c r="T50" s="168">
        <f>SUMIFS([1]اردیبهشت!$AF$2:$AF$805,[1]اردیبهشت!$O$2:$O$805,"دمونتاژ",[1]اردیبهشت!$D$2:$D$805,$F$50,[1]اردیبهشت!$AC$2:$AC$805,T3)</f>
        <v>2</v>
      </c>
      <c r="U50" s="108">
        <f>SUMIFS([1]اردیبهشت!$AF$2:$AF$700,[1]اردیبهشت!$O$2:$O$700,"دمونتاژ",[1]اردیبهشت!$D$2:$D$700,$F$50,[1]اردیبهشت!$AC$2:$AC$700,U3)</f>
        <v>0</v>
      </c>
    </row>
    <row r="51" spans="1:21" ht="36" customHeight="1" thickBot="1" x14ac:dyDescent="0.3">
      <c r="A51" s="967"/>
      <c r="B51" s="963"/>
      <c r="C51" s="966"/>
      <c r="D51" s="934"/>
      <c r="E51" s="934"/>
      <c r="F51" s="372"/>
      <c r="G51" s="4">
        <f t="shared" si="0"/>
        <v>0</v>
      </c>
      <c r="H51" s="49">
        <f t="shared" si="1"/>
        <v>0</v>
      </c>
      <c r="I51" s="25">
        <v>0</v>
      </c>
      <c r="J51" s="25">
        <v>0</v>
      </c>
      <c r="K51" s="25">
        <v>0</v>
      </c>
      <c r="L51" s="25">
        <v>0</v>
      </c>
      <c r="M51" s="25">
        <f>SUM(G51:L51)-62</f>
        <v>-62</v>
      </c>
      <c r="N51" s="58"/>
      <c r="O51" s="171">
        <f>SUMIFS([1]اردیبهشت!$AD$2:$AD$805,[1]اردیبهشت!$N$2:$N$805,"دمونتاژ",[1]اردیبهشت!$D$2:$D$805,$F$51,[1]اردیبهشت!$AA$2:$AA$805,O3)</f>
        <v>0</v>
      </c>
      <c r="P51" s="172">
        <f>SUMIFS([1]اردیبهشت!$AD$2:$AD$805,[1]اردیبهشت!$N$2:$N$805,"دمونتاژ",[1]اردیبهشت!$D$2:$D$805,$F$51,[1]اردیبهشت!$AA$2:$AA$805,P3)</f>
        <v>0</v>
      </c>
      <c r="Q51" s="172">
        <f>SUMIFS([1]اردیبهشت!$AD$2:$AD$805,[1]اردیبهشت!$N$2:$N$805,"دمونتاژ",[1]اردیبهشت!$D$2:$D$805,$F$51,[1]اردیبهشت!$AA$2:$AA$805,Q3)</f>
        <v>0</v>
      </c>
      <c r="R51" s="172">
        <f>SUMIFS([1]اردیبهشت!$AD$2:$AD$805,[1]اردیبهشت!$N$2:$N$805,"دمونتاژ",[1]اردیبهشت!$D$2:$D$805,$F$51,[1]اردیبهشت!$AA$2:$AA$805,R3)</f>
        <v>0</v>
      </c>
      <c r="S51" s="172">
        <f>SUMIFS([1]اردیبهشت!$AD$2:$AD$805,[1]اردیبهشت!$N$2:$N$805,"دمونتاژ",[1]اردیبهشت!$D$2:$D$805,$F$51,[1]اردیبهشت!$AA$2:$AA$805,S3)</f>
        <v>0</v>
      </c>
      <c r="T51" s="172">
        <f>SUMIFS([1]اردیبهشت!$AD$2:$AD$805,[1]اردیبهشت!$N$2:$N$805,"دمونتاژ",[1]اردیبهشت!$D$2:$D$805,$F$51,[1]اردیبهشت!$AA$2:$AA$805,T3)</f>
        <v>0</v>
      </c>
      <c r="U51" s="109">
        <f>SUMIFS([1]اردیبهشت!$AD$2:$AD$600,[1]اردیبهشت!$N$2:$N$600,"دمونتاژ",[1]اردیبهشت!$D$2:$D$600,$F$51,[1]اردیبهشت!$AA$2:$AA$600,U3)</f>
        <v>0</v>
      </c>
    </row>
    <row r="52" spans="1:21" ht="42.75" customHeight="1" thickBot="1" x14ac:dyDescent="0.3">
      <c r="A52" s="951" t="s">
        <v>49</v>
      </c>
      <c r="B52" s="952"/>
      <c r="C52" s="952"/>
      <c r="D52" s="952"/>
      <c r="E52" s="952"/>
      <c r="F52" s="953"/>
      <c r="G52" s="148">
        <f>SUM(G4:G51)-G43</f>
        <v>779.5</v>
      </c>
      <c r="H52" s="148">
        <f>SUM(H4:H51)</f>
        <v>66</v>
      </c>
      <c r="I52" s="148">
        <f>SUM(I4:I51)</f>
        <v>26</v>
      </c>
      <c r="J52" s="148">
        <f>SUM(J4:J51)</f>
        <v>134</v>
      </c>
      <c r="K52" s="148"/>
      <c r="L52" s="148"/>
      <c r="M52" s="149">
        <f>SUMIFS(M4:M51,F4:F51,"*")</f>
        <v>-598.5</v>
      </c>
      <c r="N52" s="306"/>
      <c r="O52" s="302">
        <f>SUM(O4:O51)</f>
        <v>130.33333333333331</v>
      </c>
      <c r="P52" s="198">
        <f t="shared" ref="P52:U52" si="2">SUM(P4:P51)</f>
        <v>118.83333333333333</v>
      </c>
      <c r="Q52" s="198">
        <f t="shared" si="2"/>
        <v>156.83333333333331</v>
      </c>
      <c r="R52" s="198">
        <f t="shared" si="2"/>
        <v>159.83333333333334</v>
      </c>
      <c r="S52" s="198">
        <f t="shared" si="2"/>
        <v>146.5</v>
      </c>
      <c r="T52" s="198">
        <f t="shared" si="2"/>
        <v>93.166666666666657</v>
      </c>
      <c r="U52" s="150">
        <f t="shared" si="2"/>
        <v>67</v>
      </c>
    </row>
  </sheetData>
  <mergeCells count="41">
    <mergeCell ref="E16:E18"/>
    <mergeCell ref="N16:N18"/>
    <mergeCell ref="A1:L2"/>
    <mergeCell ref="O1:U2"/>
    <mergeCell ref="E4:E6"/>
    <mergeCell ref="N4:N6"/>
    <mergeCell ref="E7:E9"/>
    <mergeCell ref="E20:E22"/>
    <mergeCell ref="N20:N22"/>
    <mergeCell ref="E23:E25"/>
    <mergeCell ref="N23:N25"/>
    <mergeCell ref="E26:E28"/>
    <mergeCell ref="N26:N28"/>
    <mergeCell ref="A29:A30"/>
    <mergeCell ref="E29:E30"/>
    <mergeCell ref="N29:N30"/>
    <mergeCell ref="A31:A32"/>
    <mergeCell ref="E31:E32"/>
    <mergeCell ref="N31:N32"/>
    <mergeCell ref="A33:A34"/>
    <mergeCell ref="E33:E34"/>
    <mergeCell ref="N33:N34"/>
    <mergeCell ref="A35:A36"/>
    <mergeCell ref="E35:E36"/>
    <mergeCell ref="N35:N36"/>
    <mergeCell ref="A52:F52"/>
    <mergeCell ref="A37:A38"/>
    <mergeCell ref="E37:E38"/>
    <mergeCell ref="N37:N38"/>
    <mergeCell ref="E39:E41"/>
    <mergeCell ref="N39:N41"/>
    <mergeCell ref="A44:A47"/>
    <mergeCell ref="B44:B47"/>
    <mergeCell ref="C44:C47"/>
    <mergeCell ref="D44:D47"/>
    <mergeCell ref="E44:E47"/>
    <mergeCell ref="A48:A51"/>
    <mergeCell ref="B48:B51"/>
    <mergeCell ref="C48:C51"/>
    <mergeCell ref="D48:D51"/>
    <mergeCell ref="E48:E51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:M51" formulaRange="1"/>
    <ignoredError sqref="U15 U13 U19 U26 U29:U31" formula="1"/>
  </ignoredErrors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C1D3-2989-4F85-9898-293CFF44661A}">
  <sheetPr>
    <pageSetUpPr fitToPage="1"/>
  </sheetPr>
  <dimension ref="A1:U52"/>
  <sheetViews>
    <sheetView rightToLeft="1" view="pageLayout" zoomScaleNormal="100" workbookViewId="0">
      <selection activeCell="G52" sqref="G52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20" width="6.42578125" style="52" hidden="1" customWidth="1"/>
    <col min="21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10</v>
      </c>
      <c r="O2" s="926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291" t="s">
        <v>116</v>
      </c>
      <c r="P3" s="291" t="s">
        <v>117</v>
      </c>
      <c r="Q3" s="291" t="s">
        <v>118</v>
      </c>
      <c r="R3" s="291" t="s">
        <v>119</v>
      </c>
      <c r="S3" s="291" t="s">
        <v>120</v>
      </c>
      <c r="T3" s="291" t="s">
        <v>121</v>
      </c>
      <c r="U3" s="291" t="s">
        <v>122</v>
      </c>
    </row>
    <row r="4" spans="1:21" ht="33.75" customHeight="1" x14ac:dyDescent="0.25">
      <c r="A4" s="365"/>
      <c r="B4" s="380"/>
      <c r="C4" s="307"/>
      <c r="D4" s="39"/>
      <c r="E4" s="932" t="s">
        <v>15</v>
      </c>
      <c r="F4" s="370" t="s">
        <v>55</v>
      </c>
      <c r="G4" s="9">
        <f>SUM(O4:T4)</f>
        <v>22</v>
      </c>
      <c r="H4" s="46">
        <f>U4</f>
        <v>0</v>
      </c>
      <c r="I4" s="9">
        <v>40</v>
      </c>
      <c r="J4" s="9">
        <v>0</v>
      </c>
      <c r="K4" s="9">
        <v>11.5</v>
      </c>
      <c r="L4" s="9">
        <v>0</v>
      </c>
      <c r="M4" s="28"/>
      <c r="N4" s="945" t="s">
        <v>101</v>
      </c>
      <c r="O4" s="165">
        <f>SUMIFS([1]خرداد!$AF$2:$AF$805,[1]خرداد!$O$2:$O$805,7101,[1]خرداد!$D$2:$D$805,$F$4,[1]خرداد!$AC$2:$AC$805,O3)</f>
        <v>11</v>
      </c>
      <c r="P4" s="292">
        <f>SUMIFS([1]خرداد!$AF$2:$AF$805,[1]خرداد!$O$2:$O$805,7101,[1]خرداد!$D$2:$D$805,$F$4,[1]خرداد!$AC$2:$AC$805,P3)</f>
        <v>0</v>
      </c>
      <c r="Q4" s="292">
        <f>SUMIFS([1]خرداد!$AF$2:$AF$805,[1]خرداد!$O$2:$O$805,7101,[1]خرداد!$D$2:$D$805,$F$4,[1]خرداد!$AC$2:$AC$805,Q3)</f>
        <v>11</v>
      </c>
      <c r="R4" s="292">
        <f>SUMIFS([1]خرداد!$AF$2:$AF$805,[1]خرداد!$O$2:$O$805,7101,[1]خرداد!$D$2:$D$805,$F$4,[1]خرداد!$AC$2:$AC$805,R3)</f>
        <v>0</v>
      </c>
      <c r="S4" s="292">
        <f>SUMIFS([1]خرداد!$AF$2:$AF$805,[1]خرداد!$O$2:$O$805,7101,[1]خرداد!$D$2:$D$805,$F$4,[1]خرداد!$AC$2:$AC$805,S3)</f>
        <v>0</v>
      </c>
      <c r="T4" s="292">
        <f>SUMIFS([1]خرداد!$AF$2:$AF$805,[1]خرداد!$O$2:$O$805,7101,[1]خرداد!$D$2:$D$805,$F$4,[1]خرداد!$AC$2:$AC$805,T3)</f>
        <v>0</v>
      </c>
      <c r="U4" s="357">
        <f>SUMIFS([1]خرداد!$AF$2:$AF$805,[1]خرداد!$O$2:$O$805,7101,[1]خرداد!$D$2:$D$805,$F$4,[1]خرداد!$AC$2:$AC$805,U3)</f>
        <v>0</v>
      </c>
    </row>
    <row r="5" spans="1:21" ht="33.75" customHeight="1" x14ac:dyDescent="0.25">
      <c r="A5" s="366">
        <v>1</v>
      </c>
      <c r="B5" s="381" t="s">
        <v>14</v>
      </c>
      <c r="C5" s="308">
        <v>7101</v>
      </c>
      <c r="D5" s="2">
        <v>62.5</v>
      </c>
      <c r="E5" s="933"/>
      <c r="F5" s="371"/>
      <c r="G5" s="3">
        <f t="shared" ref="G5:G51" si="0">SUM(O5:T5)</f>
        <v>0</v>
      </c>
      <c r="H5" s="47">
        <f t="shared" ref="H5:H51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11</v>
      </c>
      <c r="N5" s="929"/>
      <c r="O5" s="166">
        <f>SUMIFS([1]اردیبهشت!$AD$2:$AD$600,[1]اردیبهشت!$N$2:$N$600,7101,[1]اردیبهشت!$D$2:$D$600,$F$5,[1]اردیبهشت!$AA$2:$AA$600,O3)</f>
        <v>0</v>
      </c>
      <c r="P5" s="168">
        <f>SUMIFS([1]اردیبهشت!$AD$2:$AD$600,[1]اردیبهشت!$N$2:$N$600,7101,[1]اردیبهشت!$D$2:$D$600,$F$5,[1]اردیبهشت!$AA$2:$AA$600,P3)</f>
        <v>0</v>
      </c>
      <c r="Q5" s="168">
        <f>SUMIFS([1]اردیبهشت!$AD$2:$AD$600,[1]اردیبهشت!$N$2:$N$600,7101,[1]اردیبهشت!$D$2:$D$600,$F$5,[1]اردیبهشت!$AA$2:$AA$600,Q3)</f>
        <v>0</v>
      </c>
      <c r="R5" s="168">
        <f>SUMIFS([1]اردیبهشت!$AD$2:$AD$600,[1]اردیبهشت!$N$2:$N$600,7101,[1]اردیبهشت!$D$2:$D$600,$F$5,[1]اردیبهشت!$AA$2:$AA$600,R3)</f>
        <v>0</v>
      </c>
      <c r="S5" s="168">
        <f>SUMIFS([1]اردیبهشت!$AD$2:$AD$600,[1]اردیبهشت!$N$2:$N$600,7101,[1]اردیبهشت!$D$2:$D$600,$F$5,[1]اردیبهشت!$AA$2:$AA$600,S3)</f>
        <v>0</v>
      </c>
      <c r="T5" s="168">
        <f>SUMIFS([1]اردیبهشت!$AD$2:$AD$600,[1]اردیبهشت!$N$2:$N$600,7101,[1]اردیبهشت!$D$2:$D$600,$F$5,[1]اردیبهشت!$AA$2:$AA$600,T3)</f>
        <v>0</v>
      </c>
      <c r="U5" s="108">
        <f>SUMIFS([1]اردیبهشت!$AD$2:$AD$600,[1]اردیبهشت!$N$2:$N$600,7101,[1]اردیبهشت!$D$2:$D$600,$F$5,[1]اردیبهشت!$AA$2:$AA$600,U3)</f>
        <v>0</v>
      </c>
    </row>
    <row r="6" spans="1:21" ht="33.75" customHeight="1" thickBot="1" x14ac:dyDescent="0.3">
      <c r="A6" s="367"/>
      <c r="B6" s="88"/>
      <c r="C6" s="310"/>
      <c r="D6" s="373"/>
      <c r="E6" s="934"/>
      <c r="F6" s="5"/>
      <c r="G6" s="6">
        <f t="shared" si="0"/>
        <v>0</v>
      </c>
      <c r="H6" s="64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171">
        <f>SUMIFS([1]اردیبهشت!$AD$2:$AD$600,[1]اردیبهشت!$N$2:$N$600,7101,[1]اردیبهشت!$D$2:$D$600,$F$6,[1]اردیبهشت!$AA$2:$AA$600,O3)</f>
        <v>0</v>
      </c>
      <c r="P6" s="172">
        <f>SUMIFS([1]اردیبهشت!$AD$2:$AD$600,[1]اردیبهشت!$N$2:$N$600,7101,[1]اردیبهشت!$D$2:$D$600,$F$6,[1]اردیبهشت!$AA$2:$AA$600,P3)</f>
        <v>0</v>
      </c>
      <c r="Q6" s="172">
        <f>SUMIFS([1]اردیبهشت!$AD$2:$AD$600,[1]اردیبهشت!$N$2:$N$600,7101,[1]اردیبهشت!$D$2:$D$600,$F$6,[1]اردیبهشت!$AA$2:$AA$600,Q3)</f>
        <v>0</v>
      </c>
      <c r="R6" s="172">
        <f>SUMIFS([1]اردیبهشت!$AD$2:$AD$600,[1]اردیبهشت!$N$2:$N$600,7101,[1]اردیبهشت!$D$2:$D$600,$F$6,[1]اردیبهشت!$AA$2:$AA$600,R3)</f>
        <v>0</v>
      </c>
      <c r="S6" s="172">
        <f>SUMIFS([1]اردیبهشت!$AD$2:$AD$600,[1]اردیبهشت!$N$2:$N$600,7101,[1]اردیبهشت!$D$2:$D$600,$F$6,[1]اردیبهشت!$AA$2:$AA$600,S3)</f>
        <v>0</v>
      </c>
      <c r="T6" s="172">
        <f>SUMIFS([1]اردیبهشت!$AD$2:$AD$600,[1]اردیبهشت!$N$2:$N$600,7101,[1]اردیبهشت!$D$2:$D$600,$F$6,[1]اردیبهشت!$AA$2:$AA$600,T3)</f>
        <v>0</v>
      </c>
      <c r="U6" s="109">
        <f>SUMIFS([1]اردیبهشت!$AD$2:$AD$600,[1]اردیبهشت!$N$2:$N$600,7101,[1]اردیبهشت!$D$2:$D$600,$F$6,[1]اردیبهشت!$AA$2:$AA$600,U3)</f>
        <v>0</v>
      </c>
    </row>
    <row r="7" spans="1:21" ht="33.75" customHeight="1" x14ac:dyDescent="0.25">
      <c r="A7" s="383"/>
      <c r="B7" s="216"/>
      <c r="C7" s="224"/>
      <c r="D7" s="387"/>
      <c r="E7" s="932" t="s">
        <v>15</v>
      </c>
      <c r="F7" s="20" t="s">
        <v>20</v>
      </c>
      <c r="G7" s="1">
        <f t="shared" si="0"/>
        <v>51</v>
      </c>
      <c r="H7" s="49">
        <f t="shared" si="1"/>
        <v>0</v>
      </c>
      <c r="I7" s="1">
        <v>0</v>
      </c>
      <c r="J7" s="1">
        <v>0</v>
      </c>
      <c r="K7" s="1">
        <v>11.5</v>
      </c>
      <c r="L7" s="1">
        <v>0</v>
      </c>
      <c r="M7" s="69"/>
      <c r="N7" s="376"/>
      <c r="O7" s="165">
        <f>SUMIFS([1]خرداد!$AF$2:$AF$805,[1]خرداد!$O$2:$O$805,7102,[1]خرداد!$D$2:$D$805,$F$7,[1]خرداد!$AC$2:$AC$805,O3)</f>
        <v>11</v>
      </c>
      <c r="P7" s="169">
        <f>SUMIFS([1]خرداد!$AF$2:$AF$805,[1]خرداد!$O$2:$O$805,7102,[1]خرداد!$D$2:$D$805,$F$7,[1]خرداد!$AC$2:$AC$805,P3)</f>
        <v>11</v>
      </c>
      <c r="Q7" s="169">
        <f>SUMIFS([1]خرداد!$AF$2:$AF$805,[1]خرداد!$O$2:$O$805,7102,[1]خرداد!$D$2:$D$805,$F$7,[1]خرداد!$AC$2:$AC$805,Q3)</f>
        <v>11</v>
      </c>
      <c r="R7" s="169">
        <f>SUMIFS([1]خرداد!$AF$2:$AF$805,[1]خرداد!$O$2:$O$805,7102,[1]خرداد!$D$2:$D$805,$F$7,[1]خرداد!$AC$2:$AC$805,R3)</f>
        <v>11</v>
      </c>
      <c r="S7" s="169">
        <f>SUMIFS([1]خرداد!$AF$2:$AF$805,[1]خرداد!$O$2:$O$805,7102,[1]خرداد!$D$2:$D$805,$F$7,[1]خرداد!$AC$2:$AC$805,S3)</f>
        <v>0</v>
      </c>
      <c r="T7" s="169">
        <f>SUMIFS([1]خرداد!$AF$2:$AF$805,[1]خرداد!$O$2:$O$805,7102,[1]خرداد!$D$2:$D$805,$F$7,[1]خرداد!$AC$2:$AC$805,T3)</f>
        <v>7</v>
      </c>
      <c r="U7" s="170">
        <f>SUMIFS([1]خرداد!$AF$2:$AF$805,[1]خرداد!$O$2:$O$805,7102,[1]خرداد!$D$2:$D$805,$F$7,[1]خرداد!$AC$2:$AC$805,U3)</f>
        <v>0</v>
      </c>
    </row>
    <row r="8" spans="1:21" ht="33.75" customHeight="1" x14ac:dyDescent="0.25">
      <c r="A8" s="383">
        <v>2</v>
      </c>
      <c r="B8" s="216" t="s">
        <v>14</v>
      </c>
      <c r="C8" s="308">
        <v>7102</v>
      </c>
      <c r="D8" s="2">
        <v>62.5</v>
      </c>
      <c r="E8" s="933"/>
      <c r="F8" s="387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0</v>
      </c>
      <c r="N8" s="377" t="s">
        <v>29</v>
      </c>
      <c r="O8" s="166">
        <f>SUMIFS([1]اردیبهشت!$AD$2:$AD$600,[1]اردیبهشت!$N$2:$N$600,7102,[1]اردیبهشت!$D$2:$D$600,$F$8,[1]اردیبهشت!$AA$2:$AA$600,O3)</f>
        <v>0</v>
      </c>
      <c r="P8" s="168">
        <f>SUMIFS([1]اردیبهشت!$AD$2:$AD$600,[1]اردیبهشت!$N$2:$N$600,7102,[1]اردیبهشت!$D$2:$D$600,$F$8,[1]اردیبهشت!$AA$2:$AA$600,P3)</f>
        <v>0</v>
      </c>
      <c r="Q8" s="168">
        <f>SUMIFS([1]اردیبهشت!$AD$2:$AD$600,[1]اردیبهشت!$N$2:$N$600,7102,[1]اردیبهشت!$D$2:$D$600,$F$8,[1]اردیبهشت!$AA$2:$AA$600,Q3)</f>
        <v>0</v>
      </c>
      <c r="R8" s="168">
        <f>SUMIFS([1]اردیبهشت!$AD$2:$AD$600,[1]اردیبهشت!$N$2:$N$600,7102,[1]اردیبهشت!$D$2:$D$600,$F$8,[1]اردیبهشت!$AA$2:$AA$600,R3)</f>
        <v>0</v>
      </c>
      <c r="S8" s="168">
        <f>SUMIFS([1]اردیبهشت!$AD$2:$AD$600,[1]اردیبهشت!$N$2:$N$600,7102,[1]اردیبهشت!$D$2:$D$600,$F$8,[1]اردیبهشت!$AA$2:$AA$600,S3)</f>
        <v>0</v>
      </c>
      <c r="T8" s="168">
        <f>SUMIFS([1]اردیبهشت!$AD$2:$AD$600,[1]اردیبهشت!$N$2:$N$600,7102,[1]اردیبهشت!$D$2:$D$600,$F$8,[1]اردیبهشت!$AA$2:$AA$600,T3)</f>
        <v>0</v>
      </c>
      <c r="U8" s="108">
        <f>SUMIFS([1]اردیبهشت!$AD$2:$AD$600,[1]اردیبهشت!$N$2:$N$600,7102,[1]اردیبهشت!$D$2:$D$600,$F$8,[1]اردیبهشت!$AA$2:$AA$600,U3)</f>
        <v>0</v>
      </c>
    </row>
    <row r="9" spans="1:21" ht="33.75" customHeight="1" thickBot="1" x14ac:dyDescent="0.3">
      <c r="A9" s="384"/>
      <c r="B9" s="43"/>
      <c r="C9" s="310"/>
      <c r="D9" s="373"/>
      <c r="E9" s="934"/>
      <c r="F9" s="5"/>
      <c r="G9" s="1">
        <f t="shared" si="0"/>
        <v>0</v>
      </c>
      <c r="H9" s="49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378"/>
      <c r="O9" s="167">
        <f>SUMIFS([1]اردیبهشت!$AD$2:$AD$600,[1]اردیبهشت!$N$2:$N$600,7102,[1]اردیبهشت!$D$2:$D$600,$F$9,[1]اردیبهشت!$AA$2:$AA$600,O3)</f>
        <v>0</v>
      </c>
      <c r="P9" s="175">
        <f>SUMIFS([1]اردیبهشت!$AD$2:$AD$600,[1]اردیبهشت!$N$2:$N$600,7102,[1]اردیبهشت!$D$2:$D$600,$F$9,[1]اردیبهشت!$AA$2:$AA$600,P3)</f>
        <v>0</v>
      </c>
      <c r="Q9" s="175">
        <f>SUMIFS([1]اردیبهشت!$AD$2:$AD$600,[1]اردیبهشت!$N$2:$N$600,7102,[1]اردیبهشت!$D$2:$D$600,$F$9,[1]اردیبهشت!$AA$2:$AA$600,Q3)</f>
        <v>0</v>
      </c>
      <c r="R9" s="175">
        <f>SUMIFS([1]اردیبهشت!$AD$2:$AD$600,[1]اردیبهشت!$N$2:$N$600,7102,[1]اردیبهشت!$D$2:$D$600,$F$9,[1]اردیبهشت!$AA$2:$AA$600,R3)</f>
        <v>0</v>
      </c>
      <c r="S9" s="175">
        <f>SUMIFS([1]اردیبهشت!$AD$2:$AD$600,[1]اردیبهشت!$N$2:$N$600,7102,[1]اردیبهشت!$D$2:$D$600,$F$9,[1]اردیبهشت!$AA$2:$AA$600,S3)</f>
        <v>0</v>
      </c>
      <c r="T9" s="175">
        <f>SUMIFS([1]اردیبهشت!$AD$2:$AD$600,[1]اردیبهشت!$N$2:$N$600,7102,[1]اردیبهشت!$D$2:$D$600,$F$9,[1]اردیبهشت!$AA$2:$AA$600,T3)</f>
        <v>0</v>
      </c>
      <c r="U9" s="114">
        <f>SUMIFS([1]اردیبهشت!$AD$2:$AD$600,[1]اردیبهشت!$N$2:$N$600,7102,[1]اردیبهشت!$D$2:$D$600,$F$9,[1]اردیبهشت!$AA$2:$AA$600,U3)</f>
        <v>0</v>
      </c>
    </row>
    <row r="10" spans="1:21" ht="36" customHeight="1" thickBot="1" x14ac:dyDescent="0.3">
      <c r="A10" s="384">
        <v>3</v>
      </c>
      <c r="B10" s="216" t="s">
        <v>14</v>
      </c>
      <c r="C10" s="374">
        <v>7103</v>
      </c>
      <c r="D10" s="2">
        <v>44</v>
      </c>
      <c r="E10" s="374" t="s">
        <v>15</v>
      </c>
      <c r="F10" s="374" t="s">
        <v>12</v>
      </c>
      <c r="G10" s="9">
        <f t="shared" si="0"/>
        <v>12.916666666666668</v>
      </c>
      <c r="H10" s="46">
        <f t="shared" si="1"/>
        <v>0</v>
      </c>
      <c r="I10" s="4">
        <v>0</v>
      </c>
      <c r="J10" s="4">
        <v>0</v>
      </c>
      <c r="K10" s="4">
        <v>0</v>
      </c>
      <c r="L10" s="4">
        <v>0</v>
      </c>
      <c r="M10" s="4">
        <f>SUM(G10:L10)-64</f>
        <v>-51.083333333333329</v>
      </c>
      <c r="N10" s="377" t="s">
        <v>40</v>
      </c>
      <c r="O10" s="176">
        <f>SUMIFS([1]خرداد!$AF$2:$AF$805,[1]خرداد!$O$2:$O$805,7103,[1]خرداد!$D$2:$D$805,$F$10,[1]خرداد!$AC$2:$AC$805,O3)</f>
        <v>6.416666666666667</v>
      </c>
      <c r="P10" s="177">
        <f>SUMIFS([1]خرداد!$AF$2:$AF$805,[1]خرداد!$O$2:$O$805,7103,[1]خرداد!$D$2:$D$805,$F$10,[1]خرداد!$AC$2:$AC$805,P3)</f>
        <v>0</v>
      </c>
      <c r="Q10" s="177">
        <f>SUMIFS([1]خرداد!$AF$2:$AF$805,[1]خرداد!$O$2:$O$805,7103,[1]خرداد!$D$2:$D$805,$F$10,[1]خرداد!$AC$2:$AC$805,Q3)</f>
        <v>0</v>
      </c>
      <c r="R10" s="177">
        <f>SUMIFS([1]خرداد!$AF$2:$AF$805,[1]خرداد!$O$2:$O$805,7103,[1]خرداد!$D$2:$D$805,$F$10,[1]خرداد!$AC$2:$AC$805,R3)</f>
        <v>6.5</v>
      </c>
      <c r="S10" s="177">
        <f>SUMIFS([1]خرداد!$AF$2:$AF$805,[1]خرداد!$O$2:$O$805,7103,[1]خرداد!$D$2:$D$805,$F$10,[1]خرداد!$AC$2:$AC$805,S3)</f>
        <v>0</v>
      </c>
      <c r="T10" s="177">
        <f>SUMIFS([1]خرداد!$AF$2:$AF$805,[1]خرداد!$O$2:$O$805,7103,[1]خرداد!$D$2:$D$805,$F$10,[1]خرداد!$AC$2:$AC$805,T3)</f>
        <v>0</v>
      </c>
      <c r="U10" s="178">
        <f>SUMIFS([1]خرداد!$AF$2:$AF$805,[1]خرداد!$O$2:$O$805,7103,[1]خرداد!$D$2:$D$805,$F$10,[1]خرداد!$AC$2:$AC$805,U3)</f>
        <v>0</v>
      </c>
    </row>
    <row r="11" spans="1:21" ht="36" customHeight="1" thickBot="1" x14ac:dyDescent="0.3">
      <c r="A11" s="383">
        <v>4</v>
      </c>
      <c r="B11" s="388" t="s">
        <v>18</v>
      </c>
      <c r="C11" s="389">
        <v>7201</v>
      </c>
      <c r="D11" s="389">
        <v>62.5</v>
      </c>
      <c r="E11" s="389" t="s">
        <v>19</v>
      </c>
      <c r="F11" s="140"/>
      <c r="G11" s="21">
        <f t="shared" si="0"/>
        <v>0</v>
      </c>
      <c r="H11" s="63">
        <f t="shared" si="1"/>
        <v>0</v>
      </c>
      <c r="I11" s="141">
        <v>0</v>
      </c>
      <c r="J11" s="141">
        <v>62</v>
      </c>
      <c r="K11" s="141">
        <v>0</v>
      </c>
      <c r="L11" s="141">
        <v>0</v>
      </c>
      <c r="M11" s="141">
        <f>SUM(G11:J11)-62</f>
        <v>0</v>
      </c>
      <c r="N11" s="142" t="s">
        <v>41</v>
      </c>
      <c r="O11" s="296"/>
      <c r="P11" s="201"/>
      <c r="Q11" s="201"/>
      <c r="R11" s="201"/>
      <c r="S11" s="201"/>
      <c r="T11" s="201"/>
      <c r="U11" s="111"/>
    </row>
    <row r="12" spans="1:21" ht="36" customHeight="1" thickBot="1" x14ac:dyDescent="0.3">
      <c r="A12" s="45">
        <v>5</v>
      </c>
      <c r="B12" s="12" t="s">
        <v>18</v>
      </c>
      <c r="C12" s="13">
        <v>7202</v>
      </c>
      <c r="D12" s="13">
        <v>62.5</v>
      </c>
      <c r="E12" s="13" t="s">
        <v>15</v>
      </c>
      <c r="F12" s="16" t="s">
        <v>46</v>
      </c>
      <c r="G12" s="14">
        <f t="shared" si="0"/>
        <v>54</v>
      </c>
      <c r="H12" s="48">
        <v>7</v>
      </c>
      <c r="I12" s="14">
        <v>0</v>
      </c>
      <c r="J12" s="14">
        <v>0</v>
      </c>
      <c r="K12" s="14">
        <v>0</v>
      </c>
      <c r="L12" s="14">
        <v>0</v>
      </c>
      <c r="M12" s="14">
        <f>SUM(G12:L12)-62</f>
        <v>-1</v>
      </c>
      <c r="N12" s="271" t="s">
        <v>44</v>
      </c>
      <c r="O12" s="181">
        <f>SUMIFS([1]خرداد!$AF$2:$AF$805,[1]خرداد!$O$2:$O$805,7202,[1]خرداد!$D$2:$D$805,$F$12,[1]خرداد!$AC$2:$AC$805,O3)</f>
        <v>6.5</v>
      </c>
      <c r="P12" s="182">
        <f>SUMIFS([1]خرداد!$AF$2:$AF$805,[1]خرداد!$O$2:$O$805,7202,[1]خرداد!$D$2:$D$805,$F$12,[1]خرداد!$AC$2:$AC$805,P3)</f>
        <v>11</v>
      </c>
      <c r="Q12" s="182">
        <f>SUMIFS([1]خرداد!$AF$2:$AF$805,[1]خرداد!$O$2:$O$805,7202,[1]خرداد!$D$2:$D$805,$F$12,[1]خرداد!$AC$2:$AC$805,Q3)</f>
        <v>11</v>
      </c>
      <c r="R12" s="182">
        <f>SUMIFS([1]خرداد!$AF$2:$AF$805,[1]خرداد!$O$2:$O$805,7202,[1]خرداد!$D$2:$D$805,$F$12,[1]خرداد!$AC$2:$AC$805,R3)</f>
        <v>11</v>
      </c>
      <c r="S12" s="182">
        <f>SUMIFS([1]خرداد!$AF$2:$AF$805,[1]خرداد!$O$2:$O$805,7202,[1]خرداد!$D$2:$D$805,$F$12,[1]خرداد!$AC$2:$AC$805,S3)</f>
        <v>7</v>
      </c>
      <c r="T12" s="182">
        <f>SUMIFS([1]خرداد!$AF$2:$AF$805,[1]خرداد!$O$2:$O$805,7202,[1]خرداد!$D$2:$D$805,$F$12,[1]خرداد!$AC$2:$AC$805,T3)</f>
        <v>7.5</v>
      </c>
      <c r="U12" s="183">
        <f>SUMIFS([1]خرداد!$AF$2:$AF$805,[1]خرداد!$O$2:$O$805,7202,[1]خرداد!$D$2:$D$805,$F$12,[1]خرداد!$AC$2:$AC$805,U3)</f>
        <v>0</v>
      </c>
    </row>
    <row r="13" spans="1:21" ht="36" customHeight="1" thickBot="1" x14ac:dyDescent="0.3">
      <c r="A13" s="382">
        <v>6</v>
      </c>
      <c r="B13" s="381" t="s">
        <v>18</v>
      </c>
      <c r="C13" s="374">
        <v>7203</v>
      </c>
      <c r="D13" s="374">
        <v>62.5</v>
      </c>
      <c r="E13" s="374" t="s">
        <v>15</v>
      </c>
      <c r="F13" s="16" t="s">
        <v>45</v>
      </c>
      <c r="G13" s="4">
        <f t="shared" si="0"/>
        <v>50.5</v>
      </c>
      <c r="H13" s="67">
        <v>11</v>
      </c>
      <c r="I13" s="4">
        <v>0</v>
      </c>
      <c r="J13" s="4">
        <v>0</v>
      </c>
      <c r="K13" s="4">
        <v>0</v>
      </c>
      <c r="L13" s="4">
        <v>0</v>
      </c>
      <c r="M13" s="4">
        <f>(G13+H13+I13+J13+K13)-D13</f>
        <v>-1</v>
      </c>
      <c r="N13" s="377"/>
      <c r="O13" s="353">
        <f>SUMIFS([1]خرداد!$AF$2:$AF$805,[1]خرداد!$O$2:$O$805,7203,[1]خرداد!$D$2:$D$805,$F$13,[1]خرداد!$AC$2:$AC$805,O3)</f>
        <v>10</v>
      </c>
      <c r="P13" s="353">
        <f>SUMIFS([1]خرداد!$AF$2:$AF$805,[1]خرداد!$O$2:$O$805,7203,[1]خرداد!$D$2:$D$805,$F$13,[1]خرداد!$AC$2:$AC$805,P3)</f>
        <v>11</v>
      </c>
      <c r="Q13" s="353">
        <f>SUMIFS([1]خرداد!$AF$2:$AF$805,[1]خرداد!$O$2:$O$805,7203,[1]خرداد!$D$2:$D$805,$F$13,[1]خرداد!$AC$2:$AC$805,Q3)</f>
        <v>11</v>
      </c>
      <c r="R13" s="353">
        <f>SUMIFS([1]خرداد!$AF$2:$AF$805,[1]خرداد!$O$2:$O$805,7203,[1]خرداد!$D$2:$D$805,$F$13,[1]خرداد!$AC$2:$AC$805,R3)</f>
        <v>0</v>
      </c>
      <c r="S13" s="353">
        <f>SUMIFS([1]خرداد!$AF$2:$AF$805,[1]خرداد!$O$2:$O$805,7203,[1]خرداد!$D$2:$D$805,$F$13,[1]خرداد!$AC$2:$AC$805,S3)</f>
        <v>11</v>
      </c>
      <c r="T13" s="353">
        <f>SUMIFS([1]خرداد!$AF$2:$AF$805,[1]خرداد!$O$2:$O$805,7203,[1]خرداد!$D$2:$D$805,$F$13,[1]خرداد!$AC$2:$AC$805,T3)</f>
        <v>7.5</v>
      </c>
      <c r="U13" s="353">
        <f>SUMIFS([1]خرداد!$AF$2:$AF$805,[1]خرداد!$O$2:$O$805,7203,[1]خرداد!$D$2:$D$805,$F$13,[1]خرداد!$AC$2:$AC$805,U3)</f>
        <v>0</v>
      </c>
    </row>
    <row r="14" spans="1:21" ht="36" customHeight="1" thickBot="1" x14ac:dyDescent="0.3">
      <c r="A14" s="45">
        <v>7</v>
      </c>
      <c r="B14" s="12" t="s">
        <v>18</v>
      </c>
      <c r="C14" s="13">
        <v>7204</v>
      </c>
      <c r="D14" s="13">
        <v>62.5</v>
      </c>
      <c r="E14" s="13" t="s">
        <v>15</v>
      </c>
      <c r="F14" s="16" t="s">
        <v>45</v>
      </c>
      <c r="G14" s="14">
        <f t="shared" si="0"/>
        <v>6</v>
      </c>
      <c r="H14" s="48">
        <f t="shared" si="1"/>
        <v>0</v>
      </c>
      <c r="I14" s="14">
        <v>0</v>
      </c>
      <c r="J14" s="14">
        <v>0</v>
      </c>
      <c r="K14" s="14">
        <v>0</v>
      </c>
      <c r="L14" s="14">
        <v>0</v>
      </c>
      <c r="M14" s="14">
        <f>SUM(G14:J14)-62</f>
        <v>-56</v>
      </c>
      <c r="N14" s="61"/>
      <c r="O14" s="295">
        <f>SUMIFS([1]خرداد!$AF$2:$AF$805,[1]خرداد!$O$2:$O$805,7204,[1]خرداد!$D$2:$D$805,$F$14,[1]خرداد!$AC$2:$AC$805,O3)</f>
        <v>3</v>
      </c>
      <c r="P14" s="295">
        <f>SUMIFS([1]خرداد!$AF$2:$AF$805,[1]خرداد!$O$2:$O$805,7204,[1]خرداد!$D$2:$D$805,$F$14,[1]خرداد!$AC$2:$AC$805,P3)</f>
        <v>2</v>
      </c>
      <c r="Q14" s="295">
        <f>SUMIFS([1]خرداد!$AF$2:$AF$805,[1]خرداد!$O$2:$O$805,7204,[1]خرداد!$D$2:$D$805,$F$14,[1]خرداد!$AC$2:$AC$805,Q3)</f>
        <v>1</v>
      </c>
      <c r="R14" s="295">
        <f>SUMIFS([1]خرداد!$AF$2:$AF$805,[1]خرداد!$O$2:$O$805,7204,[1]خرداد!$D$2:$D$805,$F$14,[1]خرداد!$AC$2:$AC$805,R3)</f>
        <v>0</v>
      </c>
      <c r="S14" s="295">
        <f>SUMIFS([1]خرداد!$AF$2:$AF$805,[1]خرداد!$O$2:$O$805,7204,[1]خرداد!$D$2:$D$805,$F$14,[1]خرداد!$AC$2:$AC$805,S3)</f>
        <v>0</v>
      </c>
      <c r="T14" s="295">
        <f>SUMIFS([1]خرداد!$AF$2:$AF$805,[1]خرداد!$O$2:$O$805,7204,[1]خرداد!$D$2:$D$805,$F$14,[1]خرداد!$AC$2:$AC$805,T3)</f>
        <v>0</v>
      </c>
      <c r="U14" s="295">
        <f>SUMIFS([1]خرداد!$AF$2:$AF$805,[1]خرداد!$O$2:$O$805,7204,[1]خرداد!$D$2:$D$805,$F$14,[1]خرداد!$AC$2:$AC$805,U3)</f>
        <v>0</v>
      </c>
    </row>
    <row r="15" spans="1:21" ht="36" customHeight="1" thickBot="1" x14ac:dyDescent="0.3">
      <c r="A15" s="45">
        <v>8</v>
      </c>
      <c r="B15" s="12" t="s">
        <v>21</v>
      </c>
      <c r="C15" s="13">
        <v>7301</v>
      </c>
      <c r="D15" s="13">
        <v>62.5</v>
      </c>
      <c r="E15" s="13" t="s">
        <v>15</v>
      </c>
      <c r="F15" s="19" t="s">
        <v>22</v>
      </c>
      <c r="G15" s="14">
        <f t="shared" si="0"/>
        <v>31</v>
      </c>
      <c r="H15" s="48">
        <f t="shared" si="1"/>
        <v>0</v>
      </c>
      <c r="I15" s="14">
        <v>2</v>
      </c>
      <c r="J15" s="14">
        <v>0</v>
      </c>
      <c r="K15" s="14">
        <v>0</v>
      </c>
      <c r="L15" s="14">
        <v>0</v>
      </c>
      <c r="M15" s="14">
        <f>SUM(G15:L15)-D15</f>
        <v>-29.5</v>
      </c>
      <c r="N15" s="15" t="s">
        <v>29</v>
      </c>
      <c r="O15" s="354">
        <f>SUMIFS([1]خرداد!$AF$2:$AF$805,[1]خرداد!$O$2:$O$805,7301,[1]خرداد!$D$2:$D$805,$F$15,[1]خرداد!$AC$2:$AC$805,O3)</f>
        <v>11</v>
      </c>
      <c r="P15" s="354">
        <f>SUMIFS([1]خرداد!$AF$2:$AF$805,[1]خرداد!$O$2:$O$805,7301,[1]خرداد!$D$2:$D$805,$F$15,[1]خرداد!$AC$2:$AC$805,P3)</f>
        <v>9</v>
      </c>
      <c r="Q15" s="354">
        <f>SUMIFS([1]خرداد!$AF$2:$AF$805,[1]خرداد!$O$2:$O$805,7301,[1]خرداد!$D$2:$D$805,$F$15,[1]خرداد!$AC$2:$AC$805,Q3)</f>
        <v>11</v>
      </c>
      <c r="R15" s="354">
        <f>SUMIFS([1]خرداد!$AF$2:$AF$805,[1]خرداد!$O$2:$O$805,7301,[1]خرداد!$D$2:$D$805,$F$15,[1]خرداد!$AC$2:$AC$805,R3)</f>
        <v>0</v>
      </c>
      <c r="S15" s="354">
        <f>SUMIFS([1]خرداد!$AF$2:$AF$805,[1]خرداد!$O$2:$O$805,7301,[1]خرداد!$D$2:$D$805,$F$15,[1]خرداد!$AC$2:$AC$805,S3)</f>
        <v>0</v>
      </c>
      <c r="T15" s="354">
        <f>SUMIFS([1]خرداد!$AF$2:$AF$805,[1]خرداد!$O$2:$O$805,7301,[1]خرداد!$D$2:$D$805,$F$15,[1]خرداد!$AC$2:$AC$805,T3)</f>
        <v>0</v>
      </c>
      <c r="U15" s="354">
        <f>SUMIFS([1]خرداد!$AF$2:$AF$805,[1]خرداد!$O$2:$O$805,7301,[1]خرداد!$D$2:$D$805,$F$15,[1]خرداد!$AC$2:$AC$805,U3)</f>
        <v>0</v>
      </c>
    </row>
    <row r="16" spans="1:21" ht="36" customHeight="1" x14ac:dyDescent="0.25">
      <c r="A16" s="383"/>
      <c r="B16" s="216"/>
      <c r="C16" s="224"/>
      <c r="D16" s="387"/>
      <c r="E16" s="932" t="s">
        <v>15</v>
      </c>
      <c r="F16" s="22" t="s">
        <v>17</v>
      </c>
      <c r="G16" s="1">
        <f t="shared" si="0"/>
        <v>42</v>
      </c>
      <c r="H16" s="49">
        <v>0</v>
      </c>
      <c r="I16" s="1">
        <v>1</v>
      </c>
      <c r="J16" s="1">
        <v>0</v>
      </c>
      <c r="K16" s="1">
        <v>0</v>
      </c>
      <c r="L16" s="1">
        <v>0</v>
      </c>
      <c r="M16" s="4"/>
      <c r="N16" s="928" t="s">
        <v>44</v>
      </c>
      <c r="O16" s="165">
        <f>SUMIFS([1]خرداد!$AF$2:$AF$805,[1]خرداد!$O$2:$O$805,7302,[1]خرداد!$D$2:$D$805,$F$16,[1]خرداد!$AC$2:$AC$805,O3)</f>
        <v>9.5</v>
      </c>
      <c r="P16" s="169">
        <f>SUMIFS([1]خرداد!$AF$2:$AF$805,[1]خرداد!$O$2:$O$805,7302,[1]خرداد!$D$2:$D$805,$F$16,[1]خرداد!$AC$2:$AC$805,P3)</f>
        <v>10</v>
      </c>
      <c r="Q16" s="169">
        <f>SUMIFS([1]خرداد!$AF$2:$AF$805,[1]خرداد!$O$2:$O$805,7302,[1]خرداد!$D$2:$D$805,$F$16,[1]خرداد!$AC$2:$AC$805,Q3)</f>
        <v>7.5</v>
      </c>
      <c r="R16" s="169">
        <f>SUMIFS([1]خرداد!$AF$2:$AF$805,[1]خرداد!$O$2:$O$805,7302,[1]خرداد!$D$2:$D$805,$F$16,[1]خرداد!$AC$2:$AC$805,R3)</f>
        <v>11</v>
      </c>
      <c r="S16" s="169">
        <f>SUMIFS([1]خرداد!$AF$2:$AF$805,[1]خرداد!$O$2:$O$805,7302,[1]خرداد!$D$2:$D$805,$F$16,[1]خرداد!$AC$2:$AC$805,S3)</f>
        <v>0</v>
      </c>
      <c r="T16" s="169">
        <f>SUMIFS([1]خرداد!$AF$2:$AF$805,[1]خرداد!$O$2:$O$805,7302,[1]خرداد!$D$2:$D$805,$F$16,[1]خرداد!$AC$2:$AC$805,T3)</f>
        <v>4</v>
      </c>
      <c r="U16" s="170">
        <f>SUMIFS([1]خرداد!$AF$2:$AF$805,[1]خرداد!$O$2:$O$805,7302,[1]خرداد!$D$2:$D$805,$F$16,[1]خرداد!$AC$2:$AC$805,U3)</f>
        <v>0</v>
      </c>
    </row>
    <row r="17" spans="1:21" ht="36" customHeight="1" x14ac:dyDescent="0.25">
      <c r="A17" s="383">
        <v>9</v>
      </c>
      <c r="B17" s="216" t="s">
        <v>21</v>
      </c>
      <c r="C17" s="308">
        <v>7302</v>
      </c>
      <c r="D17" s="374">
        <v>62.5</v>
      </c>
      <c r="E17" s="933"/>
      <c r="F17" s="22"/>
      <c r="G17" s="3">
        <f t="shared" si="0"/>
        <v>0</v>
      </c>
      <c r="H17" s="47">
        <f t="shared" si="1"/>
        <v>0</v>
      </c>
      <c r="I17" s="3">
        <v>0</v>
      </c>
      <c r="J17" s="3">
        <v>0</v>
      </c>
      <c r="K17" s="3">
        <v>0</v>
      </c>
      <c r="L17" s="3">
        <v>0</v>
      </c>
      <c r="M17" s="4">
        <f>SUM(G16:L18)-D17</f>
        <v>-19.5</v>
      </c>
      <c r="N17" s="929"/>
      <c r="O17" s="173">
        <f>SUMIFS([1]اردیبهشت!$AD$2:$AD$805,[1]اردیبهشت!$N$2:$N$805,$C$17,[1]اردیبهشت!$D$2:$D$805,$F$17,[1]اردیبهشت!$AA$2:$AA$805,O3)</f>
        <v>0</v>
      </c>
      <c r="P17" s="174">
        <f>SUMIFS([1]اردیبهشت!$AD$2:$AD$805,[1]اردیبهشت!$N$2:$N$805,$C$17,[1]اردیبهشت!$D$2:$D$805,$F$17,[1]اردیبهشت!$AA$2:$AA$805,P3)</f>
        <v>0</v>
      </c>
      <c r="Q17" s="174">
        <f>SUMIFS([1]اردیبهشت!$AD$2:$AD$805,[1]اردیبهشت!$N$2:$N$805,$C$17,[1]اردیبهشت!$D$2:$D$805,$F$17,[1]اردیبهشت!$AA$2:$AA$805,Q3)</f>
        <v>0</v>
      </c>
      <c r="R17" s="174">
        <f>SUMIFS([1]اردیبهشت!$AD$2:$AD$805,[1]اردیبهشت!$N$2:$N$805,$C$17,[1]اردیبهشت!$D$2:$D$805,$F$17,[1]اردیبهشت!$AA$2:$AA$805,R3)</f>
        <v>0</v>
      </c>
      <c r="S17" s="174">
        <f>SUMIFS([1]اردیبهشت!$AD$2:$AD$805,[1]اردیبهشت!$N$2:$N$805,$C$17,[1]اردیبهشت!$D$2:$D$805,$F$17,[1]اردیبهشت!$AA$2:$AA$805,S3)</f>
        <v>0</v>
      </c>
      <c r="T17" s="174">
        <f>SUMIFS([1]اردیبهشت!$AD$2:$AD$805,[1]اردیبهشت!$N$2:$N$805,$C$17,[1]اردیبهشت!$D$2:$D$805,$F$17,[1]اردیبهشت!$AA$2:$AA$805,T3)</f>
        <v>0</v>
      </c>
      <c r="U17" s="110">
        <f>SUMIFS([1]خرداد!$AF$2:$AF$700,[1]خرداد!$O$2:$O$700,7101,[1]خرداد!$D$2:$D$700,$F$4,[1]خرداد!$AC$2:$AC$700,U16)</f>
        <v>0</v>
      </c>
    </row>
    <row r="18" spans="1:21" ht="36" customHeight="1" thickBot="1" x14ac:dyDescent="0.3">
      <c r="A18" s="384"/>
      <c r="B18" s="43"/>
      <c r="C18" s="310"/>
      <c r="D18" s="373"/>
      <c r="E18" s="934"/>
      <c r="F18" s="5"/>
      <c r="G18" s="1">
        <f t="shared" si="0"/>
        <v>0</v>
      </c>
      <c r="H18" s="49">
        <f t="shared" si="1"/>
        <v>0</v>
      </c>
      <c r="I18" s="7">
        <v>0</v>
      </c>
      <c r="J18" s="7">
        <v>0</v>
      </c>
      <c r="K18" s="6">
        <v>0</v>
      </c>
      <c r="L18" s="6">
        <v>0</v>
      </c>
      <c r="M18" s="6"/>
      <c r="N18" s="930"/>
      <c r="O18" s="167">
        <f>SUMIFS([1]اردیبهشت!$AD$2:$AD$805,[1]اردیبهشت!$N$2:$N$805,$C$17,[1]اردیبهشت!$D$2:$D$805,$F$17,[1]اردیبهشت!$AA$2:$AA$805,O4)</f>
        <v>0</v>
      </c>
      <c r="P18" s="175">
        <f>SUMIFS([1]اردیبهشت!$AD$2:$AD$805,[1]اردیبهشت!$N$2:$N$805,$C$17,[1]اردیبهشت!$D$2:$D$805,$F$17,[1]اردیبهشت!$AA$2:$AA$805,P4)</f>
        <v>0</v>
      </c>
      <c r="Q18" s="175">
        <f>SUMIFS([1]اردیبهشت!$AD$2:$AD$805,[1]اردیبهشت!$N$2:$N$805,$C$17,[1]اردیبهشت!$D$2:$D$805,$F$17,[1]اردیبهشت!$AA$2:$AA$805,Q4)</f>
        <v>0</v>
      </c>
      <c r="R18" s="175">
        <f>SUMIFS([1]اردیبهشت!$AD$2:$AD$805,[1]اردیبهشت!$N$2:$N$805,$C$17,[1]اردیبهشت!$D$2:$D$805,$F$17,[1]اردیبهشت!$AA$2:$AA$805,R4)</f>
        <v>0</v>
      </c>
      <c r="S18" s="175">
        <f>SUMIFS([1]اردیبهشت!$AD$2:$AD$805,[1]اردیبهشت!$N$2:$N$805,$C$17,[1]اردیبهشت!$D$2:$D$805,$F$17,[1]اردیبهشت!$AA$2:$AA$805,S4)</f>
        <v>0</v>
      </c>
      <c r="T18" s="175">
        <f>SUMIFS([1]اردیبهشت!$AD$2:$AD$805,[1]اردیبهشت!$N$2:$N$805,$C$17,[1]اردیبهشت!$D$2:$D$805,$F$17,[1]اردیبهشت!$AA$2:$AA$805,T4)</f>
        <v>0</v>
      </c>
      <c r="U18" s="114">
        <f>SUMIFS([1]خرداد!$AF$2:$AF$700,[1]خرداد!$O$2:$O$700,7101,[1]خرداد!$D$2:$D$700,$F$4,[1]خرداد!$AC$2:$AC$700,U17)</f>
        <v>0</v>
      </c>
    </row>
    <row r="19" spans="1:21" ht="36" customHeight="1" thickBot="1" x14ac:dyDescent="0.3">
      <c r="A19" s="147">
        <v>10</v>
      </c>
      <c r="B19" s="386" t="s">
        <v>21</v>
      </c>
      <c r="C19" s="379">
        <v>7303</v>
      </c>
      <c r="D19" s="379">
        <v>44</v>
      </c>
      <c r="E19" s="379" t="s">
        <v>19</v>
      </c>
      <c r="F19" s="144" t="s">
        <v>23</v>
      </c>
      <c r="G19" s="85">
        <f t="shared" si="0"/>
        <v>26</v>
      </c>
      <c r="H19" s="86">
        <f t="shared" si="1"/>
        <v>0</v>
      </c>
      <c r="I19" s="89">
        <v>4</v>
      </c>
      <c r="J19" s="89">
        <v>0</v>
      </c>
      <c r="K19" s="89">
        <v>8</v>
      </c>
      <c r="L19" s="89">
        <v>0</v>
      </c>
      <c r="M19" s="89">
        <f>SUM(G19:L19)-44</f>
        <v>-6</v>
      </c>
      <c r="N19" s="305" t="s">
        <v>29</v>
      </c>
      <c r="O19" s="179">
        <f>SUMIFS([1]خرداد!$AF$2:$AF$805,[1]خرداد!$O$2:$O$805,7303,[1]خرداد!$D$2:$D$805,$F$19,[1]خرداد!$AC$2:$AC$805,O3)</f>
        <v>7.5</v>
      </c>
      <c r="P19" s="186">
        <f>SUMIFS([1]خرداد!$AF$2:$AF$805,[1]خرداد!$O$2:$O$805,7303,[1]خرداد!$D$2:$D$805,$F$19,[1]خرداد!$AC$2:$AC$805,P3)</f>
        <v>14</v>
      </c>
      <c r="Q19" s="186">
        <f>SUMIFS([1]خرداد!$AF$2:$AF$805,[1]خرداد!$O$2:$O$805,7303,[1]خرداد!$D$2:$D$805,$F$19,[1]خرداد!$AC$2:$AC$805,Q3)</f>
        <v>4.5</v>
      </c>
      <c r="R19" s="186">
        <f>SUMIFS([1]خرداد!$AF$2:$AF$805,[1]خرداد!$O$2:$O$805,7303,[1]خرداد!$D$2:$D$805,$F$19,[1]خرداد!$AC$2:$AC$805,R3)</f>
        <v>0</v>
      </c>
      <c r="S19" s="186">
        <f>SUMIFS([1]خرداد!$AF$2:$AF$805,[1]خرداد!$O$2:$O$805,7303,[1]خرداد!$D$2:$D$805,$F$19,[1]خرداد!$AC$2:$AC$805,S3)</f>
        <v>0</v>
      </c>
      <c r="T19" s="186">
        <f>SUMIFS([1]خرداد!$AF$2:$AF$805,[1]خرداد!$O$2:$O$805,7303,[1]خرداد!$D$2:$D$805,$F$19,[1]خرداد!$AC$2:$AC$805,T3)</f>
        <v>0</v>
      </c>
      <c r="U19" s="423">
        <f>SUMIFS([1]خرداد!$AF$2:$AF$805,[1]خرداد!$O$2:$O$805,7303,[1]خرداد!$D$2:$D$805,$F$19,[1]خرداد!$AC$2:$AC$805,U3)</f>
        <v>0</v>
      </c>
    </row>
    <row r="20" spans="1:21" ht="32.25" customHeight="1" x14ac:dyDescent="0.25">
      <c r="A20" s="382"/>
      <c r="B20" s="42"/>
      <c r="C20" s="307"/>
      <c r="D20" s="370"/>
      <c r="E20" s="932" t="s">
        <v>15</v>
      </c>
      <c r="F20" s="20" t="s">
        <v>16</v>
      </c>
      <c r="G20" s="9">
        <f t="shared" si="0"/>
        <v>4</v>
      </c>
      <c r="H20" s="46">
        <f t="shared" si="1"/>
        <v>0</v>
      </c>
      <c r="I20" s="9">
        <v>0</v>
      </c>
      <c r="J20" s="9">
        <v>0</v>
      </c>
      <c r="K20" s="9">
        <v>0</v>
      </c>
      <c r="L20" s="9">
        <v>0</v>
      </c>
      <c r="M20" s="21"/>
      <c r="N20" s="931" t="s">
        <v>53</v>
      </c>
      <c r="O20" s="165">
        <f>SUMIFS([1]خرداد!$AF$2:$AF$805,[1]خرداد!$O$2:$O$805,7401,[1]خرداد!$D$2:$D$805,$F$20,[1]خرداد!$AC$2:$AC$805,O3)</f>
        <v>0</v>
      </c>
      <c r="P20" s="169">
        <f>SUMIFS([1]خرداد!$AF$2:$AF$805,[1]خرداد!$O$2:$O$805,7401,[1]خرداد!$D$2:$D$805,$F$20,[1]خرداد!$AC$2:$AC$805,P3)</f>
        <v>0</v>
      </c>
      <c r="Q20" s="169">
        <f>SUMIFS([1]خرداد!$AF$2:$AF$805,[1]خرداد!$O$2:$O$805,7401,[1]خرداد!$D$2:$D$805,$F$20,[1]خرداد!$AC$2:$AC$805,Q3)</f>
        <v>1</v>
      </c>
      <c r="R20" s="169">
        <f>SUMIFS([1]خرداد!$AF$2:$AF$805,[1]خرداد!$O$2:$O$805,7401,[1]خرداد!$D$2:$D$805,$F$20,[1]خرداد!$AC$2:$AC$805,R3)</f>
        <v>0</v>
      </c>
      <c r="S20" s="169">
        <f>SUMIFS([1]خرداد!$AF$2:$AF$805,[1]خرداد!$O$2:$O$805,7401,[1]خرداد!$D$2:$D$805,$F$20,[1]خرداد!$AC$2:$AC$805,S3)</f>
        <v>0</v>
      </c>
      <c r="T20" s="169">
        <f>SUMIFS([1]خرداد!$AF$2:$AF$805,[1]خرداد!$O$2:$O$805,7401,[1]خرداد!$D$2:$D$805,$F$20,[1]خرداد!$AC$2:$AC$805,T3)</f>
        <v>3</v>
      </c>
      <c r="U20" s="170">
        <f>SUMIFS([1]خرداد!$AF$2:$AF$805,[1]خرداد!$O$2:$O$805,7401,[1]خرداد!$D$2:$D$805,$F$20,[1]خرداد!$AC$2:$AC$805,U3)</f>
        <v>0</v>
      </c>
    </row>
    <row r="21" spans="1:21" ht="32.25" customHeight="1" x14ac:dyDescent="0.25">
      <c r="A21" s="383">
        <v>11</v>
      </c>
      <c r="B21" s="216" t="s">
        <v>24</v>
      </c>
      <c r="C21" s="308">
        <v>7401</v>
      </c>
      <c r="D21" s="374">
        <v>62.5</v>
      </c>
      <c r="E21" s="933"/>
      <c r="F21" s="22"/>
      <c r="G21" s="3">
        <f t="shared" si="0"/>
        <v>0</v>
      </c>
      <c r="H21" s="47">
        <f t="shared" si="1"/>
        <v>0</v>
      </c>
      <c r="I21" s="3">
        <v>0</v>
      </c>
      <c r="J21" s="3">
        <v>0</v>
      </c>
      <c r="K21" s="3">
        <v>0</v>
      </c>
      <c r="L21" s="3">
        <v>0</v>
      </c>
      <c r="M21" s="1">
        <f>SUM(G20:L22)-D21</f>
        <v>-58.5</v>
      </c>
      <c r="N21" s="929"/>
      <c r="O21" s="166">
        <f>SUMIFS([1]اردیبهشت!$AF$2:$AF$805,[1]اردیبهشت!$O$2:$O$805,7401,[1]اردیبهشت!$D$2:$D$805,$F$21,[1]اردیبهشت!$AC$2:$AC$805,O3)</f>
        <v>0</v>
      </c>
      <c r="P21" s="168">
        <f>SUMIFS([1]اردیبهشت!$AF$2:$AF$805,[1]اردیبهشت!$O$2:$O$805,7401,[1]اردیبهشت!$D$2:$D$805,$F$21,[1]اردیبهشت!$AC$2:$AC$805,P3)</f>
        <v>0</v>
      </c>
      <c r="Q21" s="168">
        <f>SUMIFS([1]اردیبهشت!$AF$2:$AF$805,[1]اردیبهشت!$O$2:$O$805,7401,[1]اردیبهشت!$D$2:$D$805,$F$21,[1]اردیبهشت!$AC$2:$AC$805,Q3)</f>
        <v>0</v>
      </c>
      <c r="R21" s="168">
        <f>SUMIFS([1]اردیبهشت!$AF$2:$AF$805,[1]اردیبهشت!$O$2:$O$805,7401,[1]اردیبهشت!$D$2:$D$805,$F$21,[1]اردیبهشت!$AC$2:$AC$805,R3)</f>
        <v>0</v>
      </c>
      <c r="S21" s="168">
        <f>SUMIFS([1]اردیبهشت!$AF$2:$AF$805,[1]اردیبهشت!$O$2:$O$805,7401,[1]اردیبهشت!$D$2:$D$805,$F$21,[1]اردیبهشت!$AC$2:$AC$805,S3)</f>
        <v>0</v>
      </c>
      <c r="T21" s="168">
        <f>SUMIFS([1]اردیبهشت!$AF$2:$AF$805,[1]اردیبهشت!$O$2:$O$805,7401,[1]اردیبهشت!$D$2:$D$805,$F$21,[1]اردیبهشت!$AC$2:$AC$805,T3)</f>
        <v>0</v>
      </c>
      <c r="U21" s="108">
        <f>SUMIFS([1]خرداد!$AF$2:$AF$700,[1]خرداد!$O$2:$O$700,7101,[1]خرداد!$D$2:$D$700,$F$4,[1]خرداد!$AC$2:$AC$700,U20)</f>
        <v>0</v>
      </c>
    </row>
    <row r="22" spans="1:21" ht="32.25" customHeight="1" thickBot="1" x14ac:dyDescent="0.3">
      <c r="A22" s="384"/>
      <c r="B22" s="43" t="s">
        <v>24</v>
      </c>
      <c r="C22" s="310"/>
      <c r="D22" s="374"/>
      <c r="E22" s="934"/>
      <c r="F22" s="5"/>
      <c r="G22" s="1">
        <f t="shared" si="0"/>
        <v>0</v>
      </c>
      <c r="H22" s="49">
        <f t="shared" si="1"/>
        <v>0</v>
      </c>
      <c r="I22" s="7">
        <v>0</v>
      </c>
      <c r="J22" s="7">
        <v>0</v>
      </c>
      <c r="K22" s="6">
        <v>0</v>
      </c>
      <c r="L22" s="6">
        <v>0</v>
      </c>
      <c r="M22" s="6"/>
      <c r="N22" s="930"/>
      <c r="O22" s="171">
        <f>SUMIFS([1]اردیبهشت!$AD$2:$AD$805,[1]اردیبهشت!$N$2:$N$805,$C$22,[1]اردیبهشت!$D$2:$D$805,$F$22,[1]اردیبهشت!$AA$2:$AA$805,O3)</f>
        <v>0</v>
      </c>
      <c r="P22" s="172">
        <f>SUMIFS([1]اردیبهشت!$AD$2:$AD$805,[1]اردیبهشت!$N$2:$N$805,$C$22,[1]اردیبهشت!$D$2:$D$805,$F$22,[1]اردیبهشت!$AA$2:$AA$805,P3)</f>
        <v>0</v>
      </c>
      <c r="Q22" s="172">
        <f>SUMIFS([1]اردیبهشت!$AD$2:$AD$805,[1]اردیبهشت!$N$2:$N$805,$C$22,[1]اردیبهشت!$D$2:$D$805,$F$22,[1]اردیبهشت!$AA$2:$AA$805,Q3)</f>
        <v>0</v>
      </c>
      <c r="R22" s="172">
        <f>SUMIFS([1]اردیبهشت!$AD$2:$AD$805,[1]اردیبهشت!$N$2:$N$805,$C$22,[1]اردیبهشت!$D$2:$D$805,$F$22,[1]اردیبهشت!$AA$2:$AA$805,R3)</f>
        <v>0</v>
      </c>
      <c r="S22" s="172">
        <f>SUMIFS([1]اردیبهشت!$AD$2:$AD$805,[1]اردیبهشت!$N$2:$N$805,$C$22,[1]اردیبهشت!$D$2:$D$805,$F$22,[1]اردیبهشت!$AA$2:$AA$805,S3)</f>
        <v>0</v>
      </c>
      <c r="T22" s="172">
        <f>SUMIFS([1]اردیبهشت!$AD$2:$AD$805,[1]اردیبهشت!$N$2:$N$805,$C$22,[1]اردیبهشت!$D$2:$D$805,$F$22,[1]اردیبهشت!$AA$2:$AA$805,T3)</f>
        <v>0</v>
      </c>
      <c r="U22" s="109">
        <f>SUMIFS([1]خرداد!$AF$2:$AF$700,[1]خرداد!$O$2:$O$700,7101,[1]خرداد!$D$2:$D$700,$F$4,[1]خرداد!$AC$2:$AC$700,U21)</f>
        <v>0</v>
      </c>
    </row>
    <row r="23" spans="1:21" ht="36" customHeight="1" x14ac:dyDescent="0.25">
      <c r="A23" s="382"/>
      <c r="B23" s="307"/>
      <c r="C23" s="370"/>
      <c r="D23" s="370"/>
      <c r="E23" s="932" t="s">
        <v>19</v>
      </c>
      <c r="F23" s="20"/>
      <c r="G23" s="9">
        <f t="shared" si="0"/>
        <v>0</v>
      </c>
      <c r="H23" s="46">
        <f t="shared" si="1"/>
        <v>0</v>
      </c>
      <c r="I23" s="9">
        <v>0</v>
      </c>
      <c r="J23" s="9">
        <v>0</v>
      </c>
      <c r="K23" s="9">
        <v>0</v>
      </c>
      <c r="L23" s="9">
        <v>0</v>
      </c>
      <c r="M23" s="21"/>
      <c r="N23" s="931" t="s">
        <v>28</v>
      </c>
      <c r="O23" s="173">
        <f>SUMIFS([1]اردیبهشت!$AD$2:$AD$805,[1]اردیبهشت!$N$2:$N$805,$C$23,[1]اردیبهشت!$D$2:$D$805,$F$23,[1]اردیبهشت!$AA$2:$AA$805,O3)</f>
        <v>0</v>
      </c>
      <c r="P23" s="173">
        <f>SUMIFS([1]اردیبهشت!$AD$2:$AD$805,[1]اردیبهشت!$N$2:$N$805,$C$23,[1]اردیبهشت!$D$2:$D$805,$F$23,[1]اردیبهشت!$AA$2:$AA$805,P3)</f>
        <v>0</v>
      </c>
      <c r="Q23" s="173">
        <f>SUMIFS([1]اردیبهشت!$AD$2:$AD$805,[1]اردیبهشت!$N$2:$N$805,$C$23,[1]اردیبهشت!$D$2:$D$805,$F$23,[1]اردیبهشت!$AA$2:$AA$805,Q3)</f>
        <v>0</v>
      </c>
      <c r="R23" s="173">
        <f>SUMIFS([1]اردیبهشت!$AD$2:$AD$805,[1]اردیبهشت!$N$2:$N$805,$C$23,[1]اردیبهشت!$D$2:$D$805,$F$23,[1]اردیبهشت!$AA$2:$AA$805,R3)</f>
        <v>0</v>
      </c>
      <c r="S23" s="173">
        <f>SUMIFS([1]اردیبهشت!$AD$2:$AD$805,[1]اردیبهشت!$N$2:$N$805,$C$23,[1]اردیبهشت!$D$2:$D$805,$F$23,[1]اردیبهشت!$AA$2:$AA$805,S3)</f>
        <v>0</v>
      </c>
      <c r="T23" s="173">
        <f>SUMIFS([1]اردیبهشت!$AD$2:$AD$805,[1]اردیبهشت!$N$2:$N$805,$C$23,[1]اردیبهشت!$D$2:$D$805,$F$23,[1]اردیبهشت!$AA$2:$AA$805,T3)</f>
        <v>0</v>
      </c>
      <c r="U23" s="110">
        <f>SUMIFS([1]خرداد!$AF$2:$AF$700,[1]خرداد!$O$2:$O$700,7101,[1]خرداد!$D$2:$D$700,$F$4,[1]خرداد!$AC$2:$AC$700,U22)</f>
        <v>0</v>
      </c>
    </row>
    <row r="24" spans="1:21" ht="36" customHeight="1" x14ac:dyDescent="0.25">
      <c r="A24" s="383">
        <v>12</v>
      </c>
      <c r="B24" s="308" t="s">
        <v>25</v>
      </c>
      <c r="C24" s="371">
        <v>7501</v>
      </c>
      <c r="D24" s="374">
        <v>62.5</v>
      </c>
      <c r="E24" s="933"/>
      <c r="F24" s="22" t="s">
        <v>36</v>
      </c>
      <c r="G24" s="3">
        <f t="shared" si="0"/>
        <v>0</v>
      </c>
      <c r="H24" s="47">
        <f t="shared" si="1"/>
        <v>0</v>
      </c>
      <c r="I24" s="3">
        <v>0</v>
      </c>
      <c r="J24" s="3">
        <v>0</v>
      </c>
      <c r="K24" s="3">
        <v>0</v>
      </c>
      <c r="L24" s="3">
        <v>0</v>
      </c>
      <c r="M24" s="1">
        <f>SUM(G23:L25)-D24</f>
        <v>-62.5</v>
      </c>
      <c r="N24" s="929"/>
      <c r="O24" s="166">
        <f>SUMIFS([1]اردیبهشت!$AD$2:$AD$805,[1]اردیبهشت!$N$2:$N$805,$C$24,[1]اردیبهشت!$D$2:$D$805,$F$24,[1]اردیبهشت!$AA$2:$AA$805,O3)</f>
        <v>0</v>
      </c>
      <c r="P24" s="166">
        <f>SUMIFS([1]اردیبهشت!$AD$2:$AD$805,[1]اردیبهشت!$N$2:$N$805,$C$24,[1]اردیبهشت!$D$2:$D$805,$F$24,[1]اردیبهشت!$AA$2:$AA$805,P3)</f>
        <v>0</v>
      </c>
      <c r="Q24" s="166">
        <f>SUMIFS([1]اردیبهشت!$AD$2:$AD$805,[1]اردیبهشت!$N$2:$N$805,$C$24,[1]اردیبهشت!$D$2:$D$805,$F$24,[1]اردیبهشت!$AA$2:$AA$805,Q3)</f>
        <v>0</v>
      </c>
      <c r="R24" s="166">
        <f>SUMIFS([1]اردیبهشت!$AD$2:$AD$805,[1]اردیبهشت!$N$2:$N$805,$C$24,[1]اردیبهشت!$D$2:$D$805,$F$24,[1]اردیبهشت!$AA$2:$AA$805,R3)</f>
        <v>0</v>
      </c>
      <c r="S24" s="166">
        <f>SUMIFS([1]اردیبهشت!$AD$2:$AD$805,[1]اردیبهشت!$N$2:$N$805,$C$24,[1]اردیبهشت!$D$2:$D$805,$F$24,[1]اردیبهشت!$AA$2:$AA$805,S3)</f>
        <v>0</v>
      </c>
      <c r="T24" s="166">
        <f>SUMIFS([1]اردیبهشت!$AD$2:$AD$805,[1]اردیبهشت!$N$2:$N$805,$C$24,[1]اردیبهشت!$D$2:$D$805,$F$24,[1]اردیبهشت!$AA$2:$AA$805,T3)</f>
        <v>0</v>
      </c>
      <c r="U24" s="108">
        <f>SUMIFS([1]خرداد!$AF$2:$AF$700,[1]خرداد!$O$2:$O$700,7101,[1]خرداد!$D$2:$D$700,$F$4,[1]خرداد!$AC$2:$AC$700,U23)</f>
        <v>0</v>
      </c>
    </row>
    <row r="25" spans="1:21" ht="36" customHeight="1" thickBot="1" x14ac:dyDescent="0.3">
      <c r="A25" s="384"/>
      <c r="B25" s="310"/>
      <c r="C25" s="373"/>
      <c r="D25" s="373"/>
      <c r="E25" s="934"/>
      <c r="F25" s="5"/>
      <c r="G25" s="6">
        <f t="shared" si="0"/>
        <v>0</v>
      </c>
      <c r="H25" s="64">
        <f t="shared" si="1"/>
        <v>0</v>
      </c>
      <c r="I25" s="7">
        <v>0</v>
      </c>
      <c r="J25" s="7">
        <v>0</v>
      </c>
      <c r="K25" s="6">
        <v>0</v>
      </c>
      <c r="L25" s="6">
        <v>0</v>
      </c>
      <c r="M25" s="6"/>
      <c r="N25" s="930"/>
      <c r="O25" s="167">
        <f>SUMIFS([1]اردیبهشت!$AD$2:$AD$805,[1]اردیبهشت!$N$2:$N$805,$C$24,[1]اردیبهشت!$D$2:$D$805,$F$25,[1]اردیبهشت!$AA$2:$AA$805,O3)</f>
        <v>0</v>
      </c>
      <c r="P25" s="167">
        <f>SUMIFS([1]اردیبهشت!$AD$2:$AD$805,[1]اردیبهشت!$N$2:$N$805,$C$24,[1]اردیبهشت!$D$2:$D$805,$F$25,[1]اردیبهشت!$AA$2:$AA$805,P3)</f>
        <v>0</v>
      </c>
      <c r="Q25" s="167">
        <f>SUMIFS([1]اردیبهشت!$AD$2:$AD$805,[1]اردیبهشت!$N$2:$N$805,$C$24,[1]اردیبهشت!$D$2:$D$805,$F$25,[1]اردیبهشت!$AA$2:$AA$805,Q3)</f>
        <v>0</v>
      </c>
      <c r="R25" s="167">
        <f>SUMIFS([1]اردیبهشت!$AD$2:$AD$805,[1]اردیبهشت!$N$2:$N$805,$C$24,[1]اردیبهشت!$D$2:$D$805,$F$25,[1]اردیبهشت!$AA$2:$AA$805,R3)</f>
        <v>0</v>
      </c>
      <c r="S25" s="167">
        <f>SUMIFS([1]اردیبهشت!$AD$2:$AD$805,[1]اردیبهشت!$N$2:$N$805,$C$24,[1]اردیبهشت!$D$2:$D$805,$F$25,[1]اردیبهشت!$AA$2:$AA$805,S3)</f>
        <v>0</v>
      </c>
      <c r="T25" s="167">
        <f>SUMIFS([1]اردیبهشت!$AD$2:$AD$805,[1]اردیبهشت!$N$2:$N$805,$C$24,[1]اردیبهشت!$D$2:$D$805,$F$25,[1]اردیبهشت!$AA$2:$AA$805,T3)</f>
        <v>0</v>
      </c>
      <c r="U25" s="114">
        <f>SUMIFS([1]خرداد!$AF$2:$AF$700,[1]خرداد!$O$2:$O$700,7101,[1]خرداد!$D$2:$D$700,$F$4,[1]خرداد!$AC$2:$AC$700,U24)</f>
        <v>0</v>
      </c>
    </row>
    <row r="26" spans="1:21" ht="43.5" customHeight="1" x14ac:dyDescent="0.25">
      <c r="A26" s="383"/>
      <c r="B26" s="224"/>
      <c r="C26" s="387"/>
      <c r="D26" s="387"/>
      <c r="E26" s="936" t="s">
        <v>50</v>
      </c>
      <c r="F26" s="27" t="s">
        <v>36</v>
      </c>
      <c r="G26" s="1">
        <f t="shared" si="0"/>
        <v>58.5</v>
      </c>
      <c r="H26" s="49">
        <v>7.5</v>
      </c>
      <c r="I26" s="93">
        <v>2</v>
      </c>
      <c r="J26" s="93">
        <v>0</v>
      </c>
      <c r="K26" s="93">
        <v>0</v>
      </c>
      <c r="L26" s="93">
        <v>0</v>
      </c>
      <c r="M26" s="4"/>
      <c r="N26" s="988" t="s">
        <v>42</v>
      </c>
      <c r="O26" s="165">
        <f>SUMIFS([1]خرداد!$AF$2:$AF$805,[1]خرداد!$O$2:$O$805,7502,[1]خرداد!$D$2:$D$805,$F$26,[1]خرداد!$AC$2:$AC$805,O3)</f>
        <v>11</v>
      </c>
      <c r="P26" s="169">
        <f>SUMIFS([1]خرداد!$AF$2:$AF$805,[1]خرداد!$O$2:$O$805,7502,[1]خرداد!$D$2:$D$805,$F$26,[1]خرداد!$AC$2:$AC$805,P3)</f>
        <v>11</v>
      </c>
      <c r="Q26" s="169">
        <f>SUMIFS([1]خرداد!$AF$2:$AF$805,[1]خرداد!$O$2:$O$805,7502,[1]خرداد!$D$2:$D$805,$F$26,[1]خرداد!$AC$2:$AC$805,Q3)</f>
        <v>11</v>
      </c>
      <c r="R26" s="169">
        <f>SUMIFS([1]خرداد!$AF$2:$AF$805,[1]خرداد!$O$2:$O$805,7502,[1]خرداد!$D$2:$D$805,$F$26,[1]خرداد!$AC$2:$AC$805,R3)</f>
        <v>11</v>
      </c>
      <c r="S26" s="169">
        <f>SUMIFS([1]خرداد!$AF$2:$AF$805,[1]خرداد!$O$2:$O$805,7502,[1]خرداد!$D$2:$D$805,$F$26,[1]خرداد!$AC$2:$AC$805,S3)</f>
        <v>7.5</v>
      </c>
      <c r="T26" s="169">
        <f>SUMIFS([1]خرداد!$AF$2:$AF$805,[1]خرداد!$O$2:$O$805,7502,[1]خرداد!$D$2:$D$805,$F$26,[1]خرداد!$AC$2:$AC$805,T3)</f>
        <v>7</v>
      </c>
      <c r="U26" s="170">
        <f>SUMIFS([1]خرداد!$AF$2:$AF$805,[1]خرداد!$O$2:$O$805,7502,[1]خرداد!$D$2:$D$805,$F$26,[1]خرداد!$AC$2:$AC$805,U3)</f>
        <v>0</v>
      </c>
    </row>
    <row r="27" spans="1:21" ht="43.5" customHeight="1" x14ac:dyDescent="0.25">
      <c r="A27" s="383">
        <v>13</v>
      </c>
      <c r="B27" s="146" t="s">
        <v>25</v>
      </c>
      <c r="C27" s="95">
        <v>7502</v>
      </c>
      <c r="D27" s="374">
        <v>62.5</v>
      </c>
      <c r="E27" s="936"/>
      <c r="F27" s="22"/>
      <c r="G27" s="3">
        <f t="shared" si="0"/>
        <v>0</v>
      </c>
      <c r="H27" s="47">
        <f t="shared" si="1"/>
        <v>0</v>
      </c>
      <c r="I27" s="3">
        <v>0</v>
      </c>
      <c r="J27" s="3">
        <v>0</v>
      </c>
      <c r="K27" s="3">
        <v>0</v>
      </c>
      <c r="L27" s="3">
        <v>0</v>
      </c>
      <c r="M27" s="4">
        <f>SUM(G26:L28)-D27</f>
        <v>5.5</v>
      </c>
      <c r="N27" s="929"/>
      <c r="O27" s="166">
        <f>SUMIFS([1]اردیبهشت!$AD$2:$AD$805,[1]اردیبهشت!$N$2:$N$805,$C$27,[1]اردیبهشت!$D$2:$D$805,$F$27,[1]اردیبهشت!$AA$2:$AA$805,O3)</f>
        <v>0</v>
      </c>
      <c r="P27" s="168">
        <f>SUMIFS([1]اردیبهشت!$AD$2:$AD$805,[1]اردیبهشت!$N$2:$N$805,$C$27,[1]اردیبهشت!$D$2:$D$805,$F$27,[1]اردیبهشت!$AA$2:$AA$805,P3)</f>
        <v>0</v>
      </c>
      <c r="Q27" s="168">
        <f>SUMIFS([1]اردیبهشت!$AD$2:$AD$805,[1]اردیبهشت!$N$2:$N$805,$C$27,[1]اردیبهشت!$D$2:$D$805,$F$27,[1]اردیبهشت!$AA$2:$AA$805,Q3)</f>
        <v>0</v>
      </c>
      <c r="R27" s="168">
        <f>SUMIFS([1]اردیبهشت!$AD$2:$AD$805,[1]اردیبهشت!$N$2:$N$805,$C$27,[1]اردیبهشت!$D$2:$D$805,$F$27,[1]اردیبهشت!$AA$2:$AA$805,R3)</f>
        <v>0</v>
      </c>
      <c r="S27" s="168">
        <f>SUMIFS([1]اردیبهشت!$AD$2:$AD$805,[1]اردیبهشت!$N$2:$N$805,$C$27,[1]اردیبهشت!$D$2:$D$805,$F$27,[1]اردیبهشت!$AA$2:$AA$805,S3)</f>
        <v>0</v>
      </c>
      <c r="T27" s="168">
        <f>SUMIFS([1]اردیبهشت!$AD$2:$AD$805,[1]اردیبهشت!$N$2:$N$805,$C$27,[1]اردیبهشت!$D$2:$D$805,$F$27,[1]اردیبهشت!$AA$2:$AA$805,T3)</f>
        <v>0</v>
      </c>
      <c r="U27" s="108">
        <f>SUMIFS([1]خرداد!$AF$2:$AF$700,[1]خرداد!$O$2:$O$700,7101,[1]خرداد!$D$2:$D$700,$F$4,[1]خرداد!$AC$2:$AC$700,U26)</f>
        <v>0</v>
      </c>
    </row>
    <row r="28" spans="1:21" ht="43.5" customHeight="1" thickBot="1" x14ac:dyDescent="0.3">
      <c r="A28" s="384"/>
      <c r="B28" s="310"/>
      <c r="C28" s="373"/>
      <c r="D28" s="373"/>
      <c r="E28" s="937"/>
      <c r="F28" s="5"/>
      <c r="G28" s="6">
        <f t="shared" si="0"/>
        <v>0</v>
      </c>
      <c r="H28" s="64">
        <f t="shared" si="1"/>
        <v>0</v>
      </c>
      <c r="I28" s="7">
        <v>0</v>
      </c>
      <c r="J28" s="7">
        <v>0</v>
      </c>
      <c r="K28" s="6">
        <v>0</v>
      </c>
      <c r="L28" s="6">
        <v>0</v>
      </c>
      <c r="M28" s="6"/>
      <c r="N28" s="930"/>
      <c r="O28" s="167">
        <f>SUMIFS([1]اردیبهشت!$AD$2:$AD$805,[1]اردیبهشت!$N$2:$N$805,$C$27,[1]اردیبهشت!$D$2:$D$805,$F$28,[1]اردیبهشت!$AA$2:$AA$805,O3)</f>
        <v>0</v>
      </c>
      <c r="P28" s="175">
        <f>SUMIFS([1]اردیبهشت!$AD$2:$AD$805,[1]اردیبهشت!$N$2:$N$805,$C$27,[1]اردیبهشت!$D$2:$D$805,$F$28,[1]اردیبهشت!$AA$2:$AA$805,P3)</f>
        <v>0</v>
      </c>
      <c r="Q28" s="175">
        <f>SUMIFS([1]اردیبهشت!$AD$2:$AD$805,[1]اردیبهشت!$N$2:$N$805,$C$27,[1]اردیبهشت!$D$2:$D$805,$F$28,[1]اردیبهشت!$AA$2:$AA$805,Q3)</f>
        <v>0</v>
      </c>
      <c r="R28" s="175">
        <f>SUMIFS([1]اردیبهشت!$AD$2:$AD$805,[1]اردیبهشت!$N$2:$N$805,$C$27,[1]اردیبهشت!$D$2:$D$805,$F$28,[1]اردیبهشت!$AA$2:$AA$805,R3)</f>
        <v>0</v>
      </c>
      <c r="S28" s="175">
        <f>SUMIFS([1]اردیبهشت!$AD$2:$AD$805,[1]اردیبهشت!$N$2:$N$805,$C$27,[1]اردیبهشت!$D$2:$D$805,$F$28,[1]اردیبهشت!$AA$2:$AA$805,S3)</f>
        <v>0</v>
      </c>
      <c r="T28" s="175">
        <f>SUMIFS([1]اردیبهشت!$AD$2:$AD$805,[1]اردیبهشت!$N$2:$N$805,$C$27,[1]اردیبهشت!$D$2:$D$805,$F$28,[1]اردیبهشت!$AA$2:$AA$805,T3)</f>
        <v>0</v>
      </c>
      <c r="U28" s="114">
        <f>SUMIFS([1]خرداد!$AF$2:$AF$700,[1]خرداد!$O$2:$O$700,7101,[1]خرداد!$D$2:$D$700,$F$4,[1]خرداد!$AC$2:$AC$700,U27)</f>
        <v>0</v>
      </c>
    </row>
    <row r="29" spans="1:21" ht="43.5" customHeight="1" x14ac:dyDescent="0.25">
      <c r="A29" s="939">
        <v>14</v>
      </c>
      <c r="B29" s="83" t="s">
        <v>26</v>
      </c>
      <c r="C29" s="362">
        <v>7601</v>
      </c>
      <c r="D29" s="362">
        <v>72</v>
      </c>
      <c r="E29" s="914" t="s">
        <v>15</v>
      </c>
      <c r="F29" s="84" t="s">
        <v>27</v>
      </c>
      <c r="G29" s="85">
        <f t="shared" si="0"/>
        <v>44</v>
      </c>
      <c r="H29" s="86">
        <f t="shared" si="1"/>
        <v>0</v>
      </c>
      <c r="I29" s="85">
        <v>1</v>
      </c>
      <c r="J29" s="85">
        <v>0</v>
      </c>
      <c r="K29" s="85">
        <v>0</v>
      </c>
      <c r="L29" s="85">
        <v>0</v>
      </c>
      <c r="M29" s="87">
        <f>(J29+J30+I30+I29+H29+H30+G30+G29+L29+K29)-D29</f>
        <v>-27</v>
      </c>
      <c r="N29" s="941" t="s">
        <v>29</v>
      </c>
      <c r="O29" s="187">
        <f>SUMIFS([1]خرداد!$AF$2:$AF$805,[1]خرداد!$O$2:$O$805,7601,[1]خرداد!$D$2:$D$805,$F$29,[1]خرداد!$AC$2:$AC$805,O3)</f>
        <v>12</v>
      </c>
      <c r="P29" s="188">
        <f>SUMIFS([1]خرداد!$AF$2:$AF$805,[1]خرداد!$O$2:$O$805,7601,[1]خرداد!$D$2:$D$805,$F$29,[1]خرداد!$AC$2:$AC$805,P3)</f>
        <v>12</v>
      </c>
      <c r="Q29" s="188">
        <f>SUMIFS([1]خرداد!$AF$2:$AF$805,[1]خرداد!$O$2:$O$805,7601,[1]خرداد!$D$2:$D$805,$F$29,[1]خرداد!$AC$2:$AC$805,Q3)</f>
        <v>11</v>
      </c>
      <c r="R29" s="188">
        <f>SUMIFS([1]خرداد!$AF$2:$AF$805,[1]خرداد!$O$2:$O$805,7601,[1]خرداد!$D$2:$D$805,$F$29,[1]خرداد!$AC$2:$AC$805,R3)</f>
        <v>5</v>
      </c>
      <c r="S29" s="188">
        <f>SUMIFS([1]خرداد!$AF$2:$AF$805,[1]خرداد!$O$2:$O$805,7601,[1]خرداد!$D$2:$D$805,$F$29,[1]خرداد!$AC$2:$AC$805,S3)</f>
        <v>0</v>
      </c>
      <c r="T29" s="188">
        <f>SUMIFS([1]خرداد!$AF$2:$AF$805,[1]خرداد!$O$2:$O$805,7601,[1]خرداد!$D$2:$D$805,$F$29,[1]خرداد!$AC$2:$AC$805,T3)</f>
        <v>4</v>
      </c>
      <c r="U29" s="189">
        <f>SUMIFS([1]خرداد!$AF$2:$AF$805,[1]خرداد!$O$2:$O$805,7601,[1]خرداد!$D$2:$D$805,$F$29,[1]خرداد!$AC$2:$AC$805,U3)</f>
        <v>0</v>
      </c>
    </row>
    <row r="30" spans="1:21" ht="43.5" customHeight="1" thickBot="1" x14ac:dyDescent="0.3">
      <c r="A30" s="940"/>
      <c r="B30" s="123"/>
      <c r="C30" s="363"/>
      <c r="D30" s="363"/>
      <c r="E30" s="915"/>
      <c r="F30" s="124"/>
      <c r="G30" s="93">
        <f t="shared" si="0"/>
        <v>0</v>
      </c>
      <c r="H30" s="92">
        <f t="shared" si="1"/>
        <v>0</v>
      </c>
      <c r="I30" s="125">
        <v>0</v>
      </c>
      <c r="J30" s="125">
        <v>0</v>
      </c>
      <c r="K30" s="126">
        <v>0</v>
      </c>
      <c r="L30" s="126">
        <v>0</v>
      </c>
      <c r="M30" s="127"/>
      <c r="N30" s="917"/>
      <c r="O30" s="190">
        <f>SUMIFS([1]اردیبهشت!$AD$2:$AD$805,[1]اردیبهشت!$N$2:$N$805,$C$29,[1]اردیبهشت!$D$2:$D$805,$F$30,[1]اردیبهشت!$AA$2:$AA$805,O3)</f>
        <v>0</v>
      </c>
      <c r="P30" s="191">
        <f>SUMIFS([1]اردیبهشت!$AD$2:$AD$600,[1]اردیبهشت!$N$2:$N$600,$C$29,[1]اردیبهشت!$D$2:$D$600,$F$30,[1]اردیبهشت!$AA$2:$AA$600,P3)</f>
        <v>0</v>
      </c>
      <c r="Q30" s="191">
        <f>SUMIFS([1]اردیبهشت!$AD$2:$AD$600,[1]اردیبهشت!$N$2:$N$600,$C$29,[1]اردیبهشت!$D$2:$D$600,$F$30,[1]اردیبهشت!$AA$2:$AA$600,Q3)</f>
        <v>0</v>
      </c>
      <c r="R30" s="191">
        <f>SUMIFS([1]اردیبهشت!$AD$2:$AD$600,[1]اردیبهشت!$N$2:$N$600,$C$29,[1]اردیبهشت!$D$2:$D$600,$F$30,[1]اردیبهشت!$AA$2:$AA$600,R3)</f>
        <v>0</v>
      </c>
      <c r="S30" s="191">
        <f>SUMIFS([1]اردیبهشت!$AD$2:$AD$600,[1]اردیبهشت!$N$2:$N$600,$C$29,[1]اردیبهشت!$D$2:$D$600,$F$30,[1]اردیبهشت!$AA$2:$AA$600,S3)</f>
        <v>0</v>
      </c>
      <c r="T30" s="191">
        <f>SUMIFS([1]اردیبهشت!$AD$2:$AD$600,[1]اردیبهشت!$N$2:$N$600,$C$29,[1]اردیبهشت!$D$2:$D$600,$F$30,[1]اردیبهشت!$AA$2:$AA$600,T3)</f>
        <v>0</v>
      </c>
      <c r="U30" s="114">
        <f>SUMIFS([1]خرداد!$AF$2:$AF$700,[1]خرداد!$O$2:$O$700,7101,[1]خرداد!$D$2:$D$700,$F$4,[1]خرداد!$AC$2:$AC$700,U29)</f>
        <v>0</v>
      </c>
    </row>
    <row r="31" spans="1:21" ht="43.5" customHeight="1" x14ac:dyDescent="0.25">
      <c r="A31" s="912">
        <v>15</v>
      </c>
      <c r="B31" s="83" t="s">
        <v>26</v>
      </c>
      <c r="C31" s="362">
        <v>7602</v>
      </c>
      <c r="D31" s="362">
        <v>72</v>
      </c>
      <c r="E31" s="914" t="s">
        <v>15</v>
      </c>
      <c r="F31" s="84" t="s">
        <v>27</v>
      </c>
      <c r="G31" s="9">
        <f t="shared" si="0"/>
        <v>39</v>
      </c>
      <c r="H31" s="46">
        <f t="shared" si="1"/>
        <v>0</v>
      </c>
      <c r="I31" s="85">
        <v>1</v>
      </c>
      <c r="J31" s="85">
        <v>0</v>
      </c>
      <c r="K31" s="85">
        <v>0</v>
      </c>
      <c r="L31" s="85">
        <v>0</v>
      </c>
      <c r="M31" s="87">
        <f>(J31+J32+I32+I31+H31+H32+G32+G31)-D31</f>
        <v>-32</v>
      </c>
      <c r="N31" s="916" t="s">
        <v>29</v>
      </c>
      <c r="O31" s="165">
        <f>SUMIFS([1]خرداد!$AF$2:$AF$805,[1]خرداد!$O$2:$O$805,7602,[1]خرداد!$D$2:$D$805,$F$31,[1]خرداد!$AC$2:$AC$805,O3)</f>
        <v>12</v>
      </c>
      <c r="P31" s="169">
        <f>SUMIFS([1]خرداد!$AF$2:$AF$805,[1]خرداد!$O$2:$O$805,7602,[1]خرداد!$D$2:$D$805,$F$31,[1]خرداد!$AC$2:$AC$805,P3)</f>
        <v>12</v>
      </c>
      <c r="Q31" s="169">
        <f>SUMIFS([1]خرداد!$AF$2:$AF$805,[1]خرداد!$O$2:$O$805,7602,[1]خرداد!$D$2:$D$805,$F$31,[1]خرداد!$AC$2:$AC$805,Q3)</f>
        <v>11</v>
      </c>
      <c r="R31" s="169">
        <f>SUMIFS([1]خرداد!$AF$2:$AF$805,[1]خرداد!$O$2:$O$805,7602,[1]خرداد!$D$2:$D$805,$F$31,[1]خرداد!$AC$2:$AC$805,R3)</f>
        <v>0</v>
      </c>
      <c r="S31" s="169">
        <f>SUMIFS([1]خرداد!$AF$2:$AF$805,[1]خرداد!$O$2:$O$805,7602,[1]خرداد!$D$2:$D$805,$F$31,[1]خرداد!$AC$2:$AC$805,S3)</f>
        <v>0</v>
      </c>
      <c r="T31" s="169">
        <f>SUMIFS([1]خرداد!$AF$2:$AF$805,[1]خرداد!$O$2:$O$805,7602,[1]خرداد!$D$2:$D$805,$F$31,[1]خرداد!$AC$2:$AC$805,T3)</f>
        <v>4</v>
      </c>
      <c r="U31" s="170">
        <f>SUMIFS([1]خرداد!$AF$2:$AF$805,[1]خرداد!$O$2:$O$805,7602,[1]خرداد!$D$2:$D$805,$F$31,[1]خرداد!$AC$2:$AC$805,U3)</f>
        <v>0</v>
      </c>
    </row>
    <row r="32" spans="1:21" ht="43.5" customHeight="1" thickBot="1" x14ac:dyDescent="0.3">
      <c r="A32" s="913"/>
      <c r="B32" s="123"/>
      <c r="C32" s="363"/>
      <c r="D32" s="363"/>
      <c r="E32" s="915"/>
      <c r="F32" s="124"/>
      <c r="G32" s="6">
        <f t="shared" si="0"/>
        <v>0</v>
      </c>
      <c r="H32" s="64">
        <f t="shared" si="1"/>
        <v>0</v>
      </c>
      <c r="I32" s="125">
        <v>0</v>
      </c>
      <c r="J32" s="125">
        <v>0</v>
      </c>
      <c r="K32" s="126">
        <v>0</v>
      </c>
      <c r="L32" s="126">
        <v>0</v>
      </c>
      <c r="M32" s="127"/>
      <c r="N32" s="917"/>
      <c r="O32" s="167">
        <f>SUMIFS([1]اردیبهشت!$AD$2:$AD$805,[1]اردیبهشت!$N$2:$N$805,$C$31,[1]اردیبهشت!$D$2:$D$805,$F$32,[1]اردیبهشت!$AA$2:$AA$805,O3)</f>
        <v>0</v>
      </c>
      <c r="P32" s="175">
        <f>SUMIFS([1]اردیبهشت!$AD$2:$AD$600,[1]اردیبهشت!$N$2:$N$600,$C$31,[1]اردیبهشت!$D$2:$D$600,$F$32,[1]اردیبهشت!$AA$2:$AA$600,P3)</f>
        <v>0</v>
      </c>
      <c r="Q32" s="175">
        <f>SUMIFS([1]اردیبهشت!$AD$2:$AD$600,[1]اردیبهشت!$N$2:$N$600,$C$31,[1]اردیبهشت!$D$2:$D$600,$F$32,[1]اردیبهشت!$AA$2:$AA$600,Q3)</f>
        <v>0</v>
      </c>
      <c r="R32" s="175">
        <f>SUMIFS([1]اردیبهشت!$AD$2:$AD$600,[1]اردیبهشت!$N$2:$N$600,$C$31,[1]اردیبهشت!$D$2:$D$600,$F$32,[1]اردیبهشت!$AA$2:$AA$600,R3)</f>
        <v>0</v>
      </c>
      <c r="S32" s="175">
        <f>SUMIFS([1]اردیبهشت!$AD$2:$AD$600,[1]اردیبهشت!$N$2:$N$600,$C$31,[1]اردیبهشت!$D$2:$D$600,$F$32,[1]اردیبهشت!$AA$2:$AA$600,S3)</f>
        <v>0</v>
      </c>
      <c r="T32" s="175">
        <f>SUMIFS([1]اردیبهشت!$AD$2:$AD$600,[1]اردیبهشت!$N$2:$N$600,$C$31,[1]اردیبهشت!$D$2:$D$600,$F$32,[1]اردیبهشت!$AA$2:$AA$600,T3)</f>
        <v>0</v>
      </c>
      <c r="U32" s="114">
        <f>SUMIFS([1]خرداد!$AF$2:$AF$700,[1]خرداد!$O$2:$O$700,7101,[1]خرداد!$D$2:$D$700,$F$4,[1]خرداد!$AC$2:$AC$700,U31)</f>
        <v>0</v>
      </c>
    </row>
    <row r="33" spans="1:21" ht="42.75" customHeight="1" x14ac:dyDescent="0.25">
      <c r="A33" s="912">
        <v>16</v>
      </c>
      <c r="B33" s="368" t="s">
        <v>26</v>
      </c>
      <c r="C33" s="370">
        <v>7603</v>
      </c>
      <c r="D33" s="370">
        <v>72</v>
      </c>
      <c r="E33" s="943" t="s">
        <v>15</v>
      </c>
      <c r="F33" s="84" t="s">
        <v>27</v>
      </c>
      <c r="G33" s="9">
        <f t="shared" si="0"/>
        <v>59</v>
      </c>
      <c r="H33" s="46">
        <f t="shared" si="1"/>
        <v>0</v>
      </c>
      <c r="I33" s="9">
        <v>1</v>
      </c>
      <c r="J33" s="9">
        <v>0</v>
      </c>
      <c r="K33" s="9">
        <v>0</v>
      </c>
      <c r="L33" s="9">
        <v>0</v>
      </c>
      <c r="M33" s="23">
        <f>(J33+J34+I34+I33+H33+H34+G34+G33+L33+L34)-D33</f>
        <v>-12</v>
      </c>
      <c r="N33" s="945" t="s">
        <v>29</v>
      </c>
      <c r="O33" s="165">
        <f>SUMIFS([1]خرداد!$AF$2:$AF$805,[1]خرداد!$O$2:$O$805,7603,[1]خرداد!$D$2:$D$805,$F$33,[1]خرداد!$AC$2:$AC$805,O3)</f>
        <v>12</v>
      </c>
      <c r="P33" s="169">
        <f>SUMIFS([1]خرداد!$AF$2:$AF$805,[1]خرداد!$O$2:$O$805,7603,[1]خرداد!$D$2:$D$805,$F$33,[1]خرداد!$AC$2:$AC$805,P3)</f>
        <v>12</v>
      </c>
      <c r="Q33" s="169">
        <f>SUMIFS([1]خرداد!$AF$2:$AF$805,[1]خرداد!$O$2:$O$805,7603,[1]خرداد!$D$2:$D$805,$F$33,[1]خرداد!$AC$2:$AC$805,Q3)</f>
        <v>11</v>
      </c>
      <c r="R33" s="169">
        <f>SUMIFS([1]خرداد!$AF$2:$AF$805,[1]خرداد!$O$2:$O$805,7603,[1]خرداد!$D$2:$D$805,$F$33,[1]خرداد!$AC$2:$AC$805,R3)</f>
        <v>24</v>
      </c>
      <c r="S33" s="169">
        <f>SUMIFS([1]خرداد!$AF$2:$AF$805,[1]خرداد!$O$2:$O$805,7603,[1]خرداد!$D$2:$D$805,$F$33,[1]خرداد!$AC$2:$AC$805,S3)</f>
        <v>0</v>
      </c>
      <c r="T33" s="169">
        <f>SUMIFS([1]خرداد!$AF$2:$AF$805,[1]خرداد!$O$2:$O$805,7603,[1]خرداد!$D$2:$D$805,$F$33,[1]خرداد!$AC$2:$AC$805,T3)</f>
        <v>0</v>
      </c>
      <c r="U33" s="170">
        <f>SUMIFS([1]خرداد!$AF$2:$AF$805,[1]خرداد!$O$2:$O$805,7603,[1]خرداد!$D$2:$D$805,$F$33,[1]خرداد!$AC$2:$AC$805,U3)</f>
        <v>0</v>
      </c>
    </row>
    <row r="34" spans="1:21" ht="42.75" customHeight="1" thickBot="1" x14ac:dyDescent="0.3">
      <c r="A34" s="942"/>
      <c r="B34" s="369"/>
      <c r="C34" s="373"/>
      <c r="D34" s="373"/>
      <c r="E34" s="944"/>
      <c r="F34" s="5"/>
      <c r="G34" s="1">
        <f t="shared" si="0"/>
        <v>0</v>
      </c>
      <c r="H34" s="49">
        <f t="shared" si="1"/>
        <v>0</v>
      </c>
      <c r="I34" s="7">
        <v>0</v>
      </c>
      <c r="J34" s="7">
        <v>0</v>
      </c>
      <c r="K34" s="6">
        <v>0</v>
      </c>
      <c r="L34" s="6">
        <v>0</v>
      </c>
      <c r="M34" s="8"/>
      <c r="N34" s="946"/>
      <c r="O34" s="171">
        <f>SUMIFS([1]اردیبهشت!$AD$2:$AD$805,[1]اردیبهشت!$N$2:$N$805,$C$33,[1]اردیبهشت!$D$2:$D$805,$F$34,[1]اردیبهشت!$AA$2:$AA$805,O3)</f>
        <v>0</v>
      </c>
      <c r="P34" s="172">
        <f>SUMIFS([1]اردیبهشت!$AD$2:$AD$600,[1]اردیبهشت!$N$2:$N$600,$C$33,[1]اردیبهشت!$D$2:$D$600,$F$34,[1]اردیبهشت!$AA$2:$AA$600,P3)</f>
        <v>0</v>
      </c>
      <c r="Q34" s="172">
        <f>SUMIFS([1]اردیبهشت!$AD$2:$AD$600,[1]اردیبهشت!$N$2:$N$600,$C$33,[1]اردیبهشت!$D$2:$D$600,$F$34,[1]اردیبهشت!$AA$2:$AA$600,Q3)</f>
        <v>0</v>
      </c>
      <c r="R34" s="172">
        <f>SUMIFS([1]اردیبهشت!$AD$2:$AD$600,[1]اردیبهشت!$N$2:$N$600,$C$33,[1]اردیبهشت!$D$2:$D$600,$F$34,[1]اردیبهشت!$AA$2:$AA$600,R3)</f>
        <v>0</v>
      </c>
      <c r="S34" s="172">
        <f>SUMIFS([1]اردیبهشت!$AD$2:$AD$600,[1]اردیبهشت!$N$2:$N$600,$C$33,[1]اردیبهشت!$D$2:$D$600,$F$34,[1]اردیبهشت!$AA$2:$AA$600,S3)</f>
        <v>0</v>
      </c>
      <c r="T34" s="172">
        <f>SUMIFS([1]اردیبهشت!$AD$2:$AD$600,[1]اردیبهشت!$N$2:$N$600,$C$33,[1]اردیبهشت!$D$2:$D$600,$F$34,[1]اردیبهشت!$AA$2:$AA$600,T3)</f>
        <v>0</v>
      </c>
      <c r="U34" s="109">
        <f>SUMIFS([1]خرداد!$AF$2:$AF$700,[1]خرداد!$O$2:$O$700,7101,[1]خرداد!$D$2:$D$700,$F$4,[1]خرداد!$AC$2:$AC$700,U33)</f>
        <v>0</v>
      </c>
    </row>
    <row r="35" spans="1:21" ht="42.75" customHeight="1" x14ac:dyDescent="0.25">
      <c r="A35" s="912">
        <v>17</v>
      </c>
      <c r="B35" s="81" t="s">
        <v>26</v>
      </c>
      <c r="C35" s="90">
        <v>7604</v>
      </c>
      <c r="D35" s="375">
        <v>72</v>
      </c>
      <c r="E35" s="947" t="s">
        <v>19</v>
      </c>
      <c r="F35" s="79"/>
      <c r="G35" s="9" t="s">
        <v>83</v>
      </c>
      <c r="H35" s="46">
        <f t="shared" si="1"/>
        <v>0</v>
      </c>
      <c r="I35" s="80">
        <v>0</v>
      </c>
      <c r="J35" s="80">
        <v>72</v>
      </c>
      <c r="K35" s="80">
        <v>0</v>
      </c>
      <c r="L35" s="80">
        <v>0</v>
      </c>
      <c r="M35" s="60"/>
      <c r="N35" s="949" t="s">
        <v>28</v>
      </c>
      <c r="O35" s="390"/>
      <c r="P35" s="204"/>
      <c r="Q35" s="204"/>
      <c r="R35" s="204"/>
      <c r="S35" s="204"/>
      <c r="T35" s="204"/>
      <c r="U35" s="116"/>
    </row>
    <row r="36" spans="1:21" ht="42.75" customHeight="1" thickBot="1" x14ac:dyDescent="0.3">
      <c r="A36" s="913"/>
      <c r="B36" s="381"/>
      <c r="C36" s="309"/>
      <c r="D36" s="372"/>
      <c r="E36" s="948"/>
      <c r="F36" s="24"/>
      <c r="G36" s="1">
        <f t="shared" si="0"/>
        <v>0</v>
      </c>
      <c r="H36" s="49">
        <f t="shared" si="1"/>
        <v>0</v>
      </c>
      <c r="I36" s="25">
        <v>0</v>
      </c>
      <c r="J36" s="25">
        <v>0</v>
      </c>
      <c r="K36" s="4">
        <v>0</v>
      </c>
      <c r="L36" s="4">
        <v>0</v>
      </c>
      <c r="M36" s="60"/>
      <c r="N36" s="950"/>
      <c r="O36" s="391"/>
      <c r="P36" s="194"/>
      <c r="Q36" s="194"/>
      <c r="R36" s="194"/>
      <c r="S36" s="194"/>
      <c r="T36" s="194"/>
      <c r="U36" s="117"/>
    </row>
    <row r="37" spans="1:21" ht="42.75" customHeight="1" x14ac:dyDescent="0.25">
      <c r="A37" s="954">
        <v>18</v>
      </c>
      <c r="B37" s="83" t="s">
        <v>26</v>
      </c>
      <c r="C37" s="362">
        <v>7605</v>
      </c>
      <c r="D37" s="362">
        <v>72</v>
      </c>
      <c r="E37" s="914" t="s">
        <v>15</v>
      </c>
      <c r="F37" s="84" t="s">
        <v>27</v>
      </c>
      <c r="G37" s="85">
        <f t="shared" si="0"/>
        <v>47</v>
      </c>
      <c r="H37" s="86">
        <f t="shared" si="1"/>
        <v>0</v>
      </c>
      <c r="I37" s="85">
        <v>0</v>
      </c>
      <c r="J37" s="85">
        <v>0</v>
      </c>
      <c r="K37" s="85">
        <v>0</v>
      </c>
      <c r="L37" s="153">
        <v>0</v>
      </c>
      <c r="M37" s="87">
        <f>(G37+H37+I37+J37+K37+L37)-D37</f>
        <v>-25</v>
      </c>
      <c r="N37" s="955" t="s">
        <v>28</v>
      </c>
      <c r="O37" s="187">
        <f>SUMIFS([1]خرداد!$AF$2:$AF$805,[1]خرداد!$O$2:$O$805,7605,[1]خرداد!$D$2:$D$805,$F$37,[1]خرداد!$AC$2:$AC$805,O3)</f>
        <v>12</v>
      </c>
      <c r="P37" s="188">
        <f>SUMIFS([1]خرداد!$AF$2:$AF$805,[1]خرداد!$O$2:$O$805,7605,[1]خرداد!$D$2:$D$805,$F$37,[1]خرداد!$AC$2:$AC$805,P3)</f>
        <v>12</v>
      </c>
      <c r="Q37" s="188">
        <f>SUMIFS([1]خرداد!$AF$2:$AF$805,[1]خرداد!$O$2:$O$805,7605,[1]خرداد!$D$2:$D$805,$F$37,[1]خرداد!$AC$2:$AC$805,Q3)</f>
        <v>11</v>
      </c>
      <c r="R37" s="188">
        <f>SUMIFS([1]خرداد!$AF$2:$AF$805,[1]خرداد!$O$2:$O$805,7605,[1]خرداد!$D$2:$D$805,$F$37,[1]خرداد!$AC$2:$AC$805,R3)</f>
        <v>12</v>
      </c>
      <c r="S37" s="188">
        <f>SUMIFS([1]خرداد!$AF$2:$AF$805,[1]خرداد!$O$2:$O$805,7605,[1]خرداد!$D$2:$D$805,$F$37,[1]خرداد!$AC$2:$AC$805,S3)</f>
        <v>0</v>
      </c>
      <c r="T37" s="188">
        <f>SUMIFS([1]خرداد!$AF$2:$AF$805,[1]خرداد!$O$2:$O$805,7605,[1]خرداد!$D$2:$D$805,$F$37,[1]خرداد!$AC$2:$AC$805,T3)</f>
        <v>0</v>
      </c>
      <c r="U37" s="189">
        <f>SUMIFS([1]خرداد!$AF$2:$AF$805,[1]خرداد!$O$2:$O$805,7605,[1]خرداد!$D$2:$D$805,$F$37,[1]خرداد!$AC$2:$AC$805,U3)</f>
        <v>0</v>
      </c>
    </row>
    <row r="38" spans="1:21" ht="42.75" customHeight="1" thickBot="1" x14ac:dyDescent="0.3">
      <c r="A38" s="942"/>
      <c r="B38" s="123"/>
      <c r="C38" s="363"/>
      <c r="D38" s="363"/>
      <c r="E38" s="915"/>
      <c r="F38" s="124"/>
      <c r="G38" s="93">
        <f t="shared" si="0"/>
        <v>0</v>
      </c>
      <c r="H38" s="92">
        <f t="shared" si="1"/>
        <v>0</v>
      </c>
      <c r="I38" s="125">
        <v>0</v>
      </c>
      <c r="J38" s="125">
        <v>0</v>
      </c>
      <c r="K38" s="126">
        <v>0</v>
      </c>
      <c r="L38" s="126">
        <v>0</v>
      </c>
      <c r="M38" s="154"/>
      <c r="N38" s="917"/>
      <c r="O38" s="190">
        <f>SUMIFS([1]اردیبهشت!$AD$2:$AD$805,[1]اردیبهشت!$N$2:$N$805,$C$37,[1]اردیبهشت!$D$2:$D$805,$F$38,[1]اردیبهشت!$AA$2:$AA$805,O3)</f>
        <v>0</v>
      </c>
      <c r="P38" s="191">
        <f>SUMIFS([1]اردیبهشت!$AD$2:$AD$600,[1]اردیبهشت!$N$2:$N$600,$C$37,[1]اردیبهشت!$D$2:$D$600,$F$38,[1]اردیبهشت!$AA$2:$AA$600,P3)</f>
        <v>0</v>
      </c>
      <c r="Q38" s="191">
        <f>SUMIFS([1]اردیبهشت!$AD$2:$AD$600,[1]اردیبهشت!$N$2:$N$600,$C$37,[1]اردیبهشت!$D$2:$D$600,$F$38,[1]اردیبهشت!$AA$2:$AA$600,Q3)</f>
        <v>0</v>
      </c>
      <c r="R38" s="191">
        <f>SUMIFS([1]اردیبهشت!$AD$2:$AD$600,[1]اردیبهشت!$N$2:$N$600,$C$37,[1]اردیبهشت!$D$2:$D$600,$F$38,[1]اردیبهشت!$AA$2:$AA$600,R3)</f>
        <v>0</v>
      </c>
      <c r="S38" s="191">
        <f>SUMIFS([1]اردیبهشت!$AD$2:$AD$600,[1]اردیبهشت!$N$2:$N$600,$C$37,[1]اردیبهشت!$D$2:$D$600,$F$38,[1]اردیبهشت!$AA$2:$AA$600,S3)</f>
        <v>0</v>
      </c>
      <c r="T38" s="191">
        <f>SUMIFS([1]اردیبهشت!$AD$2:$AD$600,[1]اردیبهشت!$N$2:$N$600,$C$37,[1]اردیبهشت!$D$2:$D$600,$F$38,[1]اردیبهشت!$AA$2:$AA$600,T3)</f>
        <v>0</v>
      </c>
      <c r="U38" s="115">
        <f>SUMIFS([1]اردیبهشت!$AD$2:$AD$600,[1]اردیبهشت!$N$2:$N$600,$C$37,[1]اردیبهشت!$D$2:$D$600,$F$38,[1]اردیبهشت!$AA$2:$AA$600,U3)</f>
        <v>0</v>
      </c>
    </row>
    <row r="39" spans="1:21" ht="39" customHeight="1" x14ac:dyDescent="0.25">
      <c r="A39" s="382"/>
      <c r="B39" s="307"/>
      <c r="C39" s="370"/>
      <c r="D39" s="370"/>
      <c r="E39" s="932" t="s">
        <v>15</v>
      </c>
      <c r="F39" s="84" t="s">
        <v>27</v>
      </c>
      <c r="G39" s="9">
        <f t="shared" si="0"/>
        <v>0</v>
      </c>
      <c r="H39" s="46">
        <f t="shared" si="1"/>
        <v>0</v>
      </c>
      <c r="I39" s="9">
        <v>0</v>
      </c>
      <c r="J39" s="9">
        <v>0</v>
      </c>
      <c r="K39" s="9">
        <v>0</v>
      </c>
      <c r="L39" s="9">
        <v>0</v>
      </c>
      <c r="M39" s="28"/>
      <c r="N39" s="945" t="s">
        <v>13</v>
      </c>
      <c r="O39" s="165">
        <f>SUMIFS([1]خرداد!$AF$2:$AF$805,[1]خرداد!$O$2:$O$805,7701,[1]خرداد!$D$2:$D$805,$F$39,[1]خرداد!$AC$2:$AC$805,O3)</f>
        <v>0</v>
      </c>
      <c r="P39" s="169">
        <f>SUMIFS([1]خرداد!$AF$2:$AF$805,[1]خرداد!$O$2:$O$805,7701,[1]خرداد!$D$2:$D$805,$F$39,[1]خرداد!$AC$2:$AC$805,P3)</f>
        <v>0</v>
      </c>
      <c r="Q39" s="169">
        <f>SUMIFS([1]خرداد!$AF$2:$AF$805,[1]خرداد!$O$2:$O$805,7701,[1]خرداد!$D$2:$D$805,$F$39,[1]خرداد!$AC$2:$AC$805,Q3)</f>
        <v>0</v>
      </c>
      <c r="R39" s="169">
        <f>SUMIFS([1]خرداد!$AF$2:$AF$805,[1]خرداد!$O$2:$O$805,7701,[1]خرداد!$D$2:$D$805,$F$39,[1]خرداد!$AC$2:$AC$805,R3)</f>
        <v>0</v>
      </c>
      <c r="S39" s="169">
        <f>SUMIFS([1]خرداد!$AF$2:$AF$805,[1]خرداد!$O$2:$O$805,7701,[1]خرداد!$D$2:$D$805,$F$39,[1]خرداد!$AC$2:$AC$805,S3)</f>
        <v>0</v>
      </c>
      <c r="T39" s="169">
        <f>SUMIFS([1]خرداد!$AF$2:$AF$805,[1]خرداد!$O$2:$O$805,7701,[1]خرداد!$D$2:$D$805,$F$39,[1]خرداد!$AC$2:$AC$805,T3)</f>
        <v>0</v>
      </c>
      <c r="U39" s="170">
        <f>SUMIFS([1]خرداد!$AF$2:$AF$805,[1]خرداد!$O$2:$O$805,7701,[1]خرداد!$D$2:$D$805,$F$39,[1]خرداد!$AC$2:$AC$805,U3)</f>
        <v>0</v>
      </c>
    </row>
    <row r="40" spans="1:21" ht="39" customHeight="1" x14ac:dyDescent="0.25">
      <c r="A40" s="383">
        <v>19</v>
      </c>
      <c r="B40" s="308" t="s">
        <v>30</v>
      </c>
      <c r="C40" s="371">
        <v>7701</v>
      </c>
      <c r="D40" s="371">
        <v>62.5</v>
      </c>
      <c r="E40" s="933"/>
      <c r="F40" s="29"/>
      <c r="G40" s="3">
        <f t="shared" si="0"/>
        <v>0</v>
      </c>
      <c r="H40" s="47">
        <f t="shared" si="1"/>
        <v>0</v>
      </c>
      <c r="I40" s="3">
        <v>0</v>
      </c>
      <c r="J40" s="25">
        <v>0</v>
      </c>
      <c r="K40" s="25">
        <v>0</v>
      </c>
      <c r="L40" s="70">
        <v>0</v>
      </c>
      <c r="M40" s="4">
        <f>(J39+J40+J41+I41+I40+I39+H39+H40+H41+G41+G40+G39)-D40</f>
        <v>-62.5</v>
      </c>
      <c r="N40" s="956"/>
      <c r="O40" s="166">
        <f>SUMIFS([1]اردیبهشت!$AD$2:$AD$805,[1]اردیبهشت!$N$2:$N$805,$C$40,[1]اردیبهشت!$D$2:$D$805,$F$40,[1]اردیبهشت!$AA$2:$AA$805,O3)</f>
        <v>0</v>
      </c>
      <c r="P40" s="168">
        <f>SUMIFS([1]اردیبهشت!$AD$2:$AD$805,[1]اردیبهشت!$N$2:$N$805,$C$40,[1]اردیبهشت!$D$2:$D$805,$F$40,[1]اردیبهشت!$AA$2:$AA$805,P3)</f>
        <v>0</v>
      </c>
      <c r="Q40" s="168">
        <f>SUMIFS([1]اردیبهشت!$AD$2:$AD$805,[1]اردیبهشت!$N$2:$N$805,$C$40,[1]اردیبهشت!$D$2:$D$805,$F$40,[1]اردیبهشت!$AA$2:$AA$805,Q3)</f>
        <v>0</v>
      </c>
      <c r="R40" s="168">
        <f>SUMIFS([1]اردیبهشت!$AD$2:$AD$805,[1]اردیبهشت!$N$2:$N$805,$C$40,[1]اردیبهشت!$D$2:$D$805,$F$40,[1]اردیبهشت!$AA$2:$AA$805,R3)</f>
        <v>0</v>
      </c>
      <c r="S40" s="168">
        <f>SUMIFS([1]اردیبهشت!$AD$2:$AD$805,[1]اردیبهشت!$N$2:$N$805,$C$40,[1]اردیبهشت!$D$2:$D$805,$F$40,[1]اردیبهشت!$AA$2:$AA$805,S3)</f>
        <v>0</v>
      </c>
      <c r="T40" s="168">
        <f>SUMIFS([1]اردیبهشت!$AD$2:$AD$805,[1]اردیبهشت!$N$2:$N$805,$C$40,[1]اردیبهشت!$D$2:$D$805,$F$40,[1]اردیبهشت!$AA$2:$AA$805,T3)</f>
        <v>0</v>
      </c>
      <c r="U40" s="108">
        <f>SUMIFS([1]اردیبهشت!$AD$2:$AD$600,[1]اردیبهشت!$N$2:$N$600,$C$40,[1]اردیبهشت!$D$2:$D$600,$F$40,[1]اردیبهشت!$AA$2:$AA$600,U3)</f>
        <v>0</v>
      </c>
    </row>
    <row r="41" spans="1:21" ht="39" customHeight="1" thickBot="1" x14ac:dyDescent="0.3">
      <c r="A41" s="384"/>
      <c r="B41" s="310"/>
      <c r="C41" s="373"/>
      <c r="D41" s="373"/>
      <c r="E41" s="934"/>
      <c r="F41" s="30"/>
      <c r="G41" s="1">
        <f t="shared" si="0"/>
        <v>0</v>
      </c>
      <c r="H41" s="49">
        <f t="shared" si="1"/>
        <v>0</v>
      </c>
      <c r="I41" s="7">
        <v>0</v>
      </c>
      <c r="J41" s="7">
        <v>0</v>
      </c>
      <c r="K41" s="7">
        <v>0</v>
      </c>
      <c r="L41" s="7">
        <v>0</v>
      </c>
      <c r="M41" s="8"/>
      <c r="N41" s="946"/>
      <c r="O41" s="167">
        <f>SUMIFS([1]اردیبهشت!$AD$2:$AD$805,[1]اردیبهشت!$N$2:$N$805,$C$40,[1]اردیبهشت!$D$2:$D$805,$F$41,[1]اردیبهشت!$AA$2:$AA$805,O3)</f>
        <v>0</v>
      </c>
      <c r="P41" s="175">
        <f>SUMIFS([1]اردیبهشت!$AD$2:$AD$805,[1]اردیبهشت!$N$2:$N$805,$C$40,[1]اردیبهشت!$D$2:$D$805,$F$41,[1]اردیبهشت!$AA$2:$AA$805,P3)</f>
        <v>0</v>
      </c>
      <c r="Q41" s="175">
        <f>SUMIFS([1]اردیبهشت!$AD$2:$AD$805,[1]اردیبهشت!$N$2:$N$805,$C$40,[1]اردیبهشت!$D$2:$D$805,$F$41,[1]اردیبهشت!$AA$2:$AA$805,Q3)</f>
        <v>0</v>
      </c>
      <c r="R41" s="175">
        <f>SUMIFS([1]اردیبهشت!$AD$2:$AD$805,[1]اردیبهشت!$N$2:$N$805,$C$40,[1]اردیبهشت!$D$2:$D$805,$F$41,[1]اردیبهشت!$AA$2:$AA$805,R3)</f>
        <v>0</v>
      </c>
      <c r="S41" s="175">
        <f>SUMIFS([1]اردیبهشت!$AD$2:$AD$805,[1]اردیبهشت!$N$2:$N$805,$C$40,[1]اردیبهشت!$D$2:$D$805,$F$41,[1]اردیبهشت!$AA$2:$AA$805,S3)</f>
        <v>0</v>
      </c>
      <c r="T41" s="175">
        <f>SUMIFS([1]اردیبهشت!$AD$2:$AD$805,[1]اردیبهشت!$N$2:$N$805,$C$40,[1]اردیبهشت!$D$2:$D$805,$F$41,[1]اردیبهشت!$AA$2:$AA$805,T3)</f>
        <v>0</v>
      </c>
      <c r="U41" s="114">
        <f>SUMIFS([1]اردیبهشت!$AD$2:$AD$600,[1]اردیبهشت!$N$2:$N$600,$C$40,[1]اردیبهشت!$D$2:$D$600,$F$41,[1]اردیبهشت!$AA$2:$AA$600,U3)</f>
        <v>0</v>
      </c>
    </row>
    <row r="42" spans="1:21" ht="39" customHeight="1" thickBot="1" x14ac:dyDescent="0.3">
      <c r="A42" s="384">
        <v>20</v>
      </c>
      <c r="B42" s="216" t="s">
        <v>63</v>
      </c>
      <c r="C42" s="374">
        <v>8001</v>
      </c>
      <c r="D42" s="374">
        <v>62.5</v>
      </c>
      <c r="E42" s="374" t="s">
        <v>15</v>
      </c>
      <c r="F42" s="29" t="s">
        <v>54</v>
      </c>
      <c r="G42" s="9">
        <f t="shared" si="0"/>
        <v>2</v>
      </c>
      <c r="H42" s="46">
        <f t="shared" si="1"/>
        <v>0</v>
      </c>
      <c r="I42" s="4">
        <v>0</v>
      </c>
      <c r="J42" s="4">
        <v>0</v>
      </c>
      <c r="K42" s="4">
        <v>0</v>
      </c>
      <c r="L42" s="4">
        <v>0</v>
      </c>
      <c r="M42" s="4">
        <f>SUM(G42:J42)-62</f>
        <v>-60</v>
      </c>
      <c r="N42" s="385" t="s">
        <v>31</v>
      </c>
      <c r="O42" s="179">
        <f>SUMIFS([1]خرداد!$AF$2:$AF$805,[1]خرداد!$O$2:$O$805,8001,[1]خرداد!$D$2:$D$805,"*",[1]خرداد!$AC$2:$AC$805,O3)</f>
        <v>0</v>
      </c>
      <c r="P42" s="186">
        <f>SUMIFS([1]خرداد!$AF$2:$AF$805,[1]خرداد!$O$2:$O$805,8001,[1]خرداد!$D$2:$D$805,$F$42,[1]خرداد!$AC$2:$AC$805,P3)</f>
        <v>2</v>
      </c>
      <c r="Q42" s="186">
        <f>SUMIFS([1]خرداد!$AF$2:$AF$805,[1]خرداد!$O$2:$O$805,8001,[1]خرداد!$D$2:$D$805,$F$42,[1]خرداد!$AC$2:$AC$805,Q3)</f>
        <v>0</v>
      </c>
      <c r="R42" s="186">
        <f>SUMIFS([1]خرداد!$AF$2:$AF$805,[1]خرداد!$O$2:$O$805,8001,[1]خرداد!$D$2:$D$805,$F$42,[1]خرداد!$AC$2:$AC$805,R3)</f>
        <v>0</v>
      </c>
      <c r="S42" s="186">
        <f>SUMIFS([1]خرداد!$AF$2:$AF$805,[1]خرداد!$O$2:$O$805,8001,[1]خرداد!$D$2:$D$805,$F$42,[1]خرداد!$AC$2:$AC$805,S3)</f>
        <v>0</v>
      </c>
      <c r="T42" s="186">
        <f>SUMIFS([1]خرداد!$AF$2:$AF$805,[1]خرداد!$O$2:$O$805,8001,[1]خرداد!$D$2:$D$805,$F$42,[1]خرداد!$AC$2:$AC$805,T3)</f>
        <v>0</v>
      </c>
      <c r="U42" s="423">
        <f>SUMIFS([1]خرداد!$AF$2:$AF$805,[1]خرداد!$O$2:$O$805,8001,[1]خرداد!$D$2:$D$805,$F$42,[1]خرداد!$AC$2:$AC$805,U3)</f>
        <v>0</v>
      </c>
    </row>
    <row r="43" spans="1:21" ht="38.25" customHeight="1" thickBot="1" x14ac:dyDescent="0.3">
      <c r="A43" s="45">
        <v>21</v>
      </c>
      <c r="B43" s="12" t="s">
        <v>32</v>
      </c>
      <c r="C43" s="13">
        <v>8002</v>
      </c>
      <c r="D43" s="13">
        <v>44</v>
      </c>
      <c r="E43" s="13" t="s">
        <v>15</v>
      </c>
      <c r="F43" s="31" t="s">
        <v>23</v>
      </c>
      <c r="G43" s="14">
        <f t="shared" si="0"/>
        <v>22.5</v>
      </c>
      <c r="H43" s="48">
        <f t="shared" si="1"/>
        <v>0</v>
      </c>
      <c r="I43" s="14">
        <v>0</v>
      </c>
      <c r="J43" s="14">
        <v>0</v>
      </c>
      <c r="K43" s="14">
        <v>0</v>
      </c>
      <c r="L43" s="14">
        <v>0</v>
      </c>
      <c r="M43" s="14">
        <f>SUM(G43:L43)-(D43)</f>
        <v>-21.5</v>
      </c>
      <c r="N43" s="17" t="s">
        <v>29</v>
      </c>
      <c r="O43" s="179">
        <f>SUMIFS([1]خرداد!$AF$2:$AF$805,[1]خرداد!$O$2:$O$805,8002,[1]خرداد!$D$2:$D$805,$F$43,[1]خرداد!$AC$2:$AC$805,O3)</f>
        <v>0</v>
      </c>
      <c r="P43" s="186">
        <f>SUMIFS([1]خرداد!$AF$2:$AF$805,[1]خرداد!$O$2:$O$805,8002,[1]خرداد!$D$2:$D$805,$F$43,[1]خرداد!$AC$2:$AC$805,P3)</f>
        <v>0</v>
      </c>
      <c r="Q43" s="186">
        <f>SUMIFS([1]خرداد!$AF$2:$AF$805,[1]خرداد!$O$2:$O$805,8002,[1]خرداد!$D$2:$D$805,$F$43,[1]خرداد!$AC$2:$AC$805,Q3)</f>
        <v>7.5</v>
      </c>
      <c r="R43" s="186">
        <f>SUMIFS([1]خرداد!$AF$2:$AF$805,[1]خرداد!$O$2:$O$805,8002,[1]خرداد!$D$2:$D$805,$F$43,[1]خرداد!$AC$2:$AC$805,R3)</f>
        <v>7.5</v>
      </c>
      <c r="S43" s="186">
        <f>SUMIFS([1]خرداد!$AF$2:$AF$805,[1]خرداد!$O$2:$O$805,8002,[1]خرداد!$D$2:$D$805,$F$43,[1]خرداد!$AC$2:$AC$805,S3)</f>
        <v>0</v>
      </c>
      <c r="T43" s="186">
        <f>SUMIFS([1]خرداد!$AF$2:$AF$805,[1]خرداد!$O$2:$O$805,8002,[1]خرداد!$D$2:$D$805,$F$43,[1]خرداد!$AC$2:$AC$805,T3)</f>
        <v>7.5</v>
      </c>
      <c r="U43" s="423">
        <f>SUMIFS([1]خرداد!$AF$2:$AF$805,[1]خرداد!$O$2:$O$805,8002,[1]خرداد!$D$2:$D$805,$F$43,[1]خرداد!$AC$2:$AC$805,U3)</f>
        <v>0</v>
      </c>
    </row>
    <row r="44" spans="1:21" ht="36" customHeight="1" x14ac:dyDescent="0.25">
      <c r="A44" s="957">
        <v>22</v>
      </c>
      <c r="B44" s="961" t="s">
        <v>33</v>
      </c>
      <c r="C44" s="943" t="s">
        <v>33</v>
      </c>
      <c r="D44" s="932">
        <v>62.5</v>
      </c>
      <c r="E44" s="943"/>
      <c r="F44" s="32" t="s">
        <v>16</v>
      </c>
      <c r="G44" s="9">
        <f t="shared" si="0"/>
        <v>26</v>
      </c>
      <c r="H44" s="46">
        <f t="shared" si="1"/>
        <v>0</v>
      </c>
      <c r="I44" s="9">
        <v>0</v>
      </c>
      <c r="J44" s="9">
        <v>0</v>
      </c>
      <c r="K44" s="9">
        <v>0</v>
      </c>
      <c r="L44" s="9">
        <v>0</v>
      </c>
      <c r="M44" s="9">
        <f>(SUM(G44:L44))-D44</f>
        <v>-36.5</v>
      </c>
      <c r="N44" s="33" t="s">
        <v>29</v>
      </c>
      <c r="O44" s="165">
        <f>SUMIFS([1]خرداد!$AF$2:$AF$805,[1]خرداد!$O$2:$O$805,"مونتاژ",[1]خرداد!$D$2:$D$805,$F$44,[1]خرداد!$AC$2:$AC$805,O3)</f>
        <v>4</v>
      </c>
      <c r="P44" s="169">
        <f>SUMIFS([1]خرداد!$AF$2:$AF$805,[1]خرداد!$O$2:$O$805,"مونتاژ",[1]خرداد!$D$2:$D$805,$F$44,[1]خرداد!$AC$2:$AC$805,P3)</f>
        <v>5.5</v>
      </c>
      <c r="Q44" s="169">
        <f>SUMIFS([1]خرداد!$AF$2:$AF$805,[1]خرداد!$O$2:$O$805,"مونتاژ",[1]خرداد!$D$2:$D$805,$F$44,[1]خرداد!$AC$2:$AC$805,Q3)</f>
        <v>8.5</v>
      </c>
      <c r="R44" s="169">
        <f>SUMIFS([1]خرداد!$AF$2:$AF$805,[1]خرداد!$O$2:$O$805,"مونتاژ",[1]خرداد!$D$2:$D$805,$F$44,[1]خرداد!$AC$2:$AC$805,R3)</f>
        <v>6</v>
      </c>
      <c r="S44" s="169">
        <f>SUMIFS([1]خرداد!$AF$2:$AF$805,[1]خرداد!$O$2:$O$805,"مونتاژ",[1]خرداد!$D$2:$D$805,$F$44,[1]خرداد!$AC$2:$AC$805,S3)</f>
        <v>0</v>
      </c>
      <c r="T44" s="169">
        <f>SUMIFS([1]خرداد!$AF$2:$AF$805,[1]خرداد!$O$2:$O$805,"مونتاژ",[1]خرداد!$D$2:$D$805,$F$44,[1]خرداد!$AC$2:$AC$805,T3)</f>
        <v>2</v>
      </c>
      <c r="U44" s="170">
        <f>SUMIFS([1]خرداد!$AF$2:$AF$805,[1]خرداد!$O$2:$O$805,"مونتاژ",[1]خرداد!$D$2:$D$805,$F$44,[1]خرداد!$AC$2:$AC$805,U3)</f>
        <v>0</v>
      </c>
    </row>
    <row r="45" spans="1:21" ht="36" customHeight="1" x14ac:dyDescent="0.25">
      <c r="A45" s="958"/>
      <c r="B45" s="962"/>
      <c r="C45" s="965"/>
      <c r="D45" s="933"/>
      <c r="E45" s="965"/>
      <c r="F45" s="29" t="s">
        <v>17</v>
      </c>
      <c r="G45" s="3">
        <f t="shared" si="0"/>
        <v>5</v>
      </c>
      <c r="H45" s="47">
        <f t="shared" si="1"/>
        <v>0</v>
      </c>
      <c r="I45" s="3">
        <v>0</v>
      </c>
      <c r="J45" s="3">
        <v>0</v>
      </c>
      <c r="K45" s="3">
        <v>0</v>
      </c>
      <c r="L45" s="3">
        <v>0</v>
      </c>
      <c r="M45" s="3">
        <f>(SUM(G45:L45))-D44</f>
        <v>-57.5</v>
      </c>
      <c r="N45" s="58"/>
      <c r="O45" s="166">
        <f>SUMIFS([1]خرداد!$AF$2:$AF$805,[1]خرداد!$O$2:$O$805,"مونتاژ",[1]خرداد!$D$2:$D$805,$F$45,[1]خرداد!$AC$2:$AC$805,O3)</f>
        <v>1.5</v>
      </c>
      <c r="P45" s="168">
        <f>SUMIFS([1]خرداد!$AF$2:$AF$805,[1]خرداد!$O$2:$O$805,"مونتاژ",[1]خرداد!$D$2:$D$805,$F$45,[1]خرداد!$AC$2:$AC$805,P3)</f>
        <v>0</v>
      </c>
      <c r="Q45" s="168">
        <f>SUMIFS([1]خرداد!$AF$2:$AF$805,[1]خرداد!$O$2:$O$805,"مونتاژ",[1]خرداد!$D$2:$D$805,$F$45,[1]خرداد!$AC$2:$AC$805,Q3)</f>
        <v>1.5</v>
      </c>
      <c r="R45" s="168">
        <f>SUMIFS([1]خرداد!$AF$2:$AF$805,[1]خرداد!$O$2:$O$805,"مونتاژ",[1]خرداد!$D$2:$D$805,$F$45,[1]خرداد!$AC$2:$AC$805,R3)</f>
        <v>0</v>
      </c>
      <c r="S45" s="168">
        <f>SUMIFS([1]خرداد!$AF$2:$AF$805,[1]خرداد!$O$2:$O$805,"مونتاژ",[1]خرداد!$D$2:$D$805,$F$45,[1]خرداد!$AC$2:$AC$805,S3)</f>
        <v>0</v>
      </c>
      <c r="T45" s="168">
        <f>SUMIFS([1]خرداد!$AF$2:$AF$805,[1]خرداد!$O$2:$O$805,"مونتاژ",[1]خرداد!$D$2:$D$805,$F$45,[1]خرداد!$AC$2:$AC$805,T3)</f>
        <v>2</v>
      </c>
      <c r="U45" s="424">
        <f>SUMIFS([1]خرداد!$AF$2:$AF$805,[1]خرداد!$O$2:$O$805,"مونتاژ",[1]خرداد!$D$2:$D$805,$F$45,[1]خرداد!$AC$2:$AC$805,U3)</f>
        <v>0</v>
      </c>
    </row>
    <row r="46" spans="1:21" ht="36" customHeight="1" x14ac:dyDescent="0.25">
      <c r="A46" s="959"/>
      <c r="B46" s="963"/>
      <c r="C46" s="966"/>
      <c r="D46" s="933"/>
      <c r="E46" s="966"/>
      <c r="F46" s="29" t="s">
        <v>54</v>
      </c>
      <c r="G46" s="3">
        <f t="shared" si="0"/>
        <v>9</v>
      </c>
      <c r="H46" s="47">
        <f t="shared" si="1"/>
        <v>0</v>
      </c>
      <c r="I46" s="3">
        <v>2</v>
      </c>
      <c r="J46" s="3">
        <v>0</v>
      </c>
      <c r="K46" s="3">
        <v>0</v>
      </c>
      <c r="L46" s="3">
        <v>0</v>
      </c>
      <c r="M46" s="3">
        <f>(SUM(G46:L46))-62</f>
        <v>-51</v>
      </c>
      <c r="N46" s="62" t="s">
        <v>29</v>
      </c>
      <c r="O46" s="166">
        <f>SUMIFS([1]خرداد!$AF$2:$AF$805,[1]خرداد!$O$2:$O$805,"مونتاژ",[1]خرداد!$D$2:$D$805,$F$46,[1]خرداد!$AC$2:$AC$805,O3)</f>
        <v>7</v>
      </c>
      <c r="P46" s="168">
        <f>SUMIFS([1]خرداد!$AF$2:$AF$805,[1]خرداد!$O$2:$O$805,"مونتاژ",[1]خرداد!$D$2:$D$805,$F$46,[1]خرداد!$AC$2:$AC$805,P3)</f>
        <v>2</v>
      </c>
      <c r="Q46" s="168">
        <f>SUMIFS([1]خرداد!$AF$2:$AF$805,[1]خرداد!$O$2:$O$805,"مونتاژ",[1]خرداد!$D$2:$D$805,$F$46,[1]خرداد!$AC$2:$AC$805,Q3)</f>
        <v>0</v>
      </c>
      <c r="R46" s="168">
        <f>SUMIFS([1]خرداد!$AF$2:$AF$805,[1]خرداد!$O$2:$O$805,"مونتاژ",[1]خرداد!$D$2:$D$805,$F$46,[1]خرداد!$AC$2:$AC$805,R3)</f>
        <v>0</v>
      </c>
      <c r="S46" s="168">
        <f>SUMIFS([1]خرداد!$AF$2:$AF$805,[1]خرداد!$O$2:$O$805,"مونتاژ",[1]خرداد!$D$2:$D$805,$F$46,[1]خرداد!$AC$2:$AC$805,S3)</f>
        <v>0</v>
      </c>
      <c r="T46" s="168">
        <f>SUMIFS([1]خرداد!$AF$2:$AF$805,[1]خرداد!$O$2:$O$805,"مونتاژ",[1]خرداد!$D$2:$D$805,$F$46,[1]خرداد!$AC$2:$AC$805,T3)</f>
        <v>0</v>
      </c>
      <c r="U46" s="424">
        <f>SUMIFS([1]خرداد!$AF$2:$AF$805,[1]خرداد!$O$2:$O$805,"مونتاژ",[1]خرداد!$D$2:$D$805,$F$46,[1]خرداد!$AC$2:$AC$805,U3)</f>
        <v>0</v>
      </c>
    </row>
    <row r="47" spans="1:21" ht="36" customHeight="1" thickBot="1" x14ac:dyDescent="0.3">
      <c r="A47" s="960"/>
      <c r="B47" s="964"/>
      <c r="C47" s="944"/>
      <c r="D47" s="934"/>
      <c r="E47" s="944"/>
      <c r="F47" s="30"/>
      <c r="G47" s="6">
        <f t="shared" si="0"/>
        <v>0</v>
      </c>
      <c r="H47" s="64">
        <f t="shared" si="1"/>
        <v>0</v>
      </c>
      <c r="I47" s="7">
        <v>0</v>
      </c>
      <c r="J47" s="7">
        <v>0</v>
      </c>
      <c r="K47" s="7">
        <v>0</v>
      </c>
      <c r="L47" s="7">
        <v>0</v>
      </c>
      <c r="M47" s="7">
        <f>SUM(G47:J47)-62</f>
        <v>-62</v>
      </c>
      <c r="N47" s="34"/>
      <c r="O47" s="167">
        <f>SUMIFS([1]اردیبهشت!$AD$2:$AD$805,[1]اردیبهشت!$N$2:$N$805,"مونتاژ",[1]اردیبهشت!$D$2:$D$805,$F$47,[1]اردیبهشت!$AA$2:$AA$805,O3)</f>
        <v>0</v>
      </c>
      <c r="P47" s="175">
        <f>SUMIFS([1]اردیبهشت!$AD$2:$AD$805,[1]اردیبهشت!$N$2:$N$805,"مونتاژ",[1]اردیبهشت!$D$2:$D$805,$F$47,[1]اردیبهشت!$AA$2:$AA$805,P3)</f>
        <v>0</v>
      </c>
      <c r="Q47" s="175">
        <f>SUMIFS([1]اردیبهشت!$AD$2:$AD$805,[1]اردیبهشت!$N$2:$N$805,"مونتاژ",[1]اردیبهشت!$D$2:$D$805,$F$47,[1]اردیبهشت!$AA$2:$AA$805,Q3)</f>
        <v>0</v>
      </c>
      <c r="R47" s="175">
        <f>SUMIFS([1]اردیبهشت!$AD$2:$AD$805,[1]اردیبهشت!$N$2:$N$805,"مونتاژ",[1]اردیبهشت!$D$2:$D$805,$F$47,[1]اردیبهشت!$AA$2:$AA$805,R3)</f>
        <v>0</v>
      </c>
      <c r="S47" s="175">
        <f>SUMIFS([1]اردیبهشت!$AD$2:$AD$805,[1]اردیبهشت!$N$2:$N$805,"مونتاژ",[1]اردیبهشت!$D$2:$D$805,$F$47,[1]اردیبهشت!$AA$2:$AA$805,S3)</f>
        <v>0</v>
      </c>
      <c r="T47" s="175">
        <f>SUMIFS([1]اردیبهشت!$AD$2:$AD$805,[1]اردیبهشت!$N$2:$N$805,"مونتاژ",[1]اردیبهشت!$D$2:$D$805,$F$47,[1]اردیبهشت!$AA$2:$AA$805,T3)</f>
        <v>0</v>
      </c>
      <c r="U47" s="114">
        <f>SUMIFS([1]اردیبهشت!$AD$2:$AD$600,[1]اردیبهشت!$N$2:$N$600,"مونتاژ",[1]اردیبهشت!$D$2:$D$600,$F$47,[1]اردیبهشت!$AA$2:$AA$600,U3)</f>
        <v>0</v>
      </c>
    </row>
    <row r="48" spans="1:21" ht="36" customHeight="1" x14ac:dyDescent="0.25">
      <c r="A48" s="967">
        <v>23</v>
      </c>
      <c r="B48" s="961" t="s">
        <v>33</v>
      </c>
      <c r="C48" s="943" t="s">
        <v>34</v>
      </c>
      <c r="D48" s="932">
        <v>62.5</v>
      </c>
      <c r="E48" s="932"/>
      <c r="F48" s="32" t="s">
        <v>16</v>
      </c>
      <c r="G48" s="9">
        <f t="shared" si="0"/>
        <v>12</v>
      </c>
      <c r="H48" s="46">
        <f t="shared" si="1"/>
        <v>0</v>
      </c>
      <c r="I48" s="9">
        <v>0</v>
      </c>
      <c r="J48" s="9">
        <v>0</v>
      </c>
      <c r="K48" s="9">
        <v>0</v>
      </c>
      <c r="L48" s="9">
        <v>0</v>
      </c>
      <c r="M48" s="9">
        <f>SUM(G48:L48)-62</f>
        <v>-50</v>
      </c>
      <c r="N48" s="56"/>
      <c r="O48" s="165">
        <f>SUMIFS([1]خرداد!$AF$2:$AF$805,[1]خرداد!$O$2:$O$805,"دمونتاژ",[1]خرداد!$D$2:$D$805,$F$48,[1]خرداد!$AC$2:$AC$805,O3)</f>
        <v>4</v>
      </c>
      <c r="P48" s="169">
        <f>SUMIFS([1]خرداد!$AF$2:$AF$805,[1]خرداد!$O$2:$O$805,"دمونتاژ",[1]خرداد!$D$2:$D$805,$F$48,[1]خرداد!$AC$2:$AC$805,P3)</f>
        <v>6</v>
      </c>
      <c r="Q48" s="169">
        <f>SUMIFS([1]خرداد!$AF$2:$AF$805,[1]خرداد!$O$2:$O$805,"دمونتاژ",[1]خرداد!$D$2:$D$805,$F$48,[1]خرداد!$AC$2:$AC$805,Q3)</f>
        <v>0</v>
      </c>
      <c r="R48" s="169">
        <f>SUMIFS([1]خرداد!$AF$2:$AF$805,[1]خرداد!$O$2:$O$805,"دمونتاژ",[1]خرداد!$D$2:$D$805,$F$48,[1]خرداد!$AC$2:$AC$805,R3)</f>
        <v>2</v>
      </c>
      <c r="S48" s="169">
        <f>SUMIFS([1]خرداد!$AF$2:$AF$805,[1]خرداد!$O$2:$O$805,"دمونتاژ",[1]خرداد!$D$2:$D$805,$F$48,[1]خرداد!$AC$2:$AC$805,S3)</f>
        <v>0</v>
      </c>
      <c r="T48" s="169">
        <f>SUMIFS([1]خرداد!$AF$2:$AF$805,[1]خرداد!$O$2:$O$805,"دمونتاژ",[1]خرداد!$D$2:$D$805,$F$48,[1]خرداد!$AC$2:$AC$805,T3)</f>
        <v>0</v>
      </c>
      <c r="U48" s="170">
        <f>SUMIFS([1]خرداد!$AF$2:$AF$805,[1]خرداد!$O$2:$O$805,"دمونتاژ",[1]خرداد!$D$2:$D$805,$F$48,[1]خرداد!$AC$2:$AC$805,U3)</f>
        <v>0</v>
      </c>
    </row>
    <row r="49" spans="1:21" ht="36" customHeight="1" x14ac:dyDescent="0.25">
      <c r="A49" s="967"/>
      <c r="B49" s="962"/>
      <c r="C49" s="965"/>
      <c r="D49" s="933"/>
      <c r="E49" s="933"/>
      <c r="F49" s="29"/>
      <c r="G49" s="3">
        <f t="shared" si="0"/>
        <v>0</v>
      </c>
      <c r="H49" s="47">
        <f t="shared" si="1"/>
        <v>0</v>
      </c>
      <c r="I49" s="3">
        <v>0</v>
      </c>
      <c r="J49" s="3">
        <v>0</v>
      </c>
      <c r="K49" s="3">
        <v>0</v>
      </c>
      <c r="L49" s="3">
        <v>0</v>
      </c>
      <c r="M49" s="3">
        <f>SUM(G49:L49)-62</f>
        <v>-62</v>
      </c>
      <c r="N49" s="62"/>
      <c r="O49" s="166">
        <f>SUMIFS([1]اردیبهشت!$AD$2:$AD$805,[1]اردیبهشت!$N$2:$N$805,"دمونتاژ",[1]اردیبهشت!$D$2:$D$805,$F$49,[1]اردیبهشت!$AA$2:$AA$805,O3)</f>
        <v>0</v>
      </c>
      <c r="P49" s="168">
        <f>SUMIFS([1]اردیبهشت!$AD$2:$AD$805,[1]اردیبهشت!$N$2:$N$805,"دمونتاژ",[1]اردیبهشت!$D$2:$D$805,$F$49,[1]اردیبهشت!$AA$2:$AA$805,P3)</f>
        <v>0</v>
      </c>
      <c r="Q49" s="168">
        <f>SUMIFS([1]اردیبهشت!$AD$2:$AD$805,[1]اردیبهشت!$N$2:$N$805,"دمونتاژ",[1]اردیبهشت!$D$2:$D$805,$F$49,[1]اردیبهشت!$AA$2:$AA$805,Q3)</f>
        <v>0</v>
      </c>
      <c r="R49" s="168">
        <f>SUMIFS([1]اردیبهشت!$AD$2:$AD$805,[1]اردیبهشت!$N$2:$N$805,"دمونتاژ",[1]اردیبهشت!$D$2:$D$805,$F$49,[1]اردیبهشت!$AA$2:$AA$805,R3)</f>
        <v>0</v>
      </c>
      <c r="S49" s="168">
        <f>SUMIFS([1]اردیبهشت!$AD$2:$AD$805,[1]اردیبهشت!$N$2:$N$805,"دمونتاژ",[1]اردیبهشت!$D$2:$D$805,$F$49,[1]اردیبهشت!$AA$2:$AA$805,S3)</f>
        <v>0</v>
      </c>
      <c r="T49" s="168">
        <f>SUMIFS([1]اردیبهشت!$AD$2:$AD$805,[1]اردیبهشت!$N$2:$N$805,"دمونتاژ",[1]اردیبهشت!$D$2:$D$805,$F$49,[1]اردیبهشت!$AA$2:$AA$805,T3)</f>
        <v>0</v>
      </c>
      <c r="U49" s="108">
        <f>SUMIFS([1]اردیبهشت!$AD$2:$AD$600,[1]اردیبهشت!$N$2:$N$600,"دمونتاژ",[1]اردیبهشت!$D$2:$D$600,$F$49,[1]اردیبهشت!$AA$2:$AA$600,U3)</f>
        <v>0</v>
      </c>
    </row>
    <row r="50" spans="1:21" ht="36" customHeight="1" x14ac:dyDescent="0.25">
      <c r="A50" s="967"/>
      <c r="B50" s="962"/>
      <c r="C50" s="965"/>
      <c r="D50" s="933"/>
      <c r="E50" s="933"/>
      <c r="F50" s="29" t="s">
        <v>54</v>
      </c>
      <c r="G50" s="3">
        <f t="shared" si="0"/>
        <v>6</v>
      </c>
      <c r="H50" s="47">
        <f t="shared" si="1"/>
        <v>0</v>
      </c>
      <c r="I50" s="3">
        <v>0</v>
      </c>
      <c r="J50" s="3">
        <v>0</v>
      </c>
      <c r="K50" s="3">
        <v>0</v>
      </c>
      <c r="L50" s="3">
        <v>0</v>
      </c>
      <c r="M50" s="3">
        <f>SUM(G50:L50)-62</f>
        <v>-56</v>
      </c>
      <c r="N50" s="62"/>
      <c r="O50" s="166">
        <f>SUMIFS([1]خرداد!$AF$2:$AF$805,[1]خرداد!$O$2:$O$805,"دمونتاژ",[1]خرداد!$D$2:$D$805,$F$50,[1]خرداد!$AC$2:$AC$805,O3)</f>
        <v>4</v>
      </c>
      <c r="P50" s="168">
        <f>SUMIFS([1]خرداد!$AF$2:$AF$805,[1]خرداد!$O$2:$O$805,"دمونتاژ",[1]خرداد!$D$2:$D$805,$F$50,[1]خرداد!$AC$2:$AC$805,P3)</f>
        <v>2</v>
      </c>
      <c r="Q50" s="168">
        <f>SUMIFS([1]خرداد!$AF$2:$AF$805,[1]خرداد!$O$2:$O$805,"دمونتاژ",[1]خرداد!$D$2:$D$805,$F$50,[1]خرداد!$AC$2:$AC$805,Q3)</f>
        <v>0</v>
      </c>
      <c r="R50" s="168">
        <f>SUMIFS([1]خرداد!$AF$2:$AF$805,[1]خرداد!$O$2:$O$805,"دمونتاژ",[1]خرداد!$D$2:$D$805,$F$50,[1]خرداد!$AC$2:$AC$805,R3)</f>
        <v>0</v>
      </c>
      <c r="S50" s="168">
        <f>SUMIFS([1]خرداد!$AF$2:$AF$805,[1]خرداد!$O$2:$O$805,"دمونتاژ",[1]خرداد!$D$2:$D$805,$F$50,[1]خرداد!$AC$2:$AC$805,S3)</f>
        <v>0</v>
      </c>
      <c r="T50" s="168">
        <f>SUMIFS([1]خرداد!$AF$2:$AF$805,[1]خرداد!$O$2:$O$805,"دمونتاژ",[1]خرداد!$D$2:$D$805,$F$50,[1]خرداد!$AC$2:$AC$805,T3)</f>
        <v>0</v>
      </c>
      <c r="U50" s="424">
        <f>SUMIFS([1]خرداد!$AF$2:$AF$805,[1]خرداد!$O$2:$O$805,"دمونتاژ",[1]خرداد!$D$2:$D$805,$F$50,[1]خرداد!$AC$2:$AC$805,U3)</f>
        <v>0</v>
      </c>
    </row>
    <row r="51" spans="1:21" ht="36" customHeight="1" thickBot="1" x14ac:dyDescent="0.3">
      <c r="A51" s="967"/>
      <c r="B51" s="963"/>
      <c r="C51" s="966"/>
      <c r="D51" s="934"/>
      <c r="E51" s="934"/>
      <c r="F51" s="372"/>
      <c r="G51" s="4">
        <f t="shared" si="0"/>
        <v>0</v>
      </c>
      <c r="H51" s="49">
        <f t="shared" si="1"/>
        <v>0</v>
      </c>
      <c r="I51" s="25">
        <v>0</v>
      </c>
      <c r="J51" s="25">
        <v>0</v>
      </c>
      <c r="K51" s="25">
        <v>0</v>
      </c>
      <c r="L51" s="25">
        <v>0</v>
      </c>
      <c r="M51" s="25">
        <f>SUM(G51:L51)-62</f>
        <v>-62</v>
      </c>
      <c r="N51" s="58"/>
      <c r="O51" s="171">
        <f>SUMIFS([1]اردیبهشت!$AD$2:$AD$805,[1]اردیبهشت!$N$2:$N$805,"دمونتاژ",[1]اردیبهشت!$D$2:$D$805,$F$51,[1]اردیبهشت!$AA$2:$AA$805,O3)</f>
        <v>0</v>
      </c>
      <c r="P51" s="172">
        <f>SUMIFS([1]اردیبهشت!$AD$2:$AD$805,[1]اردیبهشت!$N$2:$N$805,"دمونتاژ",[1]اردیبهشت!$D$2:$D$805,$F$51,[1]اردیبهشت!$AA$2:$AA$805,P3)</f>
        <v>0</v>
      </c>
      <c r="Q51" s="172">
        <f>SUMIFS([1]اردیبهشت!$AD$2:$AD$805,[1]اردیبهشت!$N$2:$N$805,"دمونتاژ",[1]اردیبهشت!$D$2:$D$805,$F$51,[1]اردیبهشت!$AA$2:$AA$805,Q3)</f>
        <v>0</v>
      </c>
      <c r="R51" s="172">
        <f>SUMIFS([1]اردیبهشت!$AD$2:$AD$805,[1]اردیبهشت!$N$2:$N$805,"دمونتاژ",[1]اردیبهشت!$D$2:$D$805,$F$51,[1]اردیبهشت!$AA$2:$AA$805,R3)</f>
        <v>0</v>
      </c>
      <c r="S51" s="172">
        <f>SUMIFS([1]اردیبهشت!$AD$2:$AD$805,[1]اردیبهشت!$N$2:$N$805,"دمونتاژ",[1]اردیبهشت!$D$2:$D$805,$F$51,[1]اردیبهشت!$AA$2:$AA$805,S3)</f>
        <v>0</v>
      </c>
      <c r="T51" s="172">
        <f>SUMIFS([1]اردیبهشت!$AD$2:$AD$805,[1]اردیبهشت!$N$2:$N$805,"دمونتاژ",[1]اردیبهشت!$D$2:$D$805,$F$51,[1]اردیبهشت!$AA$2:$AA$805,T3)</f>
        <v>0</v>
      </c>
      <c r="U51" s="109">
        <f>SUMIFS([1]اردیبهشت!$AD$2:$AD$600,[1]اردیبهشت!$N$2:$N$600,"دمونتاژ",[1]اردیبهشت!$D$2:$D$600,$F$51,[1]اردیبهشت!$AA$2:$AA$600,U3)</f>
        <v>0</v>
      </c>
    </row>
    <row r="52" spans="1:21" ht="42.75" customHeight="1" thickBot="1" x14ac:dyDescent="0.3">
      <c r="A52" s="951" t="s">
        <v>49</v>
      </c>
      <c r="B52" s="952"/>
      <c r="C52" s="952"/>
      <c r="D52" s="952"/>
      <c r="E52" s="952"/>
      <c r="F52" s="953"/>
      <c r="G52" s="148">
        <f>SUM(G4:G50)-G43</f>
        <v>606.91666666666674</v>
      </c>
      <c r="H52" s="148">
        <f>SUM(H4:H51)</f>
        <v>25.5</v>
      </c>
      <c r="I52" s="148">
        <f>SUM(I4:I51)</f>
        <v>54</v>
      </c>
      <c r="J52" s="148">
        <f>SUM(J4:J51)</f>
        <v>134</v>
      </c>
      <c r="K52" s="148"/>
      <c r="L52" s="148"/>
      <c r="M52" s="149">
        <f>SUMIFS(M4:M51,F4:F51,"*")</f>
        <v>-635.58333333333326</v>
      </c>
      <c r="N52" s="306"/>
      <c r="O52" s="302">
        <f>SUM(O4:O51)</f>
        <v>155.41666666666669</v>
      </c>
      <c r="P52" s="198">
        <f t="shared" ref="P52:U52" si="2">SUM(P4:P51)</f>
        <v>144.5</v>
      </c>
      <c r="Q52" s="198">
        <f t="shared" si="2"/>
        <v>141.5</v>
      </c>
      <c r="R52" s="198">
        <f t="shared" si="2"/>
        <v>107</v>
      </c>
      <c r="S52" s="198">
        <f t="shared" si="2"/>
        <v>25.5</v>
      </c>
      <c r="T52" s="198">
        <f t="shared" si="2"/>
        <v>55.5</v>
      </c>
      <c r="U52" s="150">
        <f t="shared" si="2"/>
        <v>0</v>
      </c>
    </row>
  </sheetData>
  <mergeCells count="41">
    <mergeCell ref="E16:E18"/>
    <mergeCell ref="N16:N18"/>
    <mergeCell ref="A1:L2"/>
    <mergeCell ref="O1:U2"/>
    <mergeCell ref="E4:E6"/>
    <mergeCell ref="N4:N6"/>
    <mergeCell ref="E7:E9"/>
    <mergeCell ref="E20:E22"/>
    <mergeCell ref="N20:N22"/>
    <mergeCell ref="E23:E25"/>
    <mergeCell ref="N23:N25"/>
    <mergeCell ref="E26:E28"/>
    <mergeCell ref="N26:N28"/>
    <mergeCell ref="A29:A30"/>
    <mergeCell ref="E29:E30"/>
    <mergeCell ref="N29:N30"/>
    <mergeCell ref="A31:A32"/>
    <mergeCell ref="E31:E32"/>
    <mergeCell ref="N31:N32"/>
    <mergeCell ref="A33:A34"/>
    <mergeCell ref="E33:E34"/>
    <mergeCell ref="N33:N34"/>
    <mergeCell ref="A35:A36"/>
    <mergeCell ref="E35:E36"/>
    <mergeCell ref="N35:N36"/>
    <mergeCell ref="A52:F52"/>
    <mergeCell ref="A37:A38"/>
    <mergeCell ref="E37:E38"/>
    <mergeCell ref="N37:N38"/>
    <mergeCell ref="E39:E41"/>
    <mergeCell ref="N39:N41"/>
    <mergeCell ref="A44:A47"/>
    <mergeCell ref="B44:B47"/>
    <mergeCell ref="C44:C47"/>
    <mergeCell ref="D44:D47"/>
    <mergeCell ref="E44:E47"/>
    <mergeCell ref="A48:A51"/>
    <mergeCell ref="B48:B51"/>
    <mergeCell ref="C48:C51"/>
    <mergeCell ref="D48:D51"/>
    <mergeCell ref="E48:E51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 M8" formulaRange="1"/>
    <ignoredError sqref="U26 U29:U31 U33" formula="1"/>
  </ignoredError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B7ED-BF0F-4DF0-9844-42F265319F75}">
  <sheetPr>
    <pageSetUpPr fitToPage="1"/>
  </sheetPr>
  <dimension ref="A1:U52"/>
  <sheetViews>
    <sheetView rightToLeft="1" view="pageLayout" topLeftCell="A22" zoomScaleNormal="100" workbookViewId="0">
      <selection activeCell="G4" sqref="G4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19" width="6.42578125" style="52" hidden="1" customWidth="1"/>
    <col min="20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11</v>
      </c>
      <c r="O2" s="926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291" t="s">
        <v>123</v>
      </c>
      <c r="P3" s="291" t="s">
        <v>124</v>
      </c>
      <c r="Q3" s="291" t="s">
        <v>125</v>
      </c>
      <c r="R3" s="291" t="s">
        <v>126</v>
      </c>
      <c r="S3" s="291" t="s">
        <v>127</v>
      </c>
      <c r="T3" s="392" t="s">
        <v>128</v>
      </c>
      <c r="U3" s="392" t="s">
        <v>129</v>
      </c>
    </row>
    <row r="4" spans="1:21" ht="33.75" customHeight="1" x14ac:dyDescent="0.25">
      <c r="A4" s="405"/>
      <c r="B4" s="414"/>
      <c r="C4" s="307"/>
      <c r="D4" s="39"/>
      <c r="E4" s="932" t="s">
        <v>15</v>
      </c>
      <c r="F4" s="403" t="s">
        <v>55</v>
      </c>
      <c r="G4" s="9">
        <f>SUM(O4:T4)</f>
        <v>30</v>
      </c>
      <c r="H4" s="46">
        <f>U4</f>
        <v>0</v>
      </c>
      <c r="I4" s="9">
        <v>0</v>
      </c>
      <c r="J4" s="9">
        <v>0</v>
      </c>
      <c r="K4" s="9">
        <v>11.5</v>
      </c>
      <c r="L4" s="9">
        <v>0</v>
      </c>
      <c r="M4" s="28"/>
      <c r="N4" s="945" t="s">
        <v>101</v>
      </c>
      <c r="O4" s="165">
        <f>SUMIFS([1]خرداد!$AF$2:$AF$805,[1]خرداد!$O$2:$O$805,7101,[1]خرداد!$D$2:$D$805,$F$4,[1]خرداد!$AC$2:$AC$805,O3)</f>
        <v>0</v>
      </c>
      <c r="P4" s="292">
        <f>SUMIFS([1]خرداد!$AF$2:$AF$805,[1]خرداد!$O$2:$O$805,7101,[1]خرداد!$D$2:$D$805,$F$4,[1]خرداد!$AC$2:$AC$805,P3)</f>
        <v>11</v>
      </c>
      <c r="Q4" s="292">
        <f>SUMIFS([1]خرداد!$AF$2:$AF$805,[1]خرداد!$O$2:$O$805,7101,[1]خرداد!$D$2:$D$805,$F$4,[1]خرداد!$AC$2:$AC$805,Q3)</f>
        <v>4.5</v>
      </c>
      <c r="R4" s="292">
        <f>SUMIFS([1]خرداد!$AF$2:$AF$805,[1]خرداد!$O$2:$O$805,7101,[1]خرداد!$D$2:$D$805,$F$4,[1]خرداد!$AC$2:$AC$805,R3)</f>
        <v>5.5</v>
      </c>
      <c r="S4" s="292">
        <f>SUMIFS([1]خرداد!$AF$2:$AF$805,[1]خرداد!$O$2:$O$805,7101,[1]خرداد!$D$2:$D$805,$F$4,[1]خرداد!$AC$2:$AC$805,S3)</f>
        <v>9</v>
      </c>
      <c r="T4" s="393">
        <f>SUMIFS([1]خرداد!$AF$2:$AF$805,[1]خرداد!$O$2:$O$805,7101,[1]خرداد!$D$2:$D$805,$F$4,[1]خرداد!$AC$2:$AC$805,T3)</f>
        <v>0</v>
      </c>
      <c r="U4" s="454">
        <f>SUMIFS([1]خرداد!$AF$2:$AF$805,[1]خرداد!$O$2:$O$805,7101,[1]خرداد!$D$2:$D$805,$F$4,[1]خرداد!$AC$2:$AC$805,U3)</f>
        <v>0</v>
      </c>
    </row>
    <row r="5" spans="1:21" ht="33.75" customHeight="1" x14ac:dyDescent="0.25">
      <c r="A5" s="406">
        <v>1</v>
      </c>
      <c r="B5" s="415" t="s">
        <v>14</v>
      </c>
      <c r="C5" s="308">
        <v>7101</v>
      </c>
      <c r="D5" s="2">
        <v>62.5</v>
      </c>
      <c r="E5" s="933"/>
      <c r="F5" s="410"/>
      <c r="G5" s="3">
        <f t="shared" ref="G5:G51" si="0">SUM(O5:T5)</f>
        <v>0</v>
      </c>
      <c r="H5" s="47">
        <f t="shared" ref="H5:H51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-21</v>
      </c>
      <c r="N5" s="929"/>
      <c r="O5" s="166">
        <f>SUMIFS([1]اردیبهشت!$AD$2:$AD$600,[1]اردیبهشت!$N$2:$N$600,7101,[1]اردیبهشت!$D$2:$D$600,$F$5,[1]اردیبهشت!$AA$2:$AA$600,O3)</f>
        <v>0</v>
      </c>
      <c r="P5" s="168">
        <f>SUMIFS([1]اردیبهشت!$AD$2:$AD$600,[1]اردیبهشت!$N$2:$N$600,7101,[1]اردیبهشت!$D$2:$D$600,$F$5,[1]اردیبهشت!$AA$2:$AA$600,P3)</f>
        <v>0</v>
      </c>
      <c r="Q5" s="168">
        <f>SUMIFS([1]اردیبهشت!$AD$2:$AD$600,[1]اردیبهشت!$N$2:$N$600,7101,[1]اردیبهشت!$D$2:$D$600,$F$5,[1]اردیبهشت!$AA$2:$AA$600,Q3)</f>
        <v>0</v>
      </c>
      <c r="R5" s="168">
        <f>SUMIFS([1]اردیبهشت!$AD$2:$AD$600,[1]اردیبهشت!$N$2:$N$600,7101,[1]اردیبهشت!$D$2:$D$600,$F$5,[1]اردیبهشت!$AA$2:$AA$600,R3)</f>
        <v>0</v>
      </c>
      <c r="S5" s="168">
        <f>SUMIFS([1]اردیبهشت!$AD$2:$AD$600,[1]اردیبهشت!$N$2:$N$600,7101,[1]اردیبهشت!$D$2:$D$600,$F$5,[1]اردیبهشت!$AA$2:$AA$600,S3)</f>
        <v>0</v>
      </c>
      <c r="T5" s="96">
        <f>SUMIFS([1]اردیبهشت!$AD$2:$AD$600,[1]اردیبهشت!$N$2:$N$600,7101,[1]اردیبهشت!$D$2:$D$600,$F$5,[1]اردیبهشت!$AA$2:$AA$600,T3)</f>
        <v>0</v>
      </c>
      <c r="U5" s="108">
        <f>SUMIFS([1]اردیبهشت!$AD$2:$AD$600,[1]اردیبهشت!$N$2:$N$600,7101,[1]اردیبهشت!$D$2:$D$600,$F$5,[1]اردیبهشت!$AA$2:$AA$600,U3)</f>
        <v>0</v>
      </c>
    </row>
    <row r="6" spans="1:21" ht="33.75" customHeight="1" thickBot="1" x14ac:dyDescent="0.3">
      <c r="A6" s="407"/>
      <c r="B6" s="88"/>
      <c r="C6" s="310"/>
      <c r="D6" s="404"/>
      <c r="E6" s="934"/>
      <c r="F6" s="5"/>
      <c r="G6" s="6">
        <f t="shared" si="0"/>
        <v>0</v>
      </c>
      <c r="H6" s="64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171">
        <f>SUMIFS([1]اردیبهشت!$AD$2:$AD$600,[1]اردیبهشت!$N$2:$N$600,7101,[1]اردیبهشت!$D$2:$D$600,$F$6,[1]اردیبهشت!$AA$2:$AA$600,O3)</f>
        <v>0</v>
      </c>
      <c r="P6" s="172">
        <f>SUMIFS([1]اردیبهشت!$AD$2:$AD$600,[1]اردیبهشت!$N$2:$N$600,7101,[1]اردیبهشت!$D$2:$D$600,$F$6,[1]اردیبهشت!$AA$2:$AA$600,P3)</f>
        <v>0</v>
      </c>
      <c r="Q6" s="172">
        <f>SUMIFS([1]اردیبهشت!$AD$2:$AD$600,[1]اردیبهشت!$N$2:$N$600,7101,[1]اردیبهشت!$D$2:$D$600,$F$6,[1]اردیبهشت!$AA$2:$AA$600,Q3)</f>
        <v>0</v>
      </c>
      <c r="R6" s="172">
        <f>SUMIFS([1]اردیبهشت!$AD$2:$AD$600,[1]اردیبهشت!$N$2:$N$600,7101,[1]اردیبهشت!$D$2:$D$600,$F$6,[1]اردیبهشت!$AA$2:$AA$600,R3)</f>
        <v>0</v>
      </c>
      <c r="S6" s="172">
        <f>SUMIFS([1]اردیبهشت!$AD$2:$AD$600,[1]اردیبهشت!$N$2:$N$600,7101,[1]اردیبهشت!$D$2:$D$600,$F$6,[1]اردیبهشت!$AA$2:$AA$600,S3)</f>
        <v>0</v>
      </c>
      <c r="T6" s="103">
        <f>SUMIFS([1]اردیبهشت!$AD$2:$AD$600,[1]اردیبهشت!$N$2:$N$600,7101,[1]اردیبهشت!$D$2:$D$600,$F$6,[1]اردیبهشت!$AA$2:$AA$600,T3)</f>
        <v>0</v>
      </c>
      <c r="U6" s="109">
        <f>SUMIFS([1]اردیبهشت!$AD$2:$AD$600,[1]اردیبهشت!$N$2:$N$600,7101,[1]اردیبهشت!$D$2:$D$600,$F$6,[1]اردیبهشت!$AA$2:$AA$600,U3)</f>
        <v>0</v>
      </c>
    </row>
    <row r="7" spans="1:21" ht="33.75" customHeight="1" x14ac:dyDescent="0.25">
      <c r="A7" s="420"/>
      <c r="B7" s="216"/>
      <c r="C7" s="224"/>
      <c r="D7" s="413"/>
      <c r="E7" s="932" t="s">
        <v>15</v>
      </c>
      <c r="F7" s="20" t="s">
        <v>20</v>
      </c>
      <c r="G7" s="1">
        <f t="shared" si="0"/>
        <v>54</v>
      </c>
      <c r="H7" s="49">
        <f t="shared" si="1"/>
        <v>0</v>
      </c>
      <c r="I7" s="1">
        <v>0</v>
      </c>
      <c r="J7" s="1">
        <v>0</v>
      </c>
      <c r="K7" s="1">
        <v>11.5</v>
      </c>
      <c r="L7" s="1">
        <v>0</v>
      </c>
      <c r="M7" s="69"/>
      <c r="N7" s="398"/>
      <c r="O7" s="165">
        <f>SUMIFS([1]خرداد!$AF$2:$AF$805,[1]خرداد!$O$2:$O$805,7102,[1]خرداد!$D$2:$D$805,$F$7,[1]خرداد!$AC$2:$AC$805,O3)</f>
        <v>10</v>
      </c>
      <c r="P7" s="169">
        <f>SUMIFS([1]خرداد!$AF$2:$AF$805,[1]خرداد!$O$2:$O$805,7102,[1]خرداد!$D$2:$D$805,$F$7,[1]خرداد!$AC$2:$AC$805,P3)</f>
        <v>11</v>
      </c>
      <c r="Q7" s="169">
        <f>SUMIFS([1]خرداد!$AF$2:$AF$805,[1]خرداد!$O$2:$O$805,7102,[1]خرداد!$D$2:$D$805,$F$7,[1]خرداد!$AC$2:$AC$805,Q3)</f>
        <v>11</v>
      </c>
      <c r="R7" s="169">
        <f>SUMIFS([1]خرداد!$AF$2:$AF$805,[1]خرداد!$O$2:$O$805,7102,[1]خرداد!$D$2:$D$805,$F$7,[1]خرداد!$AC$2:$AC$805,R3)</f>
        <v>11</v>
      </c>
      <c r="S7" s="169">
        <f>SUMIFS([1]خرداد!$AF$2:$AF$805,[1]خرداد!$O$2:$O$805,7102,[1]خرداد!$D$2:$D$805,$F$7,[1]خرداد!$AC$2:$AC$805,S3)</f>
        <v>11</v>
      </c>
      <c r="T7" s="98">
        <f>SUMIFS([1]خرداد!$AF$2:$AF$805,[1]خرداد!$O$2:$O$805,7102,[1]خرداد!$D$2:$D$805,$F$7,[1]خرداد!$AC$2:$AC$805,T3)</f>
        <v>0</v>
      </c>
      <c r="U7" s="107">
        <f>SUMIFS([1]خرداد!$AF$2:$AF$805,[1]خرداد!$O$2:$O$805,7102,[1]خرداد!$D$2:$D$805,$F$7,[1]خرداد!$AC$2:$AC$805,U3)</f>
        <v>0</v>
      </c>
    </row>
    <row r="8" spans="1:21" ht="33.75" customHeight="1" x14ac:dyDescent="0.25">
      <c r="A8" s="420">
        <v>2</v>
      </c>
      <c r="B8" s="216" t="s">
        <v>14</v>
      </c>
      <c r="C8" s="308">
        <v>7102</v>
      </c>
      <c r="D8" s="2">
        <v>62.5</v>
      </c>
      <c r="E8" s="933"/>
      <c r="F8" s="413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3</v>
      </c>
      <c r="N8" s="399" t="s">
        <v>29</v>
      </c>
      <c r="O8" s="166">
        <f>SUMIFS([1]اردیبهشت!$AD$2:$AD$600,[1]اردیبهشت!$N$2:$N$600,7102,[1]اردیبهشت!$D$2:$D$600,$F$8,[1]اردیبهشت!$AA$2:$AA$600,O3)</f>
        <v>0</v>
      </c>
      <c r="P8" s="168">
        <f>SUMIFS([1]اردیبهشت!$AD$2:$AD$600,[1]اردیبهشت!$N$2:$N$600,7102,[1]اردیبهشت!$D$2:$D$600,$F$8,[1]اردیبهشت!$AA$2:$AA$600,P3)</f>
        <v>0</v>
      </c>
      <c r="Q8" s="168">
        <f>SUMIFS([1]اردیبهشت!$AD$2:$AD$600,[1]اردیبهشت!$N$2:$N$600,7102,[1]اردیبهشت!$D$2:$D$600,$F$8,[1]اردیبهشت!$AA$2:$AA$600,Q3)</f>
        <v>0</v>
      </c>
      <c r="R8" s="168">
        <f>SUMIFS([1]اردیبهشت!$AD$2:$AD$600,[1]اردیبهشت!$N$2:$N$600,7102,[1]اردیبهشت!$D$2:$D$600,$F$8,[1]اردیبهشت!$AA$2:$AA$600,R3)</f>
        <v>0</v>
      </c>
      <c r="S8" s="168">
        <f>SUMIFS([1]اردیبهشت!$AD$2:$AD$600,[1]اردیبهشت!$N$2:$N$600,7102,[1]اردیبهشت!$D$2:$D$600,$F$8,[1]اردیبهشت!$AA$2:$AA$600,S3)</f>
        <v>0</v>
      </c>
      <c r="T8" s="96">
        <f>SUMIFS([1]اردیبهشت!$AD$2:$AD$600,[1]اردیبهشت!$N$2:$N$600,7102,[1]اردیبهشت!$D$2:$D$600,$F$8,[1]اردیبهشت!$AA$2:$AA$600,T3)</f>
        <v>0</v>
      </c>
      <c r="U8" s="108">
        <f>SUMIFS([1]اردیبهشت!$AD$2:$AD$600,[1]اردیبهشت!$N$2:$N$600,7102,[1]اردیبهشت!$D$2:$D$600,$F$8,[1]اردیبهشت!$AA$2:$AA$600,U3)</f>
        <v>0</v>
      </c>
    </row>
    <row r="9" spans="1:21" ht="33.75" customHeight="1" thickBot="1" x14ac:dyDescent="0.3">
      <c r="A9" s="421"/>
      <c r="B9" s="43"/>
      <c r="C9" s="310"/>
      <c r="D9" s="404"/>
      <c r="E9" s="934"/>
      <c r="F9" s="5"/>
      <c r="G9" s="1">
        <f t="shared" si="0"/>
        <v>0</v>
      </c>
      <c r="H9" s="49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400"/>
      <c r="O9" s="167">
        <f>SUMIFS([1]اردیبهشت!$AD$2:$AD$600,[1]اردیبهشت!$N$2:$N$600,7102,[1]اردیبهشت!$D$2:$D$600,$F$9,[1]اردیبهشت!$AA$2:$AA$600,O3)</f>
        <v>0</v>
      </c>
      <c r="P9" s="175">
        <f>SUMIFS([1]اردیبهشت!$AD$2:$AD$600,[1]اردیبهشت!$N$2:$N$600,7102,[1]اردیبهشت!$D$2:$D$600,$F$9,[1]اردیبهشت!$AA$2:$AA$600,P3)</f>
        <v>0</v>
      </c>
      <c r="Q9" s="175">
        <f>SUMIFS([1]اردیبهشت!$AD$2:$AD$600,[1]اردیبهشت!$N$2:$N$600,7102,[1]اردیبهشت!$D$2:$D$600,$F$9,[1]اردیبهشت!$AA$2:$AA$600,Q3)</f>
        <v>0</v>
      </c>
      <c r="R9" s="175">
        <f>SUMIFS([1]اردیبهشت!$AD$2:$AD$600,[1]اردیبهشت!$N$2:$N$600,7102,[1]اردیبهشت!$D$2:$D$600,$F$9,[1]اردیبهشت!$AA$2:$AA$600,R3)</f>
        <v>0</v>
      </c>
      <c r="S9" s="175">
        <f>SUMIFS([1]اردیبهشت!$AD$2:$AD$600,[1]اردیبهشت!$N$2:$N$600,7102,[1]اردیبهشت!$D$2:$D$600,$F$9,[1]اردیبهشت!$AA$2:$AA$600,S3)</f>
        <v>0</v>
      </c>
      <c r="T9" s="97">
        <f>SUMIFS([1]اردیبهشت!$AD$2:$AD$600,[1]اردیبهشت!$N$2:$N$600,7102,[1]اردیبهشت!$D$2:$D$600,$F$9,[1]اردیبهشت!$AA$2:$AA$600,T3)</f>
        <v>0</v>
      </c>
      <c r="U9" s="114">
        <f>SUMIFS([1]اردیبهشت!$AD$2:$AD$600,[1]اردیبهشت!$N$2:$N$600,7102,[1]اردیبهشت!$D$2:$D$600,$F$9,[1]اردیبهشت!$AA$2:$AA$600,U3)</f>
        <v>0</v>
      </c>
    </row>
    <row r="10" spans="1:21" ht="36" customHeight="1" thickBot="1" x14ac:dyDescent="0.3">
      <c r="A10" s="421">
        <v>3</v>
      </c>
      <c r="B10" s="216" t="s">
        <v>14</v>
      </c>
      <c r="C10" s="401">
        <v>7103</v>
      </c>
      <c r="D10" s="2">
        <v>44</v>
      </c>
      <c r="E10" s="401" t="s">
        <v>15</v>
      </c>
      <c r="F10" s="401" t="s">
        <v>12</v>
      </c>
      <c r="G10" s="9">
        <f t="shared" si="0"/>
        <v>29.333333333333332</v>
      </c>
      <c r="H10" s="46">
        <f t="shared" si="1"/>
        <v>0</v>
      </c>
      <c r="I10" s="4">
        <v>0</v>
      </c>
      <c r="J10" s="4">
        <v>0</v>
      </c>
      <c r="K10" s="4">
        <v>0</v>
      </c>
      <c r="L10" s="4">
        <v>0</v>
      </c>
      <c r="M10" s="4">
        <f>SUM(G10:L10)-64</f>
        <v>-34.666666666666671</v>
      </c>
      <c r="N10" s="399" t="s">
        <v>40</v>
      </c>
      <c r="O10" s="176">
        <f>SUMIFS([1]خرداد!$AF$2:$AF$805,[1]خرداد!$O$2:$O$805,7103,[1]خرداد!$D$2:$D$805,$F$10,[1]خرداد!$AC$2:$AC$805,O3)</f>
        <v>7.333333333333333</v>
      </c>
      <c r="P10" s="177">
        <f>SUMIFS([1]خرداد!$AF$2:$AF$805,[1]خرداد!$O$2:$O$805,7103,[1]خرداد!$D$2:$D$805,$F$10,[1]خرداد!$AC$2:$AC$805,P3)</f>
        <v>6.3333333333333339</v>
      </c>
      <c r="Q10" s="177">
        <f>SUMIFS([1]خرداد!$AF$2:$AF$805,[1]خرداد!$O$2:$O$805,7103,[1]خرداد!$D$2:$D$805,$F$10,[1]خرداد!$AC$2:$AC$805,Q3)</f>
        <v>3.5</v>
      </c>
      <c r="R10" s="177">
        <f>SUMIFS([1]خرداد!$AF$2:$AF$805,[1]خرداد!$O$2:$O$805,7103,[1]خرداد!$D$2:$D$805,$F$10,[1]خرداد!$AC$2:$AC$805,R3)</f>
        <v>5.833333333333333</v>
      </c>
      <c r="S10" s="177">
        <f>SUMIFS([1]خرداد!$AF$2:$AF$805,[1]خرداد!$O$2:$O$805,7103,[1]خرداد!$D$2:$D$805,$F$10,[1]خرداد!$AC$2:$AC$805,S3)</f>
        <v>6.333333333333333</v>
      </c>
      <c r="T10" s="99">
        <f>SUMIFS([1]خرداد!$AF$2:$AF$805,[1]خرداد!$O$2:$O$805,7103,[1]خرداد!$D$2:$D$805,$F$10,[1]خرداد!$AC$2:$AC$805,T3)</f>
        <v>0</v>
      </c>
      <c r="U10" s="113">
        <f>SUMIFS([1]خرداد!$AF$2:$AF$805,[1]خرداد!$O$2:$O$805,7103,[1]خرداد!$D$2:$D$805,$F$10,[1]خرداد!$AC$2:$AC$805,U3)</f>
        <v>0</v>
      </c>
    </row>
    <row r="11" spans="1:21" ht="36" customHeight="1" thickBot="1" x14ac:dyDescent="0.3">
      <c r="A11" s="420">
        <v>4</v>
      </c>
      <c r="B11" s="416" t="s">
        <v>18</v>
      </c>
      <c r="C11" s="417">
        <v>7201</v>
      </c>
      <c r="D11" s="417">
        <v>62.5</v>
      </c>
      <c r="E11" s="417" t="s">
        <v>19</v>
      </c>
      <c r="F11" s="140"/>
      <c r="G11" s="21">
        <f t="shared" si="0"/>
        <v>0</v>
      </c>
      <c r="H11" s="63">
        <f t="shared" si="1"/>
        <v>0</v>
      </c>
      <c r="I11" s="141">
        <v>0</v>
      </c>
      <c r="J11" s="141">
        <v>62</v>
      </c>
      <c r="K11" s="141">
        <v>0</v>
      </c>
      <c r="L11" s="141">
        <v>0</v>
      </c>
      <c r="M11" s="141">
        <f>SUM(G11:J11)-62</f>
        <v>0</v>
      </c>
      <c r="N11" s="142" t="s">
        <v>41</v>
      </c>
      <c r="O11" s="296"/>
      <c r="P11" s="201"/>
      <c r="Q11" s="201"/>
      <c r="R11" s="201"/>
      <c r="S11" s="201"/>
      <c r="T11" s="100"/>
      <c r="U11" s="111"/>
    </row>
    <row r="12" spans="1:21" ht="36" customHeight="1" thickBot="1" x14ac:dyDescent="0.3">
      <c r="A12" s="45">
        <v>5</v>
      </c>
      <c r="B12" s="12" t="s">
        <v>18</v>
      </c>
      <c r="C12" s="13">
        <v>7202</v>
      </c>
      <c r="D12" s="13">
        <v>62.5</v>
      </c>
      <c r="E12" s="13" t="s">
        <v>15</v>
      </c>
      <c r="F12" s="16" t="s">
        <v>46</v>
      </c>
      <c r="G12" s="14">
        <f t="shared" si="0"/>
        <v>28.5</v>
      </c>
      <c r="H12" s="48">
        <v>0</v>
      </c>
      <c r="I12" s="14">
        <v>0</v>
      </c>
      <c r="J12" s="14">
        <v>0</v>
      </c>
      <c r="K12" s="14">
        <v>0</v>
      </c>
      <c r="L12" s="14">
        <v>0</v>
      </c>
      <c r="M12" s="14">
        <f>SUM(G12:L12)-62</f>
        <v>-33.5</v>
      </c>
      <c r="N12" s="271" t="s">
        <v>44</v>
      </c>
      <c r="O12" s="181">
        <f>SUMIFS([1]خرداد!$AF$2:$AF$805,[1]خرداد!$O$2:$O$805,7202,[1]خرداد!$D$2:$D$805,$F$12,[1]خرداد!$AC$2:$AC$805,O3)</f>
        <v>10</v>
      </c>
      <c r="P12" s="182">
        <f>SUMIFS([1]خرداد!$AF$2:$AF$805,[1]خرداد!$O$2:$O$805,7202,[1]خرداد!$D$2:$D$805,$F$12,[1]خرداد!$AC$2:$AC$805,P3)</f>
        <v>7.5</v>
      </c>
      <c r="Q12" s="182">
        <f>SUMIFS([1]خرداد!$AF$2:$AF$805,[1]خرداد!$O$2:$O$805,7202,[1]خرداد!$D$2:$D$805,$F$12,[1]خرداد!$AC$2:$AC$805,Q3)</f>
        <v>0</v>
      </c>
      <c r="R12" s="182">
        <f>SUMIFS([1]خرداد!$AF$2:$AF$805,[1]خرداد!$O$2:$O$805,7202,[1]خرداد!$D$2:$D$805,$F$12,[1]خرداد!$AC$2:$AC$805,R3)</f>
        <v>0</v>
      </c>
      <c r="S12" s="182">
        <f>SUMIFS([1]خرداد!$AF$2:$AF$805,[1]خرداد!$O$2:$O$805,7202,[1]خرداد!$D$2:$D$805,$F$12,[1]خرداد!$AC$2:$AC$805,S3)</f>
        <v>11</v>
      </c>
      <c r="T12" s="211">
        <f>SUMIFS([1]خرداد!$AF$2:$AF$805,[1]خرداد!$O$2:$O$805,7202,[1]خرداد!$D$2:$D$805,$F$12,[1]خرداد!$AC$2:$AC$805,T3)</f>
        <v>0</v>
      </c>
      <c r="U12" s="156">
        <f>SUMIFS([1]خرداد!$AF$2:$AF$805,[1]خرداد!$O$2:$O$805,7202,[1]خرداد!$D$2:$D$805,$F$12,[1]خرداد!$AC$2:$AC$805,U3)</f>
        <v>0</v>
      </c>
    </row>
    <row r="13" spans="1:21" ht="36" customHeight="1" thickBot="1" x14ac:dyDescent="0.3">
      <c r="A13" s="419">
        <v>6</v>
      </c>
      <c r="B13" s="415" t="s">
        <v>18</v>
      </c>
      <c r="C13" s="401">
        <v>7203</v>
      </c>
      <c r="D13" s="401">
        <v>62.5</v>
      </c>
      <c r="E13" s="401" t="s">
        <v>15</v>
      </c>
      <c r="F13" s="16" t="s">
        <v>45</v>
      </c>
      <c r="G13" s="4">
        <f t="shared" si="0"/>
        <v>54</v>
      </c>
      <c r="H13" s="67">
        <v>0</v>
      </c>
      <c r="I13" s="4">
        <v>0</v>
      </c>
      <c r="J13" s="4">
        <v>0</v>
      </c>
      <c r="K13" s="4">
        <v>0</v>
      </c>
      <c r="L13" s="4">
        <v>0</v>
      </c>
      <c r="M13" s="4">
        <f>(G13+H13+I13+J13+K13)-D13</f>
        <v>-8.5</v>
      </c>
      <c r="N13" s="399"/>
      <c r="O13" s="353">
        <f>SUMIFS([1]خرداد!$AF$2:$AF$805,[1]خرداد!$O$2:$O$805,7203,[1]خرداد!$D$2:$D$805,$F$13,[1]خرداد!$AC$2:$AC$805,O3)</f>
        <v>10</v>
      </c>
      <c r="P13" s="353">
        <f>SUMIFS([1]خرداد!$AF$2:$AF$805,[1]خرداد!$O$2:$O$805,7203,[1]خرداد!$D$2:$D$805,$F$13,[1]خرداد!$AC$2:$AC$805,P3)</f>
        <v>11</v>
      </c>
      <c r="Q13" s="353">
        <f>SUMIFS([1]خرداد!$AF$2:$AF$805,[1]خرداد!$O$2:$O$805,7203,[1]خرداد!$D$2:$D$805,$F$13,[1]خرداد!$AC$2:$AC$805,Q3)</f>
        <v>11</v>
      </c>
      <c r="R13" s="353">
        <f>SUMIFS([1]خرداد!$AF$2:$AF$805,[1]خرداد!$O$2:$O$805,7203,[1]خرداد!$D$2:$D$805,$F$13,[1]خرداد!$AC$2:$AC$805,R3)</f>
        <v>11</v>
      </c>
      <c r="S13" s="353">
        <f>SUMIFS([1]خرداد!$AF$2:$AF$805,[1]خرداد!$O$2:$O$805,7203,[1]خرداد!$D$2:$D$805,$F$13,[1]خرداد!$AC$2:$AC$805,S3)</f>
        <v>11</v>
      </c>
      <c r="T13" s="455">
        <f>SUMIFS([1]خرداد!$AF$2:$AF$805,[1]خرداد!$O$2:$O$805,7203,[1]خرداد!$D$2:$D$805,$F$13,[1]خرداد!$AC$2:$AC$805,T3)</f>
        <v>0</v>
      </c>
      <c r="U13" s="455">
        <f>SUMIFS([1]خرداد!$AF$2:$AF$805,[1]خرداد!$O$2:$O$805,7203,[1]خرداد!$D$2:$D$805,$F$13,[1]خرداد!$AC$2:$AC$805,U3)</f>
        <v>0</v>
      </c>
    </row>
    <row r="14" spans="1:21" ht="36" customHeight="1" thickBot="1" x14ac:dyDescent="0.3">
      <c r="A14" s="45">
        <v>7</v>
      </c>
      <c r="B14" s="12" t="s">
        <v>18</v>
      </c>
      <c r="C14" s="13">
        <v>7204</v>
      </c>
      <c r="D14" s="13">
        <v>62.5</v>
      </c>
      <c r="E14" s="13" t="s">
        <v>15</v>
      </c>
      <c r="F14" s="16" t="s">
        <v>45</v>
      </c>
      <c r="G14" s="14">
        <f t="shared" si="0"/>
        <v>0</v>
      </c>
      <c r="H14" s="48">
        <f t="shared" si="1"/>
        <v>0</v>
      </c>
      <c r="I14" s="14">
        <v>0</v>
      </c>
      <c r="J14" s="14">
        <v>0</v>
      </c>
      <c r="K14" s="14">
        <v>0</v>
      </c>
      <c r="L14" s="14">
        <v>0</v>
      </c>
      <c r="M14" s="14">
        <f>SUM(G14:J14)-62</f>
        <v>-62</v>
      </c>
      <c r="N14" s="61"/>
      <c r="O14" s="295">
        <f>SUMIFS([1]خرداد!$AF$2:$AF$805,[1]خرداد!$O$2:$O$805,7204,[1]خرداد!$D$2:$D$805,$F$14,[1]خرداد!$AC$2:$AC$805,O3)</f>
        <v>0</v>
      </c>
      <c r="P14" s="295">
        <f>SUMIFS([1]خرداد!$AF$2:$AF$805,[1]خرداد!$O$2:$O$805,7204,[1]خرداد!$D$2:$D$805,$F$14,[1]خرداد!$AC$2:$AC$805,P3)</f>
        <v>0</v>
      </c>
      <c r="Q14" s="295">
        <f>SUMIFS([1]خرداد!$AF$2:$AF$805,[1]خرداد!$O$2:$O$805,7204,[1]خرداد!$D$2:$D$805,$F$14,[1]خرداد!$AC$2:$AC$805,Q3)</f>
        <v>0</v>
      </c>
      <c r="R14" s="295">
        <f>SUMIFS([1]خرداد!$AF$2:$AF$805,[1]خرداد!$O$2:$O$805,7204,[1]خرداد!$D$2:$D$805,$F$14,[1]خرداد!$AC$2:$AC$805,R3)</f>
        <v>0</v>
      </c>
      <c r="S14" s="295">
        <f>SUMIFS([1]خرداد!$AF$2:$AF$805,[1]خرداد!$O$2:$O$805,7204,[1]خرداد!$D$2:$D$805,$F$14,[1]خرداد!$AC$2:$AC$805,S3)</f>
        <v>0</v>
      </c>
      <c r="T14" s="456">
        <f>SUMIFS([1]خرداد!$AF$2:$AF$805,[1]خرداد!$O$2:$O$805,7204,[1]خرداد!$D$2:$D$805,$F$14,[1]خرداد!$AC$2:$AC$805,T3)</f>
        <v>0</v>
      </c>
      <c r="U14" s="456">
        <f>SUMIFS([1]خرداد!$AF$2:$AF$805,[1]خرداد!$O$2:$O$805,7204,[1]خرداد!$D$2:$D$805,$F$14,[1]خرداد!$AC$2:$AC$805,U3)</f>
        <v>0</v>
      </c>
    </row>
    <row r="15" spans="1:21" ht="36" customHeight="1" thickBot="1" x14ac:dyDescent="0.3">
      <c r="A15" s="45">
        <v>8</v>
      </c>
      <c r="B15" s="12" t="s">
        <v>21</v>
      </c>
      <c r="C15" s="13">
        <v>7301</v>
      </c>
      <c r="D15" s="13">
        <v>62.5</v>
      </c>
      <c r="E15" s="13" t="s">
        <v>15</v>
      </c>
      <c r="F15" s="19" t="s">
        <v>22</v>
      </c>
      <c r="G15" s="14">
        <f t="shared" si="0"/>
        <v>0</v>
      </c>
      <c r="H15" s="48">
        <f t="shared" si="1"/>
        <v>0</v>
      </c>
      <c r="I15" s="14">
        <v>62.5</v>
      </c>
      <c r="J15" s="14">
        <v>0</v>
      </c>
      <c r="K15" s="14">
        <v>0</v>
      </c>
      <c r="L15" s="14">
        <v>0</v>
      </c>
      <c r="M15" s="14">
        <f>SUM(G15:L15)-D15</f>
        <v>0</v>
      </c>
      <c r="N15" s="15" t="s">
        <v>29</v>
      </c>
      <c r="O15" s="354">
        <f>SUMIFS([1]خرداد!$AF$2:$AF$805,[1]خرداد!$O$2:$O$805,7301,[1]خرداد!$D$2:$D$805,$F$15,[1]خرداد!$AC$2:$AC$805,O3)</f>
        <v>0</v>
      </c>
      <c r="P15" s="354">
        <f>SUMIFS([1]خرداد!$AF$2:$AF$805,[1]خرداد!$O$2:$O$805,7301,[1]خرداد!$D$2:$D$805,$F$15,[1]خرداد!$AC$2:$AC$805,P3)</f>
        <v>0</v>
      </c>
      <c r="Q15" s="354">
        <f>SUMIFS([1]خرداد!$AF$2:$AF$805,[1]خرداد!$O$2:$O$805,7301,[1]خرداد!$D$2:$D$805,$F$15,[1]خرداد!$AC$2:$AC$805,Q3)</f>
        <v>0</v>
      </c>
      <c r="R15" s="354">
        <f>SUMIFS([1]خرداد!$AF$2:$AF$805,[1]خرداد!$O$2:$O$805,7301,[1]خرداد!$D$2:$D$805,$F$15,[1]خرداد!$AC$2:$AC$805,R3)</f>
        <v>0</v>
      </c>
      <c r="S15" s="354">
        <f>SUMIFS([1]خرداد!$AF$2:$AF$805,[1]خرداد!$O$2:$O$805,7301,[1]خرداد!$D$2:$D$805,$F$15,[1]خرداد!$AC$2:$AC$805,S3)</f>
        <v>0</v>
      </c>
      <c r="T15" s="394">
        <f>SUMIFS([1]خرداد!$AF$2:$AF$805,[1]خرداد!$O$2:$O$805,7301,[1]خرداد!$D$2:$D$805,$F$15,[1]خرداد!$AC$2:$AC$805,T3)</f>
        <v>0</v>
      </c>
      <c r="U15" s="394">
        <f>SUMIFS([1]خرداد!$AF$2:$AF$805,[1]خرداد!$O$2:$O$805,7301,[1]خرداد!$D$2:$D$805,$F$15,[1]خرداد!$AC$2:$AC$805,U3)</f>
        <v>0</v>
      </c>
    </row>
    <row r="16" spans="1:21" ht="36" customHeight="1" x14ac:dyDescent="0.25">
      <c r="A16" s="420"/>
      <c r="B16" s="216"/>
      <c r="C16" s="224"/>
      <c r="D16" s="413"/>
      <c r="E16" s="932" t="s">
        <v>15</v>
      </c>
      <c r="F16" s="22" t="s">
        <v>17</v>
      </c>
      <c r="G16" s="1">
        <f t="shared" si="0"/>
        <v>49.5</v>
      </c>
      <c r="H16" s="49">
        <v>0</v>
      </c>
      <c r="I16" s="1">
        <v>13</v>
      </c>
      <c r="J16" s="1">
        <v>0</v>
      </c>
      <c r="K16" s="1">
        <v>0</v>
      </c>
      <c r="L16" s="1">
        <v>0</v>
      </c>
      <c r="M16" s="4"/>
      <c r="N16" s="999" t="s">
        <v>44</v>
      </c>
      <c r="O16" s="165">
        <f>SUMIFS([1]خرداد!$AF$2:$AF$805,[1]خرداد!$O$2:$O$805,7302,[1]خرداد!$D$2:$D$805,$F$16,[1]خرداد!$AC$2:$AC$805,O3)</f>
        <v>11</v>
      </c>
      <c r="P16" s="169">
        <f>SUMIFS([1]خرداد!$AF$2:$AF$805,[1]خرداد!$O$2:$O$805,7302,[1]خرداد!$D$2:$D$805,$F$16,[1]خرداد!$AC$2:$AC$805,P3)</f>
        <v>7.5</v>
      </c>
      <c r="Q16" s="169">
        <f>SUMIFS([1]خرداد!$AF$2:$AF$805,[1]خرداد!$O$2:$O$805,7302,[1]خرداد!$D$2:$D$805,$F$16,[1]خرداد!$AC$2:$AC$805,Q3)</f>
        <v>10</v>
      </c>
      <c r="R16" s="169">
        <f>SUMIFS([1]خرداد!$AF$2:$AF$805,[1]خرداد!$O$2:$O$805,7302,[1]خرداد!$D$2:$D$805,$F$16,[1]خرداد!$AC$2:$AC$805,R3)</f>
        <v>10</v>
      </c>
      <c r="S16" s="169">
        <f>SUMIFS([1]خرداد!$AF$2:$AF$805,[1]خرداد!$O$2:$O$805,7302,[1]خرداد!$D$2:$D$805,$F$16,[1]خرداد!$AC$2:$AC$805,S3)</f>
        <v>11</v>
      </c>
      <c r="T16" s="98">
        <f>SUMIFS([1]خرداد!$AF$2:$AF$805,[1]خرداد!$O$2:$O$805,7302,[1]خرداد!$D$2:$D$805,$F$16,[1]خرداد!$AC$2:$AC$805,T3)</f>
        <v>0</v>
      </c>
      <c r="U16" s="107">
        <f>SUMIFS([1]خرداد!$AF$2:$AF$805,[1]خرداد!$O$2:$O$805,7302,[1]خرداد!$D$2:$D$805,$F$16,[1]خرداد!$AC$2:$AC$805,U3)</f>
        <v>0</v>
      </c>
    </row>
    <row r="17" spans="1:21" ht="36" customHeight="1" x14ac:dyDescent="0.25">
      <c r="A17" s="420">
        <v>9</v>
      </c>
      <c r="B17" s="216" t="s">
        <v>21</v>
      </c>
      <c r="C17" s="308">
        <v>7302</v>
      </c>
      <c r="D17" s="401">
        <v>62.5</v>
      </c>
      <c r="E17" s="933"/>
      <c r="F17" s="22"/>
      <c r="G17" s="3">
        <f t="shared" si="0"/>
        <v>0</v>
      </c>
      <c r="H17" s="47">
        <f t="shared" si="1"/>
        <v>0</v>
      </c>
      <c r="I17" s="3">
        <v>0</v>
      </c>
      <c r="J17" s="3">
        <v>0</v>
      </c>
      <c r="K17" s="3">
        <v>0</v>
      </c>
      <c r="L17" s="3">
        <v>0</v>
      </c>
      <c r="M17" s="4">
        <f>SUM(G16:L18)-D17</f>
        <v>0</v>
      </c>
      <c r="N17" s="1000"/>
      <c r="O17" s="166">
        <f>SUMIFS([1]خرداد!$AF$2:$AF$805,[1]خرداد!$O$2:$O$805,7302,[1]خرداد!$D$2:$D$805,$F$17,[1]خرداد!$AC$2:$AC$805,O3)</f>
        <v>0</v>
      </c>
      <c r="P17" s="168">
        <f>SUMIFS([1]خرداد!$AF$2:$AF$805,[1]خرداد!$O$2:$O$805,7302,[1]خرداد!$D$2:$D$805,$F$17,[1]خرداد!$AC$2:$AC$805,P3)</f>
        <v>0</v>
      </c>
      <c r="Q17" s="168">
        <f>SUMIFS([1]خرداد!$AF$2:$AF$805,[1]خرداد!$O$2:$O$805,7302,[1]خرداد!$D$2:$D$805,$F$17,[1]خرداد!$AC$2:$AC$805,Q3)</f>
        <v>0</v>
      </c>
      <c r="R17" s="168">
        <f>SUMIFS([1]خرداد!$AF$2:$AF$805,[1]خرداد!$O$2:$O$805,7302,[1]خرداد!$D$2:$D$805,$F$17,[1]خرداد!$AC$2:$AC$805,R3)</f>
        <v>0</v>
      </c>
      <c r="S17" s="168">
        <f>SUMIFS([1]خرداد!$AF$2:$AF$805,[1]خرداد!$O$2:$O$805,7302,[1]خرداد!$D$2:$D$805,$F$17,[1]خرداد!$AC$2:$AC$805,S3)</f>
        <v>0</v>
      </c>
      <c r="T17" s="96">
        <f>SUMIFS([1]خرداد!$AF$2:$AF$805,[1]خرداد!$O$2:$O$805,7302,[1]خرداد!$D$2:$D$805,$F$17,[1]خرداد!$AC$2:$AC$805,T3)</f>
        <v>0</v>
      </c>
      <c r="U17" s="108">
        <f>SUMIFS([1]خرداد!$AF$2:$AF$805,[1]خرداد!$O$2:$O$805,7302,[1]خرداد!$D$2:$D$805,$F$17,[1]خرداد!$AC$2:$AC$805,U3)</f>
        <v>0</v>
      </c>
    </row>
    <row r="18" spans="1:21" ht="36" customHeight="1" thickBot="1" x14ac:dyDescent="0.3">
      <c r="A18" s="421"/>
      <c r="B18" s="43"/>
      <c r="C18" s="310"/>
      <c r="D18" s="404"/>
      <c r="E18" s="934"/>
      <c r="F18" s="5"/>
      <c r="G18" s="1">
        <f t="shared" si="0"/>
        <v>0</v>
      </c>
      <c r="H18" s="49">
        <f t="shared" si="1"/>
        <v>0</v>
      </c>
      <c r="I18" s="7">
        <v>0</v>
      </c>
      <c r="J18" s="7">
        <v>0</v>
      </c>
      <c r="K18" s="6">
        <v>0</v>
      </c>
      <c r="L18" s="6">
        <v>0</v>
      </c>
      <c r="M18" s="6"/>
      <c r="N18" s="1001"/>
      <c r="O18" s="171">
        <f>SUMIFS([1]اردیبهشت!$AD$2:$AD$805,[1]اردیبهشت!$N$2:$N$805,$C$17,[1]اردیبهشت!$D$2:$D$805,$F$17,[1]اردیبهشت!$AA$2:$AA$805,O4)</f>
        <v>0</v>
      </c>
      <c r="P18" s="172">
        <f>SUMIFS([1]اردیبهشت!$AD$2:$AD$805,[1]اردیبهشت!$N$2:$N$805,$C$17,[1]اردیبهشت!$D$2:$D$805,$F$17,[1]اردیبهشت!$AA$2:$AA$805,P4)</f>
        <v>0</v>
      </c>
      <c r="Q18" s="172">
        <f>SUMIFS([1]اردیبهشت!$AD$2:$AD$805,[1]اردیبهشت!$N$2:$N$805,$C$17,[1]اردیبهشت!$D$2:$D$805,$F$17,[1]اردیبهشت!$AA$2:$AA$805,Q4)</f>
        <v>0</v>
      </c>
      <c r="R18" s="172">
        <f>SUMIFS([1]اردیبهشت!$AD$2:$AD$805,[1]اردیبهشت!$N$2:$N$805,$C$17,[1]اردیبهشت!$D$2:$D$805,$F$17,[1]اردیبهشت!$AA$2:$AA$805,R4)</f>
        <v>0</v>
      </c>
      <c r="S18" s="172">
        <f>SUMIFS([1]اردیبهشت!$AD$2:$AD$805,[1]اردیبهشت!$N$2:$N$805,$C$17,[1]اردیبهشت!$D$2:$D$805,$F$17,[1]اردیبهشت!$AA$2:$AA$805,S4)</f>
        <v>0</v>
      </c>
      <c r="T18" s="103">
        <f>SUMIFS([1]اردیبهشت!$AD$2:$AD$805,[1]اردیبهشت!$N$2:$N$805,$C$17,[1]اردیبهشت!$D$2:$D$805,$F$17,[1]اردیبهشت!$AA$2:$AA$805,T4)</f>
        <v>0</v>
      </c>
      <c r="U18" s="109">
        <f>SUMIFS([1]خرداد!$AF$2:$AF$700,[1]خرداد!$O$2:$O$700,7101,[1]خرداد!$D$2:$D$700,$F$4,[1]خرداد!$AC$2:$AC$700,U17)</f>
        <v>0</v>
      </c>
    </row>
    <row r="19" spans="1:21" ht="36" customHeight="1" thickBot="1" x14ac:dyDescent="0.3">
      <c r="A19" s="147">
        <v>10</v>
      </c>
      <c r="B19" s="418" t="s">
        <v>21</v>
      </c>
      <c r="C19" s="402">
        <v>7303</v>
      </c>
      <c r="D19" s="402">
        <v>44</v>
      </c>
      <c r="E19" s="402" t="s">
        <v>19</v>
      </c>
      <c r="F19" s="144" t="s">
        <v>23</v>
      </c>
      <c r="G19" s="85">
        <f t="shared" si="0"/>
        <v>9.5</v>
      </c>
      <c r="H19" s="86">
        <f t="shared" si="1"/>
        <v>0</v>
      </c>
      <c r="I19" s="89">
        <v>4</v>
      </c>
      <c r="J19" s="89">
        <v>0</v>
      </c>
      <c r="K19" s="89">
        <v>8</v>
      </c>
      <c r="L19" s="89">
        <v>0</v>
      </c>
      <c r="M19" s="89">
        <f>SUM(G19:L19)-44</f>
        <v>-22.5</v>
      </c>
      <c r="N19" s="305" t="s">
        <v>29</v>
      </c>
      <c r="O19" s="179">
        <f>SUMIFS([1]خرداد!$AF$2:$AF$805,[1]خرداد!$O$2:$O$805,7303,[1]خرداد!$D$2:$D$805,$F$19,[1]خرداد!$AC$2:$AC$805,O3)</f>
        <v>0</v>
      </c>
      <c r="P19" s="186">
        <f>SUMIFS([1]خرداد!$AF$2:$AF$805,[1]خرداد!$O$2:$O$805,7303,[1]خرداد!$D$2:$D$805,$F$19,[1]خرداد!$AC$2:$AC$805,P3)</f>
        <v>0</v>
      </c>
      <c r="Q19" s="186">
        <f>SUMIFS([1]خرداد!$AF$2:$AF$805,[1]خرداد!$O$2:$O$805,7303,[1]خرداد!$D$2:$D$805,$F$19,[1]خرداد!$AC$2:$AC$805,Q3)</f>
        <v>0</v>
      </c>
      <c r="R19" s="186">
        <f>SUMIFS([1]خرداد!$AF$2:$AF$805,[1]خرداد!$O$2:$O$805,7303,[1]خرداد!$D$2:$D$805,$F$19,[1]خرداد!$AC$2:$AC$805,R3)</f>
        <v>2</v>
      </c>
      <c r="S19" s="186">
        <f>SUMIFS([1]خرداد!$AF$2:$AF$805,[1]خرداد!$O$2:$O$805,7303,[1]خرداد!$D$2:$D$805,$F$19,[1]خرداد!$AC$2:$AC$805,S3)</f>
        <v>7.5</v>
      </c>
      <c r="T19" s="106">
        <f>SUMIFS([1]خرداد!$AF$2:$AF$805,[1]خرداد!$O$2:$O$805,7303,[1]خرداد!$D$2:$D$805,$F$19,[1]خرداد!$AC$2:$AC$805,T3)</f>
        <v>0</v>
      </c>
      <c r="U19" s="118">
        <f>SUMIFS([1]خرداد!$AF$2:$AF$805,[1]خرداد!$O$2:$O$805,7303,[1]خرداد!$D$2:$D$805,$F$19,[1]خرداد!$AC$2:$AC$805,U3)</f>
        <v>0</v>
      </c>
    </row>
    <row r="20" spans="1:21" ht="32.25" customHeight="1" x14ac:dyDescent="0.25">
      <c r="A20" s="419"/>
      <c r="B20" s="42"/>
      <c r="C20" s="307"/>
      <c r="D20" s="403"/>
      <c r="E20" s="932" t="s">
        <v>15</v>
      </c>
      <c r="F20" s="20" t="s">
        <v>16</v>
      </c>
      <c r="G20" s="9">
        <f t="shared" si="0"/>
        <v>6</v>
      </c>
      <c r="H20" s="46">
        <f t="shared" si="1"/>
        <v>0</v>
      </c>
      <c r="I20" s="9">
        <v>0</v>
      </c>
      <c r="J20" s="9">
        <v>0</v>
      </c>
      <c r="K20" s="9">
        <v>0</v>
      </c>
      <c r="L20" s="9">
        <v>0</v>
      </c>
      <c r="M20" s="21"/>
      <c r="N20" s="931" t="s">
        <v>53</v>
      </c>
      <c r="O20" s="165">
        <f>SUMIFS([1]خرداد!$AF$2:$AF$805,[1]خرداد!$O$2:$O$805,7401,[1]خرداد!$D$2:$D$805,$F$20,[1]خرداد!$AC$2:$AC$805,O3)</f>
        <v>1</v>
      </c>
      <c r="P20" s="169">
        <f>SUMIFS([1]خرداد!$AF$2:$AF$805,[1]خرداد!$O$2:$O$805,7401,[1]خرداد!$D$2:$D$805,$F$20,[1]خرداد!$AC$2:$AC$805,P3)</f>
        <v>2.5</v>
      </c>
      <c r="Q20" s="169">
        <f>SUMIFS([1]خرداد!$AF$2:$AF$805,[1]خرداد!$O$2:$O$805,7401,[1]خرداد!$D$2:$D$805,$F$20,[1]خرداد!$AC$2:$AC$805,Q3)</f>
        <v>0</v>
      </c>
      <c r="R20" s="169">
        <f>SUMIFS([1]خرداد!$AF$2:$AF$805,[1]خرداد!$O$2:$O$805,7401,[1]خرداد!$D$2:$D$805,$F$20,[1]خرداد!$AC$2:$AC$805,R3)</f>
        <v>2.5</v>
      </c>
      <c r="S20" s="169">
        <f>SUMIFS([1]خرداد!$AF$2:$AF$805,[1]خرداد!$O$2:$O$805,7401,[1]خرداد!$D$2:$D$805,$F$20,[1]خرداد!$AC$2:$AC$805,S3)</f>
        <v>0</v>
      </c>
      <c r="T20" s="98">
        <f>SUMIFS([1]خرداد!$AF$2:$AF$805,[1]خرداد!$O$2:$O$805,7401,[1]خرداد!$D$2:$D$805,$F$20,[1]خرداد!$AC$2:$AC$805,T3)</f>
        <v>0</v>
      </c>
      <c r="U20" s="107">
        <f>SUMIFS([1]خرداد!$AF$2:$AF$805,[1]خرداد!$O$2:$O$805,7401,[1]خرداد!$D$2:$D$805,$F$20,[1]خرداد!$AC$2:$AC$805,U3)</f>
        <v>0</v>
      </c>
    </row>
    <row r="21" spans="1:21" ht="32.25" customHeight="1" x14ac:dyDescent="0.25">
      <c r="A21" s="420">
        <v>11</v>
      </c>
      <c r="B21" s="216" t="s">
        <v>24</v>
      </c>
      <c r="C21" s="308">
        <v>7401</v>
      </c>
      <c r="D21" s="401">
        <v>62.5</v>
      </c>
      <c r="E21" s="933"/>
      <c r="F21" s="22"/>
      <c r="G21" s="3">
        <f t="shared" si="0"/>
        <v>0</v>
      </c>
      <c r="H21" s="47">
        <f t="shared" si="1"/>
        <v>0</v>
      </c>
      <c r="I21" s="3">
        <v>0</v>
      </c>
      <c r="J21" s="3">
        <v>0</v>
      </c>
      <c r="K21" s="3">
        <v>0</v>
      </c>
      <c r="L21" s="3">
        <v>0</v>
      </c>
      <c r="M21" s="1">
        <f>SUM(G20:L22)-D21</f>
        <v>-56.5</v>
      </c>
      <c r="N21" s="929"/>
      <c r="O21" s="166">
        <f>SUMIFS([1]اردیبهشت!$AF$2:$AF$805,[1]اردیبهشت!$O$2:$O$805,7401,[1]اردیبهشت!$D$2:$D$805,$F$21,[1]اردیبهشت!$AC$2:$AC$805,O3)</f>
        <v>0</v>
      </c>
      <c r="P21" s="168">
        <f>SUMIFS([1]اردیبهشت!$AF$2:$AF$805,[1]اردیبهشت!$O$2:$O$805,7401,[1]اردیبهشت!$D$2:$D$805,$F$21,[1]اردیبهشت!$AC$2:$AC$805,P3)</f>
        <v>0</v>
      </c>
      <c r="Q21" s="168">
        <f>SUMIFS([1]اردیبهشت!$AF$2:$AF$805,[1]اردیبهشت!$O$2:$O$805,7401,[1]اردیبهشت!$D$2:$D$805,$F$21,[1]اردیبهشت!$AC$2:$AC$805,Q3)</f>
        <v>0</v>
      </c>
      <c r="R21" s="168">
        <f>SUMIFS([1]اردیبهشت!$AF$2:$AF$805,[1]اردیبهشت!$O$2:$O$805,7401,[1]اردیبهشت!$D$2:$D$805,$F$21,[1]اردیبهشت!$AC$2:$AC$805,R3)</f>
        <v>0</v>
      </c>
      <c r="S21" s="168">
        <f>SUMIFS([1]اردیبهشت!$AF$2:$AF$805,[1]اردیبهشت!$O$2:$O$805,7401,[1]اردیبهشت!$D$2:$D$805,$F$21,[1]اردیبهشت!$AC$2:$AC$805,S3)</f>
        <v>0</v>
      </c>
      <c r="T21" s="96">
        <f>SUMIFS([1]اردیبهشت!$AF$2:$AF$805,[1]اردیبهشت!$O$2:$O$805,7401,[1]اردیبهشت!$D$2:$D$805,$F$21,[1]اردیبهشت!$AC$2:$AC$805,T3)</f>
        <v>0</v>
      </c>
      <c r="U21" s="108">
        <f>SUMIFS([1]خرداد!$AF$2:$AF$700,[1]خرداد!$O$2:$O$700,7101,[1]خرداد!$D$2:$D$700,$F$4,[1]خرداد!$AC$2:$AC$700,U20)</f>
        <v>0</v>
      </c>
    </row>
    <row r="22" spans="1:21" ht="32.25" customHeight="1" thickBot="1" x14ac:dyDescent="0.3">
      <c r="A22" s="421"/>
      <c r="B22" s="43" t="s">
        <v>24</v>
      </c>
      <c r="C22" s="310"/>
      <c r="D22" s="401"/>
      <c r="E22" s="934"/>
      <c r="F22" s="5"/>
      <c r="G22" s="1">
        <f t="shared" si="0"/>
        <v>0</v>
      </c>
      <c r="H22" s="49">
        <f t="shared" si="1"/>
        <v>0</v>
      </c>
      <c r="I22" s="7">
        <v>0</v>
      </c>
      <c r="J22" s="7">
        <v>0</v>
      </c>
      <c r="K22" s="6">
        <v>0</v>
      </c>
      <c r="L22" s="6">
        <v>0</v>
      </c>
      <c r="M22" s="6"/>
      <c r="N22" s="930"/>
      <c r="O22" s="171">
        <f>SUMIFS([1]اردیبهشت!$AD$2:$AD$805,[1]اردیبهشت!$N$2:$N$805,$C$22,[1]اردیبهشت!$D$2:$D$805,$F$22,[1]اردیبهشت!$AA$2:$AA$805,O3)</f>
        <v>0</v>
      </c>
      <c r="P22" s="172">
        <f>SUMIFS([1]اردیبهشت!$AD$2:$AD$805,[1]اردیبهشت!$N$2:$N$805,$C$22,[1]اردیبهشت!$D$2:$D$805,$F$22,[1]اردیبهشت!$AA$2:$AA$805,P3)</f>
        <v>0</v>
      </c>
      <c r="Q22" s="172">
        <f>SUMIFS([1]اردیبهشت!$AD$2:$AD$805,[1]اردیبهشت!$N$2:$N$805,$C$22,[1]اردیبهشت!$D$2:$D$805,$F$22,[1]اردیبهشت!$AA$2:$AA$805,Q3)</f>
        <v>0</v>
      </c>
      <c r="R22" s="172">
        <f>SUMIFS([1]اردیبهشت!$AD$2:$AD$805,[1]اردیبهشت!$N$2:$N$805,$C$22,[1]اردیبهشت!$D$2:$D$805,$F$22,[1]اردیبهشت!$AA$2:$AA$805,R3)</f>
        <v>0</v>
      </c>
      <c r="S22" s="172">
        <f>SUMIFS([1]اردیبهشت!$AD$2:$AD$805,[1]اردیبهشت!$N$2:$N$805,$C$22,[1]اردیبهشت!$D$2:$D$805,$F$22,[1]اردیبهشت!$AA$2:$AA$805,S3)</f>
        <v>0</v>
      </c>
      <c r="T22" s="103">
        <f>SUMIFS([1]اردیبهشت!$AD$2:$AD$805,[1]اردیبهشت!$N$2:$N$805,$C$22,[1]اردیبهشت!$D$2:$D$805,$F$22,[1]اردیبهشت!$AA$2:$AA$805,T3)</f>
        <v>0</v>
      </c>
      <c r="U22" s="109">
        <f>SUMIFS([1]خرداد!$AF$2:$AF$700,[1]خرداد!$O$2:$O$700,7101,[1]خرداد!$D$2:$D$700,$F$4,[1]خرداد!$AC$2:$AC$700,U21)</f>
        <v>0</v>
      </c>
    </row>
    <row r="23" spans="1:21" ht="36" customHeight="1" x14ac:dyDescent="0.25">
      <c r="A23" s="419"/>
      <c r="B23" s="307"/>
      <c r="C23" s="403"/>
      <c r="D23" s="403"/>
      <c r="E23" s="932" t="s">
        <v>19</v>
      </c>
      <c r="F23" s="20"/>
      <c r="G23" s="9">
        <f t="shared" si="0"/>
        <v>0</v>
      </c>
      <c r="H23" s="46">
        <f t="shared" si="1"/>
        <v>0</v>
      </c>
      <c r="I23" s="9">
        <v>0</v>
      </c>
      <c r="J23" s="9">
        <v>0</v>
      </c>
      <c r="K23" s="9">
        <v>0</v>
      </c>
      <c r="L23" s="9">
        <v>0</v>
      </c>
      <c r="M23" s="21"/>
      <c r="N23" s="931" t="s">
        <v>28</v>
      </c>
      <c r="O23" s="173">
        <f>SUMIFS([1]اردیبهشت!$AD$2:$AD$805,[1]اردیبهشت!$N$2:$N$805,$C$23,[1]اردیبهشت!$D$2:$D$805,$F$23,[1]اردیبهشت!$AA$2:$AA$805,O3)</f>
        <v>0</v>
      </c>
      <c r="P23" s="173">
        <f>SUMIFS([1]اردیبهشت!$AD$2:$AD$805,[1]اردیبهشت!$N$2:$N$805,$C$23,[1]اردیبهشت!$D$2:$D$805,$F$23,[1]اردیبهشت!$AA$2:$AA$805,P3)</f>
        <v>0</v>
      </c>
      <c r="Q23" s="173">
        <f>SUMIFS([1]اردیبهشت!$AD$2:$AD$805,[1]اردیبهشت!$N$2:$N$805,$C$23,[1]اردیبهشت!$D$2:$D$805,$F$23,[1]اردیبهشت!$AA$2:$AA$805,Q3)</f>
        <v>0</v>
      </c>
      <c r="R23" s="173">
        <f>SUMIFS([1]اردیبهشت!$AD$2:$AD$805,[1]اردیبهشت!$N$2:$N$805,$C$23,[1]اردیبهشت!$D$2:$D$805,$F$23,[1]اردیبهشت!$AA$2:$AA$805,R3)</f>
        <v>0</v>
      </c>
      <c r="S23" s="173">
        <f>SUMIFS([1]اردیبهشت!$AD$2:$AD$805,[1]اردیبهشت!$N$2:$N$805,$C$23,[1]اردیبهشت!$D$2:$D$805,$F$23,[1]اردیبهشت!$AA$2:$AA$805,S3)</f>
        <v>0</v>
      </c>
      <c r="T23" s="457">
        <f>SUMIFS([1]اردیبهشت!$AD$2:$AD$805,[1]اردیبهشت!$N$2:$N$805,$C$23,[1]اردیبهشت!$D$2:$D$805,$F$23,[1]اردیبهشت!$AA$2:$AA$805,T3)</f>
        <v>0</v>
      </c>
      <c r="U23" s="110">
        <f>SUMIFS([1]خرداد!$AF$2:$AF$700,[1]خرداد!$O$2:$O$700,7101,[1]خرداد!$D$2:$D$700,$F$4,[1]خرداد!$AC$2:$AC$700,U22)</f>
        <v>0</v>
      </c>
    </row>
    <row r="24" spans="1:21" ht="36" customHeight="1" x14ac:dyDescent="0.25">
      <c r="A24" s="420">
        <v>12</v>
      </c>
      <c r="B24" s="308" t="s">
        <v>25</v>
      </c>
      <c r="C24" s="410">
        <v>7501</v>
      </c>
      <c r="D24" s="401">
        <v>62.5</v>
      </c>
      <c r="E24" s="933"/>
      <c r="F24" s="22" t="s">
        <v>36</v>
      </c>
      <c r="G24" s="3">
        <f t="shared" si="0"/>
        <v>0</v>
      </c>
      <c r="H24" s="47">
        <f t="shared" si="1"/>
        <v>0</v>
      </c>
      <c r="I24" s="3">
        <v>0</v>
      </c>
      <c r="J24" s="3">
        <v>62.5</v>
      </c>
      <c r="K24" s="3">
        <v>0</v>
      </c>
      <c r="L24" s="3">
        <v>0</v>
      </c>
      <c r="M24" s="1">
        <f>SUM(G23:L25)-D24</f>
        <v>0</v>
      </c>
      <c r="N24" s="929"/>
      <c r="O24" s="166">
        <f>SUMIFS([1]اردیبهشت!$AD$2:$AD$805,[1]اردیبهشت!$N$2:$N$805,$C$24,[1]اردیبهشت!$D$2:$D$805,$F$24,[1]اردیبهشت!$AA$2:$AA$805,O3)</f>
        <v>0</v>
      </c>
      <c r="P24" s="166">
        <f>SUMIFS([1]اردیبهشت!$AD$2:$AD$805,[1]اردیبهشت!$N$2:$N$805,$C$24,[1]اردیبهشت!$D$2:$D$805,$F$24,[1]اردیبهشت!$AA$2:$AA$805,P3)</f>
        <v>0</v>
      </c>
      <c r="Q24" s="166">
        <f>SUMIFS([1]اردیبهشت!$AD$2:$AD$805,[1]اردیبهشت!$N$2:$N$805,$C$24,[1]اردیبهشت!$D$2:$D$805,$F$24,[1]اردیبهشت!$AA$2:$AA$805,Q3)</f>
        <v>0</v>
      </c>
      <c r="R24" s="166">
        <f>SUMIFS([1]اردیبهشت!$AD$2:$AD$805,[1]اردیبهشت!$N$2:$N$805,$C$24,[1]اردیبهشت!$D$2:$D$805,$F$24,[1]اردیبهشت!$AA$2:$AA$805,R3)</f>
        <v>0</v>
      </c>
      <c r="S24" s="166">
        <f>SUMIFS([1]اردیبهشت!$AD$2:$AD$805,[1]اردیبهشت!$N$2:$N$805,$C$24,[1]اردیبهشت!$D$2:$D$805,$F$24,[1]اردیبهشت!$AA$2:$AA$805,S3)</f>
        <v>0</v>
      </c>
      <c r="T24" s="160">
        <f>SUMIFS([1]اردیبهشت!$AD$2:$AD$805,[1]اردیبهشت!$N$2:$N$805,$C$24,[1]اردیبهشت!$D$2:$D$805,$F$24,[1]اردیبهشت!$AA$2:$AA$805,T3)</f>
        <v>0</v>
      </c>
      <c r="U24" s="108">
        <f>SUMIFS([1]خرداد!$AF$2:$AF$700,[1]خرداد!$O$2:$O$700,7101,[1]خرداد!$D$2:$D$700,$F$4,[1]خرداد!$AC$2:$AC$700,U23)</f>
        <v>0</v>
      </c>
    </row>
    <row r="25" spans="1:21" ht="36" customHeight="1" thickBot="1" x14ac:dyDescent="0.3">
      <c r="A25" s="421"/>
      <c r="B25" s="310"/>
      <c r="C25" s="404"/>
      <c r="D25" s="404"/>
      <c r="E25" s="934"/>
      <c r="F25" s="5"/>
      <c r="G25" s="6">
        <f t="shared" si="0"/>
        <v>0</v>
      </c>
      <c r="H25" s="64">
        <f t="shared" si="1"/>
        <v>0</v>
      </c>
      <c r="I25" s="7">
        <v>0</v>
      </c>
      <c r="J25" s="7">
        <v>0</v>
      </c>
      <c r="K25" s="6">
        <v>0</v>
      </c>
      <c r="L25" s="6">
        <v>0</v>
      </c>
      <c r="M25" s="6"/>
      <c r="N25" s="930"/>
      <c r="O25" s="167">
        <f>SUMIFS([1]اردیبهشت!$AD$2:$AD$805,[1]اردیبهشت!$N$2:$N$805,$C$24,[1]اردیبهشت!$D$2:$D$805,$F$25,[1]اردیبهشت!$AA$2:$AA$805,O3)</f>
        <v>0</v>
      </c>
      <c r="P25" s="167">
        <f>SUMIFS([1]اردیبهشت!$AD$2:$AD$805,[1]اردیبهشت!$N$2:$N$805,$C$24,[1]اردیبهشت!$D$2:$D$805,$F$25,[1]اردیبهشت!$AA$2:$AA$805,P3)</f>
        <v>0</v>
      </c>
      <c r="Q25" s="167">
        <f>SUMIFS([1]اردیبهشت!$AD$2:$AD$805,[1]اردیبهشت!$N$2:$N$805,$C$24,[1]اردیبهشت!$D$2:$D$805,$F$25,[1]اردیبهشت!$AA$2:$AA$805,Q3)</f>
        <v>0</v>
      </c>
      <c r="R25" s="167">
        <f>SUMIFS([1]اردیبهشت!$AD$2:$AD$805,[1]اردیبهشت!$N$2:$N$805,$C$24,[1]اردیبهشت!$D$2:$D$805,$F$25,[1]اردیبهشت!$AA$2:$AA$805,R3)</f>
        <v>0</v>
      </c>
      <c r="S25" s="167">
        <f>SUMIFS([1]اردیبهشت!$AD$2:$AD$805,[1]اردیبهشت!$N$2:$N$805,$C$24,[1]اردیبهشت!$D$2:$D$805,$F$25,[1]اردیبهشت!$AA$2:$AA$805,S3)</f>
        <v>0</v>
      </c>
      <c r="T25" s="161">
        <f>SUMIFS([1]اردیبهشت!$AD$2:$AD$805,[1]اردیبهشت!$N$2:$N$805,$C$24,[1]اردیبهشت!$D$2:$D$805,$F$25,[1]اردیبهشت!$AA$2:$AA$805,T3)</f>
        <v>0</v>
      </c>
      <c r="U25" s="114">
        <f>SUMIFS([1]خرداد!$AF$2:$AF$700,[1]خرداد!$O$2:$O$700,7101,[1]خرداد!$D$2:$D$700,$F$4,[1]خرداد!$AC$2:$AC$700,U24)</f>
        <v>0</v>
      </c>
    </row>
    <row r="26" spans="1:21" ht="43.5" customHeight="1" x14ac:dyDescent="0.25">
      <c r="A26" s="420"/>
      <c r="B26" s="224"/>
      <c r="C26" s="413"/>
      <c r="D26" s="413"/>
      <c r="E26" s="936" t="s">
        <v>50</v>
      </c>
      <c r="F26" s="27" t="s">
        <v>36</v>
      </c>
      <c r="G26" s="1">
        <f t="shared" si="0"/>
        <v>54</v>
      </c>
      <c r="H26" s="49">
        <v>0</v>
      </c>
      <c r="I26" s="93">
        <v>0</v>
      </c>
      <c r="J26" s="93">
        <v>0</v>
      </c>
      <c r="K26" s="93">
        <v>0</v>
      </c>
      <c r="L26" s="93">
        <v>0</v>
      </c>
      <c r="M26" s="4"/>
      <c r="N26" s="988" t="s">
        <v>42</v>
      </c>
      <c r="O26" s="165">
        <f>SUMIFS([1]خرداد!$AF$2:$AF$805,[1]خرداد!$O$2:$O$805,7502,[1]خرداد!$D$2:$D$805,$F$26,[1]خرداد!$AC$2:$AC$805,O3)</f>
        <v>10</v>
      </c>
      <c r="P26" s="169">
        <f>SUMIFS([1]خرداد!$AF$2:$AF$805,[1]خرداد!$O$2:$O$805,7502,[1]خرداد!$D$2:$D$805,$F$26,[1]خرداد!$AC$2:$AC$805,P3)</f>
        <v>11</v>
      </c>
      <c r="Q26" s="169">
        <f>SUMIFS([1]خرداد!$AF$2:$AF$805,[1]خرداد!$O$2:$O$805,7502,[1]خرداد!$D$2:$D$805,$F$26,[1]خرداد!$AC$2:$AC$805,Q3)</f>
        <v>11</v>
      </c>
      <c r="R26" s="169">
        <f>SUMIFS([1]خرداد!$AF$2:$AF$805,[1]خرداد!$O$2:$O$805,7502,[1]خرداد!$D$2:$D$805,$F$26,[1]خرداد!$AC$2:$AC$805,R3)</f>
        <v>11</v>
      </c>
      <c r="S26" s="169">
        <f>SUMIFS([1]خرداد!$AF$2:$AF$805,[1]خرداد!$O$2:$O$805,7502,[1]خرداد!$D$2:$D$805,$F$26,[1]خرداد!$AC$2:$AC$805,S3)</f>
        <v>11</v>
      </c>
      <c r="T26" s="98">
        <f>SUMIFS([1]خرداد!$AF$2:$AF$805,[1]خرداد!$O$2:$O$805,7502,[1]خرداد!$D$2:$D$805,$F$26,[1]خرداد!$AC$2:$AC$805,T3)</f>
        <v>0</v>
      </c>
      <c r="U26" s="107">
        <f>SUMIFS([1]خرداد!$AF$2:$AF$805,[1]خرداد!$O$2:$O$805,7502,[1]خرداد!$D$2:$D$805,$F$26,[1]خرداد!$AC$2:$AC$805,U3)</f>
        <v>0</v>
      </c>
    </row>
    <row r="27" spans="1:21" ht="43.5" customHeight="1" x14ac:dyDescent="0.25">
      <c r="A27" s="420">
        <v>13</v>
      </c>
      <c r="B27" s="146" t="s">
        <v>25</v>
      </c>
      <c r="C27" s="95">
        <v>7502</v>
      </c>
      <c r="D27" s="401">
        <v>62.5</v>
      </c>
      <c r="E27" s="936"/>
      <c r="F27" s="22"/>
      <c r="G27" s="3">
        <f t="shared" si="0"/>
        <v>0</v>
      </c>
      <c r="H27" s="47">
        <f t="shared" si="1"/>
        <v>0</v>
      </c>
      <c r="I27" s="3">
        <v>0</v>
      </c>
      <c r="J27" s="3">
        <v>0</v>
      </c>
      <c r="K27" s="3">
        <v>0</v>
      </c>
      <c r="L27" s="3">
        <v>0</v>
      </c>
      <c r="M27" s="4">
        <f>SUM(G26:L28)-D27</f>
        <v>-8.5</v>
      </c>
      <c r="N27" s="929"/>
      <c r="O27" s="166">
        <f>SUMIFS([1]اردیبهشت!$AD$2:$AD$805,[1]اردیبهشت!$N$2:$N$805,$C$27,[1]اردیبهشت!$D$2:$D$805,$F$27,[1]اردیبهشت!$AA$2:$AA$805,O3)</f>
        <v>0</v>
      </c>
      <c r="P27" s="168">
        <f>SUMIFS([1]اردیبهشت!$AD$2:$AD$805,[1]اردیبهشت!$N$2:$N$805,$C$27,[1]اردیبهشت!$D$2:$D$805,$F$27,[1]اردیبهشت!$AA$2:$AA$805,P3)</f>
        <v>0</v>
      </c>
      <c r="Q27" s="168">
        <f>SUMIFS([1]اردیبهشت!$AD$2:$AD$805,[1]اردیبهشت!$N$2:$N$805,$C$27,[1]اردیبهشت!$D$2:$D$805,$F$27,[1]اردیبهشت!$AA$2:$AA$805,Q3)</f>
        <v>0</v>
      </c>
      <c r="R27" s="168">
        <f>SUMIFS([1]اردیبهشت!$AD$2:$AD$805,[1]اردیبهشت!$N$2:$N$805,$C$27,[1]اردیبهشت!$D$2:$D$805,$F$27,[1]اردیبهشت!$AA$2:$AA$805,R3)</f>
        <v>0</v>
      </c>
      <c r="S27" s="168">
        <f>SUMIFS([1]اردیبهشت!$AD$2:$AD$805,[1]اردیبهشت!$N$2:$N$805,$C$27,[1]اردیبهشت!$D$2:$D$805,$F$27,[1]اردیبهشت!$AA$2:$AA$805,S3)</f>
        <v>0</v>
      </c>
      <c r="T27" s="96">
        <f>SUMIFS([1]اردیبهشت!$AD$2:$AD$805,[1]اردیبهشت!$N$2:$N$805,$C$27,[1]اردیبهشت!$D$2:$D$805,$F$27,[1]اردیبهشت!$AA$2:$AA$805,T3)</f>
        <v>0</v>
      </c>
      <c r="U27" s="108">
        <f>SUMIFS([1]خرداد!$AF$2:$AF$700,[1]خرداد!$O$2:$O$700,7101,[1]خرداد!$D$2:$D$700,$F$4,[1]خرداد!$AC$2:$AC$700,U26)</f>
        <v>0</v>
      </c>
    </row>
    <row r="28" spans="1:21" ht="43.5" customHeight="1" thickBot="1" x14ac:dyDescent="0.3">
      <c r="A28" s="421"/>
      <c r="B28" s="310"/>
      <c r="C28" s="404"/>
      <c r="D28" s="404"/>
      <c r="E28" s="937"/>
      <c r="F28" s="5"/>
      <c r="G28" s="6">
        <f t="shared" si="0"/>
        <v>0</v>
      </c>
      <c r="H28" s="64">
        <f t="shared" si="1"/>
        <v>0</v>
      </c>
      <c r="I28" s="7">
        <v>0</v>
      </c>
      <c r="J28" s="7">
        <v>0</v>
      </c>
      <c r="K28" s="6">
        <v>0</v>
      </c>
      <c r="L28" s="6">
        <v>0</v>
      </c>
      <c r="M28" s="6"/>
      <c r="N28" s="930"/>
      <c r="O28" s="167">
        <f>SUMIFS([1]اردیبهشت!$AD$2:$AD$805,[1]اردیبهشت!$N$2:$N$805,$C$27,[1]اردیبهشت!$D$2:$D$805,$F$28,[1]اردیبهشت!$AA$2:$AA$805,O3)</f>
        <v>0</v>
      </c>
      <c r="P28" s="175">
        <f>SUMIFS([1]اردیبهشت!$AD$2:$AD$805,[1]اردیبهشت!$N$2:$N$805,$C$27,[1]اردیبهشت!$D$2:$D$805,$F$28,[1]اردیبهشت!$AA$2:$AA$805,P3)</f>
        <v>0</v>
      </c>
      <c r="Q28" s="175">
        <f>SUMIFS([1]اردیبهشت!$AD$2:$AD$805,[1]اردیبهشت!$N$2:$N$805,$C$27,[1]اردیبهشت!$D$2:$D$805,$F$28,[1]اردیبهشت!$AA$2:$AA$805,Q3)</f>
        <v>0</v>
      </c>
      <c r="R28" s="175">
        <f>SUMIFS([1]اردیبهشت!$AD$2:$AD$805,[1]اردیبهشت!$N$2:$N$805,$C$27,[1]اردیبهشت!$D$2:$D$805,$F$28,[1]اردیبهشت!$AA$2:$AA$805,R3)</f>
        <v>0</v>
      </c>
      <c r="S28" s="175">
        <f>SUMIFS([1]اردیبهشت!$AD$2:$AD$805,[1]اردیبهشت!$N$2:$N$805,$C$27,[1]اردیبهشت!$D$2:$D$805,$F$28,[1]اردیبهشت!$AA$2:$AA$805,S3)</f>
        <v>0</v>
      </c>
      <c r="T28" s="97">
        <f>SUMIFS([1]اردیبهشت!$AD$2:$AD$805,[1]اردیبهشت!$N$2:$N$805,$C$27,[1]اردیبهشت!$D$2:$D$805,$F$28,[1]اردیبهشت!$AA$2:$AA$805,T3)</f>
        <v>0</v>
      </c>
      <c r="U28" s="114">
        <f>SUMIFS([1]خرداد!$AF$2:$AF$700,[1]خرداد!$O$2:$O$700,7101,[1]خرداد!$D$2:$D$700,$F$4,[1]خرداد!$AC$2:$AC$700,U27)</f>
        <v>0</v>
      </c>
    </row>
    <row r="29" spans="1:21" ht="43.5" customHeight="1" x14ac:dyDescent="0.25">
      <c r="A29" s="939">
        <v>14</v>
      </c>
      <c r="B29" s="83" t="s">
        <v>26</v>
      </c>
      <c r="C29" s="396">
        <v>7601</v>
      </c>
      <c r="D29" s="396">
        <v>72</v>
      </c>
      <c r="E29" s="914" t="s">
        <v>15</v>
      </c>
      <c r="F29" s="84" t="s">
        <v>27</v>
      </c>
      <c r="G29" s="85">
        <f t="shared" si="0"/>
        <v>29</v>
      </c>
      <c r="H29" s="86">
        <f t="shared" si="1"/>
        <v>0</v>
      </c>
      <c r="I29" s="85">
        <v>0</v>
      </c>
      <c r="J29" s="85">
        <v>0</v>
      </c>
      <c r="K29" s="85">
        <v>0</v>
      </c>
      <c r="L29" s="85">
        <v>0</v>
      </c>
      <c r="M29" s="87">
        <f>(J29+J30+I30+I29+H29+H30+G30+G29+L29+K29)-D29</f>
        <v>-43</v>
      </c>
      <c r="N29" s="941" t="s">
        <v>29</v>
      </c>
      <c r="O29" s="187">
        <f>SUMIFS([1]خرداد!$AF$2:$AF$805,[1]خرداد!$O$2:$O$805,7601,[1]خرداد!$D$2:$D$805,$F$29,[1]خرداد!$AC$2:$AC$805,O3)</f>
        <v>0</v>
      </c>
      <c r="P29" s="188">
        <f>SUMIFS([1]خرداد!$AF$2:$AF$805,[1]خرداد!$O$2:$O$805,7601,[1]خرداد!$D$2:$D$805,$F$29,[1]خرداد!$AC$2:$AC$805,P3)</f>
        <v>0</v>
      </c>
      <c r="Q29" s="188">
        <f>SUMIFS([1]خرداد!$AF$2:$AF$805,[1]خرداد!$O$2:$O$805,7601,[1]خرداد!$D$2:$D$805,$F$29,[1]خرداد!$AC$2:$AC$805,Q3)</f>
        <v>9</v>
      </c>
      <c r="R29" s="188">
        <f>SUMIFS([1]خرداد!$AF$2:$AF$805,[1]خرداد!$O$2:$O$805,7601,[1]خرداد!$D$2:$D$805,$F$29,[1]خرداد!$AC$2:$AC$805,R3)</f>
        <v>8</v>
      </c>
      <c r="S29" s="188">
        <f>SUMIFS([1]خرداد!$AF$2:$AF$805,[1]خرداد!$O$2:$O$805,7601,[1]خرداد!$D$2:$D$805,$F$29,[1]خرداد!$AC$2:$AC$805,S3)</f>
        <v>12</v>
      </c>
      <c r="T29" s="145">
        <f>SUMIFS([1]خرداد!$AF$2:$AF$805,[1]خرداد!$O$2:$O$805,7601,[1]خرداد!$D$2:$D$805,$F$29,[1]خرداد!$AC$2:$AC$805,T3)</f>
        <v>0</v>
      </c>
      <c r="U29" s="128">
        <f>SUMIFS([1]خرداد!$AF$2:$AF$805,[1]خرداد!$O$2:$O$805,7601,[1]خرداد!$D$2:$D$805,$F$29,[1]خرداد!$AC$2:$AC$805,U3)</f>
        <v>0</v>
      </c>
    </row>
    <row r="30" spans="1:21" ht="43.5" customHeight="1" thickBot="1" x14ac:dyDescent="0.3">
      <c r="A30" s="940"/>
      <c r="B30" s="123"/>
      <c r="C30" s="397"/>
      <c r="D30" s="397"/>
      <c r="E30" s="915"/>
      <c r="F30" s="124"/>
      <c r="G30" s="93">
        <f t="shared" si="0"/>
        <v>0</v>
      </c>
      <c r="H30" s="92">
        <f t="shared" si="1"/>
        <v>0</v>
      </c>
      <c r="I30" s="125">
        <v>0</v>
      </c>
      <c r="J30" s="125">
        <v>0</v>
      </c>
      <c r="K30" s="126">
        <v>0</v>
      </c>
      <c r="L30" s="126">
        <v>0</v>
      </c>
      <c r="M30" s="127"/>
      <c r="N30" s="917"/>
      <c r="O30" s="190">
        <f>SUMIFS([1]اردیبهشت!$AD$2:$AD$805,[1]اردیبهشت!$N$2:$N$805,$C$29,[1]اردیبهشت!$D$2:$D$805,$F$30,[1]اردیبهشت!$AA$2:$AA$805,O3)</f>
        <v>0</v>
      </c>
      <c r="P30" s="191">
        <f>SUMIFS([1]اردیبهشت!$AD$2:$AD$600,[1]اردیبهشت!$N$2:$N$600,$C$29,[1]اردیبهشت!$D$2:$D$600,$F$30,[1]اردیبهشت!$AA$2:$AA$600,P3)</f>
        <v>0</v>
      </c>
      <c r="Q30" s="191">
        <f>SUMIFS([1]اردیبهشت!$AD$2:$AD$600,[1]اردیبهشت!$N$2:$N$600,$C$29,[1]اردیبهشت!$D$2:$D$600,$F$30,[1]اردیبهشت!$AA$2:$AA$600,Q3)</f>
        <v>0</v>
      </c>
      <c r="R30" s="191">
        <f>SUMIFS([1]اردیبهشت!$AD$2:$AD$600,[1]اردیبهشت!$N$2:$N$600,$C$29,[1]اردیبهشت!$D$2:$D$600,$F$30,[1]اردیبهشت!$AA$2:$AA$600,R3)</f>
        <v>0</v>
      </c>
      <c r="S30" s="191">
        <f>SUMIFS([1]اردیبهشت!$AD$2:$AD$600,[1]اردیبهشت!$N$2:$N$600,$C$29,[1]اردیبهشت!$D$2:$D$600,$F$30,[1]اردیبهشت!$AA$2:$AA$600,S3)</f>
        <v>0</v>
      </c>
      <c r="T30" s="102">
        <f>SUMIFS([1]اردیبهشت!$AD$2:$AD$600,[1]اردیبهشت!$N$2:$N$600,$C$29,[1]اردیبهشت!$D$2:$D$600,$F$30,[1]اردیبهشت!$AA$2:$AA$600,T3)</f>
        <v>0</v>
      </c>
      <c r="U30" s="114">
        <f>SUMIFS([1]خرداد!$AF$2:$AF$700,[1]خرداد!$O$2:$O$700,7101,[1]خرداد!$D$2:$D$700,$F$4,[1]خرداد!$AC$2:$AC$700,U29)</f>
        <v>0</v>
      </c>
    </row>
    <row r="31" spans="1:21" ht="43.5" customHeight="1" x14ac:dyDescent="0.25">
      <c r="A31" s="912">
        <v>15</v>
      </c>
      <c r="B31" s="83" t="s">
        <v>26</v>
      </c>
      <c r="C31" s="396">
        <v>7602</v>
      </c>
      <c r="D31" s="396">
        <v>72</v>
      </c>
      <c r="E31" s="914" t="s">
        <v>15</v>
      </c>
      <c r="F31" s="84" t="s">
        <v>27</v>
      </c>
      <c r="G31" s="9">
        <f t="shared" si="0"/>
        <v>51</v>
      </c>
      <c r="H31" s="46">
        <f t="shared" si="1"/>
        <v>0</v>
      </c>
      <c r="I31" s="85">
        <v>0</v>
      </c>
      <c r="J31" s="85">
        <v>0</v>
      </c>
      <c r="K31" s="85">
        <v>0</v>
      </c>
      <c r="L31" s="85">
        <v>0</v>
      </c>
      <c r="M31" s="87">
        <f>(J31+J32+I32+I31+H31+H32+G32+G31)-D31</f>
        <v>-21</v>
      </c>
      <c r="N31" s="916" t="s">
        <v>29</v>
      </c>
      <c r="O31" s="165">
        <f>SUMIFS([1]خرداد!$AF$2:$AF$805,[1]خرداد!$O$2:$O$805,7602,[1]خرداد!$D$2:$D$805,$F$31,[1]خرداد!$AC$2:$AC$805,O3)</f>
        <v>12</v>
      </c>
      <c r="P31" s="169">
        <f>SUMIFS([1]خرداد!$AF$2:$AF$805,[1]خرداد!$O$2:$O$805,7602,[1]خرداد!$D$2:$D$805,$F$31,[1]خرداد!$AC$2:$AC$805,P3)</f>
        <v>9</v>
      </c>
      <c r="Q31" s="169">
        <f>SUMIFS([1]خرداد!$AF$2:$AF$805,[1]خرداد!$O$2:$O$805,7602,[1]خرداد!$D$2:$D$805,$F$31,[1]خرداد!$AC$2:$AC$805,Q3)</f>
        <v>9</v>
      </c>
      <c r="R31" s="169">
        <f>SUMIFS([1]خرداد!$AF$2:$AF$805,[1]خرداد!$O$2:$O$805,7602,[1]خرداد!$D$2:$D$805,$F$31,[1]خرداد!$AC$2:$AC$805,R3)</f>
        <v>12</v>
      </c>
      <c r="S31" s="169">
        <f>SUMIFS([1]خرداد!$AF$2:$AF$805,[1]خرداد!$O$2:$O$805,7602,[1]خرداد!$D$2:$D$805,$F$31,[1]خرداد!$AC$2:$AC$805,S3)</f>
        <v>9</v>
      </c>
      <c r="T31" s="98">
        <f>SUMIFS([1]خرداد!$AF$2:$AF$805,[1]خرداد!$O$2:$O$805,7602,[1]خرداد!$D$2:$D$805,$F$31,[1]خرداد!$AC$2:$AC$805,T3)</f>
        <v>0</v>
      </c>
      <c r="U31" s="107">
        <f>SUMIFS([1]خرداد!$AF$2:$AF$805,[1]خرداد!$O$2:$O$805,7602,[1]خرداد!$D$2:$D$805,$F$31,[1]خرداد!$AC$2:$AC$805,U3)</f>
        <v>0</v>
      </c>
    </row>
    <row r="32" spans="1:21" ht="43.5" customHeight="1" thickBot="1" x14ac:dyDescent="0.3">
      <c r="A32" s="913"/>
      <c r="B32" s="123"/>
      <c r="C32" s="397"/>
      <c r="D32" s="397"/>
      <c r="E32" s="915"/>
      <c r="F32" s="124"/>
      <c r="G32" s="6">
        <f t="shared" si="0"/>
        <v>0</v>
      </c>
      <c r="H32" s="64">
        <f t="shared" si="1"/>
        <v>0</v>
      </c>
      <c r="I32" s="125">
        <v>0</v>
      </c>
      <c r="J32" s="125">
        <v>0</v>
      </c>
      <c r="K32" s="126">
        <v>0</v>
      </c>
      <c r="L32" s="126">
        <v>0</v>
      </c>
      <c r="M32" s="127"/>
      <c r="N32" s="917"/>
      <c r="O32" s="167">
        <f>SUMIFS([1]اردیبهشت!$AD$2:$AD$805,[1]اردیبهشت!$N$2:$N$805,$C$31,[1]اردیبهشت!$D$2:$D$805,$F$32,[1]اردیبهشت!$AA$2:$AA$805,O3)</f>
        <v>0</v>
      </c>
      <c r="P32" s="175">
        <f>SUMIFS([1]اردیبهشت!$AD$2:$AD$600,[1]اردیبهشت!$N$2:$N$600,$C$31,[1]اردیبهشت!$D$2:$D$600,$F$32,[1]اردیبهشت!$AA$2:$AA$600,P3)</f>
        <v>0</v>
      </c>
      <c r="Q32" s="175">
        <f>SUMIFS([1]اردیبهشت!$AD$2:$AD$600,[1]اردیبهشت!$N$2:$N$600,$C$31,[1]اردیبهشت!$D$2:$D$600,$F$32,[1]اردیبهشت!$AA$2:$AA$600,Q3)</f>
        <v>0</v>
      </c>
      <c r="R32" s="175">
        <f>SUMIFS([1]اردیبهشت!$AD$2:$AD$600,[1]اردیبهشت!$N$2:$N$600,$C$31,[1]اردیبهشت!$D$2:$D$600,$F$32,[1]اردیبهشت!$AA$2:$AA$600,R3)</f>
        <v>0</v>
      </c>
      <c r="S32" s="175">
        <f>SUMIFS([1]اردیبهشت!$AD$2:$AD$600,[1]اردیبهشت!$N$2:$N$600,$C$31,[1]اردیبهشت!$D$2:$D$600,$F$32,[1]اردیبهشت!$AA$2:$AA$600,S3)</f>
        <v>0</v>
      </c>
      <c r="T32" s="97">
        <f>SUMIFS([1]اردیبهشت!$AD$2:$AD$600,[1]اردیبهشت!$N$2:$N$600,$C$31,[1]اردیبهشت!$D$2:$D$600,$F$32,[1]اردیبهشت!$AA$2:$AA$600,T3)</f>
        <v>0</v>
      </c>
      <c r="U32" s="114">
        <f>SUMIFS([1]خرداد!$AF$2:$AF$700,[1]خرداد!$O$2:$O$700,7101,[1]خرداد!$D$2:$D$700,$F$4,[1]خرداد!$AC$2:$AC$700,U31)</f>
        <v>0</v>
      </c>
    </row>
    <row r="33" spans="1:21" ht="42.75" customHeight="1" x14ac:dyDescent="0.25">
      <c r="A33" s="912">
        <v>16</v>
      </c>
      <c r="B33" s="408" t="s">
        <v>26</v>
      </c>
      <c r="C33" s="403">
        <v>7603</v>
      </c>
      <c r="D33" s="403">
        <v>72</v>
      </c>
      <c r="E33" s="943" t="s">
        <v>15</v>
      </c>
      <c r="F33" s="84" t="s">
        <v>27</v>
      </c>
      <c r="G33" s="9">
        <f t="shared" si="0"/>
        <v>34</v>
      </c>
      <c r="H33" s="46">
        <f t="shared" si="1"/>
        <v>0</v>
      </c>
      <c r="I33" s="9">
        <v>0</v>
      </c>
      <c r="J33" s="9">
        <v>0</v>
      </c>
      <c r="K33" s="9">
        <v>0</v>
      </c>
      <c r="L33" s="9">
        <v>0</v>
      </c>
      <c r="M33" s="23">
        <f>(J33+J34+I34+I33+H33+H34+G34+G33+L33+L34)-D33</f>
        <v>-38</v>
      </c>
      <c r="N33" s="945" t="s">
        <v>29</v>
      </c>
      <c r="O33" s="165">
        <f>SUMIFS([1]خرداد!$AF$2:$AF$805,[1]خرداد!$O$2:$O$805,7603,[1]خرداد!$D$2:$D$805,$F$33,[1]خرداد!$AC$2:$AC$805,O3)</f>
        <v>12</v>
      </c>
      <c r="P33" s="169">
        <f>SUMIFS([1]خرداد!$AF$2:$AF$805,[1]خرداد!$O$2:$O$805,7603,[1]خرداد!$D$2:$D$805,$F$33,[1]خرداد!$AC$2:$AC$805,P3)</f>
        <v>14</v>
      </c>
      <c r="Q33" s="169">
        <f>SUMIFS([1]خرداد!$AF$2:$AF$805,[1]خرداد!$O$2:$O$805,7603,[1]خرداد!$D$2:$D$805,$F$33,[1]خرداد!$AC$2:$AC$805,Q3)</f>
        <v>2</v>
      </c>
      <c r="R33" s="169">
        <f>SUMIFS([1]خرداد!$AF$2:$AF$805,[1]خرداد!$O$2:$O$805,7603,[1]خرداد!$D$2:$D$805,$F$33,[1]خرداد!$AC$2:$AC$805,R3)</f>
        <v>0</v>
      </c>
      <c r="S33" s="169">
        <f>SUMIFS([1]خرداد!$AF$2:$AF$805,[1]خرداد!$O$2:$O$805,7603,[1]خرداد!$D$2:$D$805,$F$33,[1]خرداد!$AC$2:$AC$805,S3)</f>
        <v>6</v>
      </c>
      <c r="T33" s="98">
        <f>SUMIFS([1]خرداد!$AF$2:$AF$805,[1]خرداد!$O$2:$O$805,7603,[1]خرداد!$D$2:$D$805,$F$33,[1]خرداد!$AC$2:$AC$805,T3)</f>
        <v>0</v>
      </c>
      <c r="U33" s="107">
        <f>SUMIFS([1]خرداد!$AF$2:$AF$805,[1]خرداد!$O$2:$O$805,7603,[1]خرداد!$D$2:$D$805,$F$33,[1]خرداد!$AC$2:$AC$805,U3)</f>
        <v>0</v>
      </c>
    </row>
    <row r="34" spans="1:21" ht="42.75" customHeight="1" thickBot="1" x14ac:dyDescent="0.3">
      <c r="A34" s="942"/>
      <c r="B34" s="409"/>
      <c r="C34" s="404"/>
      <c r="D34" s="404"/>
      <c r="E34" s="944"/>
      <c r="F34" s="5"/>
      <c r="G34" s="1">
        <f t="shared" si="0"/>
        <v>0</v>
      </c>
      <c r="H34" s="49">
        <f t="shared" si="1"/>
        <v>0</v>
      </c>
      <c r="I34" s="7">
        <v>0</v>
      </c>
      <c r="J34" s="7">
        <v>0</v>
      </c>
      <c r="K34" s="6">
        <v>0</v>
      </c>
      <c r="L34" s="6">
        <v>0</v>
      </c>
      <c r="M34" s="8"/>
      <c r="N34" s="946"/>
      <c r="O34" s="171">
        <f>SUMIFS([1]اردیبهشت!$AD$2:$AD$805,[1]اردیبهشت!$N$2:$N$805,$C$33,[1]اردیبهشت!$D$2:$D$805,$F$34,[1]اردیبهشت!$AA$2:$AA$805,O3)</f>
        <v>0</v>
      </c>
      <c r="P34" s="172">
        <f>SUMIFS([1]اردیبهشت!$AD$2:$AD$600,[1]اردیبهشت!$N$2:$N$600,$C$33,[1]اردیبهشت!$D$2:$D$600,$F$34,[1]اردیبهشت!$AA$2:$AA$600,P3)</f>
        <v>0</v>
      </c>
      <c r="Q34" s="172">
        <f>SUMIFS([1]اردیبهشت!$AD$2:$AD$600,[1]اردیبهشت!$N$2:$N$600,$C$33,[1]اردیبهشت!$D$2:$D$600,$F$34,[1]اردیبهشت!$AA$2:$AA$600,Q3)</f>
        <v>0</v>
      </c>
      <c r="R34" s="172">
        <f>SUMIFS([1]اردیبهشت!$AD$2:$AD$600,[1]اردیبهشت!$N$2:$N$600,$C$33,[1]اردیبهشت!$D$2:$D$600,$F$34,[1]اردیبهشت!$AA$2:$AA$600,R3)</f>
        <v>0</v>
      </c>
      <c r="S34" s="172">
        <f>SUMIFS([1]اردیبهشت!$AD$2:$AD$600,[1]اردیبهشت!$N$2:$N$600,$C$33,[1]اردیبهشت!$D$2:$D$600,$F$34,[1]اردیبهشت!$AA$2:$AA$600,S3)</f>
        <v>0</v>
      </c>
      <c r="T34" s="103">
        <f>SUMIFS([1]اردیبهشت!$AD$2:$AD$600,[1]اردیبهشت!$N$2:$N$600,$C$33,[1]اردیبهشت!$D$2:$D$600,$F$34,[1]اردیبهشت!$AA$2:$AA$600,T3)</f>
        <v>0</v>
      </c>
      <c r="U34" s="109">
        <f>SUMIFS([1]خرداد!$AF$2:$AF$700,[1]خرداد!$O$2:$O$700,7101,[1]خرداد!$D$2:$D$700,$F$4,[1]خرداد!$AC$2:$AC$700,U33)</f>
        <v>0</v>
      </c>
    </row>
    <row r="35" spans="1:21" ht="42.75" customHeight="1" x14ac:dyDescent="0.25">
      <c r="A35" s="912">
        <v>17</v>
      </c>
      <c r="B35" s="418" t="s">
        <v>26</v>
      </c>
      <c r="C35" s="458">
        <v>7604</v>
      </c>
      <c r="D35" s="412">
        <v>72</v>
      </c>
      <c r="E35" s="968" t="s">
        <v>19</v>
      </c>
      <c r="F35" s="84" t="s">
        <v>27</v>
      </c>
      <c r="G35" s="85">
        <f>SUM(O35:T35)</f>
        <v>0</v>
      </c>
      <c r="H35" s="86">
        <f t="shared" si="1"/>
        <v>0</v>
      </c>
      <c r="I35" s="93">
        <v>0</v>
      </c>
      <c r="J35" s="93">
        <v>72</v>
      </c>
      <c r="K35" s="93">
        <v>0</v>
      </c>
      <c r="L35" s="93">
        <v>0</v>
      </c>
      <c r="M35" s="94"/>
      <c r="N35" s="971" t="s">
        <v>28</v>
      </c>
      <c r="O35" s="187">
        <f>SUMIFS([1]خرداد!$AF$2:$AF$805,[1]خرداد!$O$2:$O$805,7604,[1]خرداد!$D$2:$D$805,$F$33,[1]خرداد!$AC$2:$AC$805,O3)</f>
        <v>0</v>
      </c>
      <c r="P35" s="298">
        <f>SUMIFS([1]خرداد!$AF$2:$AF$805,[1]خرداد!$O$2:$O$805,7604,[1]خرداد!$D$2:$D$805,$F$33,[1]خرداد!$AC$2:$AC$805,P3)</f>
        <v>0</v>
      </c>
      <c r="Q35" s="298">
        <f>SUMIFS([1]خرداد!$AF$2:$AF$805,[1]خرداد!$O$2:$O$805,7604,[1]خرداد!$D$2:$D$805,$F$33,[1]خرداد!$AC$2:$AC$805,Q3)</f>
        <v>0</v>
      </c>
      <c r="R35" s="298">
        <f>SUMIFS([1]خرداد!$AF$2:$AF$805,[1]خرداد!$O$2:$O$805,7604,[1]خرداد!$D$2:$D$805,$F$33,[1]خرداد!$AC$2:$AC$805,R3)</f>
        <v>0</v>
      </c>
      <c r="S35" s="298">
        <f>SUMIFS([1]خرداد!$AF$2:$AF$805,[1]خرداد!$O$2:$O$805,7604,[1]خرداد!$D$2:$D$805,$F$33,[1]خرداد!$AC$2:$AC$805,S3)</f>
        <v>0</v>
      </c>
      <c r="T35" s="464">
        <f>SUMIFS([1]خرداد!$AF$2:$AF$805,[1]خرداد!$O$2:$O$805,7604,[1]خرداد!$D$2:$D$805,$F$33,[1]خرداد!$AC$2:$AC$805,T3)</f>
        <v>0</v>
      </c>
      <c r="U35" s="465">
        <f>SUMIFS([1]خرداد!$AF$2:$AF$805,[1]خرداد!$O$2:$O$805,7604,[1]خرداد!$D$2:$D$805,$F$33,[1]خرداد!$AC$2:$AC$805,U3)</f>
        <v>0</v>
      </c>
    </row>
    <row r="36" spans="1:21" ht="42.75" customHeight="1" thickBot="1" x14ac:dyDescent="0.3">
      <c r="A36" s="913"/>
      <c r="B36" s="418"/>
      <c r="C36" s="459"/>
      <c r="D36" s="460"/>
      <c r="E36" s="997"/>
      <c r="F36" s="461"/>
      <c r="G36" s="93">
        <f t="shared" si="0"/>
        <v>0</v>
      </c>
      <c r="H36" s="92">
        <f t="shared" si="1"/>
        <v>0</v>
      </c>
      <c r="I36" s="462">
        <v>0</v>
      </c>
      <c r="J36" s="462">
        <v>0</v>
      </c>
      <c r="K36" s="89">
        <v>0</v>
      </c>
      <c r="L36" s="89">
        <v>0</v>
      </c>
      <c r="M36" s="94"/>
      <c r="N36" s="998"/>
      <c r="O36" s="425">
        <f>SUMIFS([1]خرداد!$AF$2:$AF$805,[1]خرداد!$O$2:$O$805,7604,[1]خرداد!$D$2:$D$805,$F$33,[1]خرداد!$AC$2:$AC$805,O4)</f>
        <v>0</v>
      </c>
      <c r="P36" s="355">
        <f>SUMIFS([1]خرداد!$AF$2:$AF$805,[1]خرداد!$O$2:$O$805,7604,[1]خرداد!$D$2:$D$805,$F$33,[1]خرداد!$AC$2:$AC$805,P4)</f>
        <v>0</v>
      </c>
      <c r="Q36" s="355">
        <f>SUMIFS([1]خرداد!$AF$2:$AF$805,[1]خرداد!$O$2:$O$805,7604,[1]خرداد!$D$2:$D$805,$F$33,[1]خرداد!$AC$2:$AC$805,Q4)</f>
        <v>0</v>
      </c>
      <c r="R36" s="355">
        <f>SUMIFS([1]خرداد!$AF$2:$AF$805,[1]خرداد!$O$2:$O$805,7604,[1]خرداد!$D$2:$D$805,$F$33,[1]خرداد!$AC$2:$AC$805,R4)</f>
        <v>0</v>
      </c>
      <c r="S36" s="355">
        <f>SUMIFS([1]خرداد!$AF$2:$AF$805,[1]خرداد!$O$2:$O$805,7604,[1]خرداد!$D$2:$D$805,$F$33,[1]خرداد!$AC$2:$AC$805,S4)</f>
        <v>0</v>
      </c>
      <c r="T36" s="466">
        <f>SUMIFS([1]خرداد!$AF$2:$AF$805,[1]خرداد!$O$2:$O$805,7604,[1]خرداد!$D$2:$D$805,$F$33,[1]خرداد!$AC$2:$AC$805,T4)</f>
        <v>0</v>
      </c>
      <c r="U36" s="467">
        <f>SUMIFS([1]خرداد!$AF$2:$AF$805,[1]خرداد!$O$2:$O$805,7604,[1]خرداد!$D$2:$D$805,$F$33,[1]خرداد!$AC$2:$AC$805,U4)</f>
        <v>0</v>
      </c>
    </row>
    <row r="37" spans="1:21" ht="42.75" customHeight="1" x14ac:dyDescent="0.25">
      <c r="A37" s="954">
        <v>18</v>
      </c>
      <c r="B37" s="83" t="s">
        <v>26</v>
      </c>
      <c r="C37" s="396">
        <v>7605</v>
      </c>
      <c r="D37" s="396">
        <v>72</v>
      </c>
      <c r="E37" s="914" t="s">
        <v>15</v>
      </c>
      <c r="F37" s="84" t="s">
        <v>27</v>
      </c>
      <c r="G37" s="85">
        <f t="shared" si="0"/>
        <v>0</v>
      </c>
      <c r="H37" s="86">
        <f t="shared" si="1"/>
        <v>0</v>
      </c>
      <c r="I37" s="85">
        <v>0</v>
      </c>
      <c r="J37" s="85">
        <v>0</v>
      </c>
      <c r="K37" s="85">
        <v>0</v>
      </c>
      <c r="L37" s="153">
        <v>0</v>
      </c>
      <c r="M37" s="87">
        <f>(G37+H37+I37+J37+K37+L37)-D37</f>
        <v>-72</v>
      </c>
      <c r="N37" s="955" t="s">
        <v>28</v>
      </c>
      <c r="O37" s="187">
        <f>SUMIFS([1]خرداد!$AF$2:$AF$805,[1]خرداد!$O$2:$O$805,7605,[1]خرداد!$D$2:$D$805,$F$37,[1]خرداد!$AC$2:$AC$805,O3)</f>
        <v>0</v>
      </c>
      <c r="P37" s="188">
        <f>SUMIFS([1]خرداد!$AF$2:$AF$805,[1]خرداد!$O$2:$O$805,7605,[1]خرداد!$D$2:$D$805,$F$37,[1]خرداد!$AC$2:$AC$805,P3)</f>
        <v>0</v>
      </c>
      <c r="Q37" s="188">
        <f>SUMIFS([1]خرداد!$AF$2:$AF$805,[1]خرداد!$O$2:$O$805,7605,[1]خرداد!$D$2:$D$805,$F$37,[1]خرداد!$AC$2:$AC$805,Q3)</f>
        <v>0</v>
      </c>
      <c r="R37" s="188">
        <f>SUMIFS([1]خرداد!$AF$2:$AF$805,[1]خرداد!$O$2:$O$805,7605,[1]خرداد!$D$2:$D$805,$F$37,[1]خرداد!$AC$2:$AC$805,R3)</f>
        <v>0</v>
      </c>
      <c r="S37" s="188">
        <f>SUMIFS([1]خرداد!$AF$2:$AF$805,[1]خرداد!$O$2:$O$805,7605,[1]خرداد!$D$2:$D$805,$F$37,[1]خرداد!$AC$2:$AC$805,S3)</f>
        <v>0</v>
      </c>
      <c r="T37" s="145">
        <f>SUMIFS([1]خرداد!$AF$2:$AF$805,[1]خرداد!$O$2:$O$805,7605,[1]خرداد!$D$2:$D$805,$F$37,[1]خرداد!$AC$2:$AC$805,T3)</f>
        <v>0</v>
      </c>
      <c r="U37" s="128">
        <f>SUMIFS([1]خرداد!$AF$2:$AF$805,[1]خرداد!$O$2:$O$805,7605,[1]خرداد!$D$2:$D$805,$F$37,[1]خرداد!$AC$2:$AC$805,U3)</f>
        <v>0</v>
      </c>
    </row>
    <row r="38" spans="1:21" ht="42.75" customHeight="1" thickBot="1" x14ac:dyDescent="0.3">
      <c r="A38" s="942"/>
      <c r="B38" s="123"/>
      <c r="C38" s="397"/>
      <c r="D38" s="397"/>
      <c r="E38" s="915"/>
      <c r="F38" s="124"/>
      <c r="G38" s="93">
        <f t="shared" si="0"/>
        <v>0</v>
      </c>
      <c r="H38" s="92">
        <f t="shared" si="1"/>
        <v>0</v>
      </c>
      <c r="I38" s="125">
        <v>0</v>
      </c>
      <c r="J38" s="125">
        <v>0</v>
      </c>
      <c r="K38" s="126">
        <v>0</v>
      </c>
      <c r="L38" s="126">
        <v>0</v>
      </c>
      <c r="M38" s="154"/>
      <c r="N38" s="917"/>
      <c r="O38" s="190">
        <f>SUMIFS([1]اردیبهشت!$AD$2:$AD$805,[1]اردیبهشت!$N$2:$N$805,$C$37,[1]اردیبهشت!$D$2:$D$805,$F$38,[1]اردیبهشت!$AA$2:$AA$805,O3)</f>
        <v>0</v>
      </c>
      <c r="P38" s="191">
        <f>SUMIFS([1]اردیبهشت!$AD$2:$AD$600,[1]اردیبهشت!$N$2:$N$600,$C$37,[1]اردیبهشت!$D$2:$D$600,$F$38,[1]اردیبهشت!$AA$2:$AA$600,P3)</f>
        <v>0</v>
      </c>
      <c r="Q38" s="191">
        <f>SUMIFS([1]اردیبهشت!$AD$2:$AD$600,[1]اردیبهشت!$N$2:$N$600,$C$37,[1]اردیبهشت!$D$2:$D$600,$F$38,[1]اردیبهشت!$AA$2:$AA$600,Q3)</f>
        <v>0</v>
      </c>
      <c r="R38" s="191">
        <f>SUMIFS([1]اردیبهشت!$AD$2:$AD$600,[1]اردیبهشت!$N$2:$N$600,$C$37,[1]اردیبهشت!$D$2:$D$600,$F$38,[1]اردیبهشت!$AA$2:$AA$600,R3)</f>
        <v>0</v>
      </c>
      <c r="S38" s="191">
        <f>SUMIFS([1]اردیبهشت!$AD$2:$AD$600,[1]اردیبهشت!$N$2:$N$600,$C$37,[1]اردیبهشت!$D$2:$D$600,$F$38,[1]اردیبهشت!$AA$2:$AA$600,S3)</f>
        <v>0</v>
      </c>
      <c r="T38" s="102">
        <f>SUMIFS([1]اردیبهشت!$AD$2:$AD$600,[1]اردیبهشت!$N$2:$N$600,$C$37,[1]اردیبهشت!$D$2:$D$600,$F$38,[1]اردیبهشت!$AA$2:$AA$600,T3)</f>
        <v>0</v>
      </c>
      <c r="U38" s="115">
        <f>SUMIFS([1]اردیبهشت!$AD$2:$AD$600,[1]اردیبهشت!$N$2:$N$600,$C$37,[1]اردیبهشت!$D$2:$D$600,$F$38,[1]اردیبهشت!$AA$2:$AA$600,U3)</f>
        <v>0</v>
      </c>
    </row>
    <row r="39" spans="1:21" ht="39" customHeight="1" x14ac:dyDescent="0.25">
      <c r="A39" s="419"/>
      <c r="B39" s="307"/>
      <c r="C39" s="403"/>
      <c r="D39" s="403"/>
      <c r="E39" s="932" t="s">
        <v>15</v>
      </c>
      <c r="F39" s="84" t="s">
        <v>27</v>
      </c>
      <c r="G39" s="9">
        <f t="shared" si="0"/>
        <v>3</v>
      </c>
      <c r="H39" s="46">
        <f t="shared" si="1"/>
        <v>0</v>
      </c>
      <c r="I39" s="9">
        <v>0</v>
      </c>
      <c r="J39" s="9">
        <v>0</v>
      </c>
      <c r="K39" s="9">
        <v>0</v>
      </c>
      <c r="L39" s="9">
        <v>0</v>
      </c>
      <c r="M39" s="28"/>
      <c r="N39" s="945" t="s">
        <v>13</v>
      </c>
      <c r="O39" s="165">
        <f>SUMIFS([1]خرداد!$AF$2:$AF$805,[1]خرداد!$O$2:$O$805,7701,[1]خرداد!$D$2:$D$805,$F$39,[1]خرداد!$AC$2:$AC$805,O3)</f>
        <v>0</v>
      </c>
      <c r="P39" s="169">
        <f>SUMIFS([1]خرداد!$AF$2:$AF$805,[1]خرداد!$O$2:$O$805,7701,[1]خرداد!$D$2:$D$805,$F$39,[1]خرداد!$AC$2:$AC$805,P3)</f>
        <v>3</v>
      </c>
      <c r="Q39" s="169">
        <f>SUMIFS([1]خرداد!$AF$2:$AF$805,[1]خرداد!$O$2:$O$805,7701,[1]خرداد!$D$2:$D$805,$F$39,[1]خرداد!$AC$2:$AC$805,Q3)</f>
        <v>0</v>
      </c>
      <c r="R39" s="169">
        <f>SUMIFS([1]خرداد!$AF$2:$AF$805,[1]خرداد!$O$2:$O$805,7701,[1]خرداد!$D$2:$D$805,$F$39,[1]خرداد!$AC$2:$AC$805,R3)</f>
        <v>0</v>
      </c>
      <c r="S39" s="169">
        <f>SUMIFS([1]خرداد!$AF$2:$AF$805,[1]خرداد!$O$2:$O$805,7701,[1]خرداد!$D$2:$D$805,$F$39,[1]خرداد!$AC$2:$AC$805,S3)</f>
        <v>0</v>
      </c>
      <c r="T39" s="98">
        <f>SUMIFS([1]خرداد!$AF$2:$AF$805,[1]خرداد!$O$2:$O$805,7701,[1]خرداد!$D$2:$D$805,$F$39,[1]خرداد!$AC$2:$AC$805,T3)</f>
        <v>0</v>
      </c>
      <c r="U39" s="107">
        <f>SUMIFS([1]خرداد!$AF$2:$AF$805,[1]خرداد!$O$2:$O$805,7701,[1]خرداد!$D$2:$D$805,$F$39,[1]خرداد!$AC$2:$AC$805,U3)</f>
        <v>0</v>
      </c>
    </row>
    <row r="40" spans="1:21" ht="39" customHeight="1" x14ac:dyDescent="0.25">
      <c r="A40" s="420">
        <v>19</v>
      </c>
      <c r="B40" s="308" t="s">
        <v>30</v>
      </c>
      <c r="C40" s="410">
        <v>7701</v>
      </c>
      <c r="D40" s="410">
        <v>62.5</v>
      </c>
      <c r="E40" s="933"/>
      <c r="F40" s="29"/>
      <c r="G40" s="3">
        <f t="shared" si="0"/>
        <v>0</v>
      </c>
      <c r="H40" s="47">
        <f t="shared" si="1"/>
        <v>0</v>
      </c>
      <c r="I40" s="3">
        <v>0</v>
      </c>
      <c r="J40" s="25">
        <v>0</v>
      </c>
      <c r="K40" s="25">
        <v>0</v>
      </c>
      <c r="L40" s="70">
        <v>0</v>
      </c>
      <c r="M40" s="4">
        <f>(J39+J40+J41+I41+I40+I39+H39+H40+H41+G41+G40+G39)-D40</f>
        <v>-59.5</v>
      </c>
      <c r="N40" s="956"/>
      <c r="O40" s="166">
        <f>SUMIFS([1]اردیبهشت!$AD$2:$AD$805,[1]اردیبهشت!$N$2:$N$805,$C$40,[1]اردیبهشت!$D$2:$D$805,$F$40,[1]اردیبهشت!$AA$2:$AA$805,O3)</f>
        <v>0</v>
      </c>
      <c r="P40" s="168">
        <f>SUMIFS([1]اردیبهشت!$AD$2:$AD$805,[1]اردیبهشت!$N$2:$N$805,$C$40,[1]اردیبهشت!$D$2:$D$805,$F$40,[1]اردیبهشت!$AA$2:$AA$805,P3)</f>
        <v>0</v>
      </c>
      <c r="Q40" s="168">
        <f>SUMIFS([1]اردیبهشت!$AD$2:$AD$805,[1]اردیبهشت!$N$2:$N$805,$C$40,[1]اردیبهشت!$D$2:$D$805,$F$40,[1]اردیبهشت!$AA$2:$AA$805,Q3)</f>
        <v>0</v>
      </c>
      <c r="R40" s="168">
        <f>SUMIFS([1]اردیبهشت!$AD$2:$AD$805,[1]اردیبهشت!$N$2:$N$805,$C$40,[1]اردیبهشت!$D$2:$D$805,$F$40,[1]اردیبهشت!$AA$2:$AA$805,R3)</f>
        <v>0</v>
      </c>
      <c r="S40" s="168">
        <f>SUMIFS([1]اردیبهشت!$AD$2:$AD$805,[1]اردیبهشت!$N$2:$N$805,$C$40,[1]اردیبهشت!$D$2:$D$805,$F$40,[1]اردیبهشت!$AA$2:$AA$805,S3)</f>
        <v>0</v>
      </c>
      <c r="T40" s="96">
        <f>SUMIFS([1]اردیبهشت!$AD$2:$AD$805,[1]اردیبهشت!$N$2:$N$805,$C$40,[1]اردیبهشت!$D$2:$D$805,$F$40,[1]اردیبهشت!$AA$2:$AA$805,T3)</f>
        <v>0</v>
      </c>
      <c r="U40" s="108">
        <f>SUMIFS([1]اردیبهشت!$AD$2:$AD$600,[1]اردیبهشت!$N$2:$N$600,$C$40,[1]اردیبهشت!$D$2:$D$600,$F$40,[1]اردیبهشت!$AA$2:$AA$600,U3)</f>
        <v>0</v>
      </c>
    </row>
    <row r="41" spans="1:21" ht="39" customHeight="1" thickBot="1" x14ac:dyDescent="0.3">
      <c r="A41" s="421"/>
      <c r="B41" s="310"/>
      <c r="C41" s="404"/>
      <c r="D41" s="404"/>
      <c r="E41" s="934"/>
      <c r="F41" s="30"/>
      <c r="G41" s="1">
        <f t="shared" si="0"/>
        <v>0</v>
      </c>
      <c r="H41" s="49">
        <f t="shared" si="1"/>
        <v>0</v>
      </c>
      <c r="I41" s="7">
        <v>0</v>
      </c>
      <c r="J41" s="7">
        <v>0</v>
      </c>
      <c r="K41" s="7">
        <v>0</v>
      </c>
      <c r="L41" s="7">
        <v>0</v>
      </c>
      <c r="M41" s="8"/>
      <c r="N41" s="946"/>
      <c r="O41" s="167">
        <f>SUMIFS([1]اردیبهشت!$AD$2:$AD$805,[1]اردیبهشت!$N$2:$N$805,$C$40,[1]اردیبهشت!$D$2:$D$805,$F$41,[1]اردیبهشت!$AA$2:$AA$805,O3)</f>
        <v>0</v>
      </c>
      <c r="P41" s="175">
        <f>SUMIFS([1]اردیبهشت!$AD$2:$AD$805,[1]اردیبهشت!$N$2:$N$805,$C$40,[1]اردیبهشت!$D$2:$D$805,$F$41,[1]اردیبهشت!$AA$2:$AA$805,P3)</f>
        <v>0</v>
      </c>
      <c r="Q41" s="175">
        <f>SUMIFS([1]اردیبهشت!$AD$2:$AD$805,[1]اردیبهشت!$N$2:$N$805,$C$40,[1]اردیبهشت!$D$2:$D$805,$F$41,[1]اردیبهشت!$AA$2:$AA$805,Q3)</f>
        <v>0</v>
      </c>
      <c r="R41" s="175">
        <f>SUMIFS([1]اردیبهشت!$AD$2:$AD$805,[1]اردیبهشت!$N$2:$N$805,$C$40,[1]اردیبهشت!$D$2:$D$805,$F$41,[1]اردیبهشت!$AA$2:$AA$805,R3)</f>
        <v>0</v>
      </c>
      <c r="S41" s="175">
        <f>SUMIFS([1]اردیبهشت!$AD$2:$AD$805,[1]اردیبهشت!$N$2:$N$805,$C$40,[1]اردیبهشت!$D$2:$D$805,$F$41,[1]اردیبهشت!$AA$2:$AA$805,S3)</f>
        <v>0</v>
      </c>
      <c r="T41" s="97">
        <f>SUMIFS([1]اردیبهشت!$AD$2:$AD$805,[1]اردیبهشت!$N$2:$N$805,$C$40,[1]اردیبهشت!$D$2:$D$805,$F$41,[1]اردیبهشت!$AA$2:$AA$805,T3)</f>
        <v>0</v>
      </c>
      <c r="U41" s="114">
        <f>SUMIFS([1]اردیبهشت!$AD$2:$AD$600,[1]اردیبهشت!$N$2:$N$600,$C$40,[1]اردیبهشت!$D$2:$D$600,$F$41,[1]اردیبهشت!$AA$2:$AA$600,U3)</f>
        <v>0</v>
      </c>
    </row>
    <row r="42" spans="1:21" ht="39" customHeight="1" thickBot="1" x14ac:dyDescent="0.3">
      <c r="A42" s="421">
        <v>20</v>
      </c>
      <c r="B42" s="216" t="s">
        <v>63</v>
      </c>
      <c r="C42" s="401">
        <v>8001</v>
      </c>
      <c r="D42" s="401">
        <v>62.5</v>
      </c>
      <c r="E42" s="401" t="s">
        <v>15</v>
      </c>
      <c r="F42" s="29" t="s">
        <v>54</v>
      </c>
      <c r="G42" s="9">
        <f t="shared" si="0"/>
        <v>41.5</v>
      </c>
      <c r="H42" s="46">
        <f t="shared" si="1"/>
        <v>0</v>
      </c>
      <c r="I42" s="4">
        <v>0</v>
      </c>
      <c r="J42" s="4">
        <v>0</v>
      </c>
      <c r="K42" s="4">
        <v>0</v>
      </c>
      <c r="L42" s="4">
        <v>0</v>
      </c>
      <c r="M42" s="4">
        <f>SUM(G42:J42)-62</f>
        <v>-20.5</v>
      </c>
      <c r="N42" s="422" t="s">
        <v>31</v>
      </c>
      <c r="O42" s="179">
        <f>SUMIFS([1]خرداد!$AF$2:$AF$805,[1]خرداد!$O$2:$O$805,8001,[1]خرداد!$D$2:$D$805,"*",[1]خرداد!$AC$2:$AC$805,O3)</f>
        <v>7</v>
      </c>
      <c r="P42" s="186">
        <f>SUMIFS([1]خرداد!$AF$2:$AF$805,[1]خرداد!$O$2:$O$805,8001,[1]خرداد!$D$2:$D$805,$F$42,[1]خرداد!$AC$2:$AC$805,P3)</f>
        <v>9</v>
      </c>
      <c r="Q42" s="186">
        <f>SUMIFS([1]خرداد!$AF$2:$AF$805,[1]خرداد!$O$2:$O$805,8001,[1]خرداد!$D$2:$D$805,$F$42,[1]خرداد!$AC$2:$AC$805,Q3)</f>
        <v>11</v>
      </c>
      <c r="R42" s="186">
        <f>SUMIFS([1]خرداد!$AF$2:$AF$805,[1]خرداد!$O$2:$O$805,8001,[1]خرداد!$D$2:$D$805,$F$42,[1]خرداد!$AC$2:$AC$805,R3)</f>
        <v>11</v>
      </c>
      <c r="S42" s="186">
        <f>SUMIFS([1]خرداد!$AF$2:$AF$805,[1]خرداد!$O$2:$O$805,8001,[1]خرداد!$D$2:$D$805,$F$42,[1]خرداد!$AC$2:$AC$805,S3)</f>
        <v>3.5</v>
      </c>
      <c r="T42" s="106">
        <f>SUMIFS([1]خرداد!$AF$2:$AF$805,[1]خرداد!$O$2:$O$805,8001,[1]خرداد!$D$2:$D$805,$F$42,[1]خرداد!$AC$2:$AC$805,T3)</f>
        <v>0</v>
      </c>
      <c r="U42" s="118">
        <f>SUMIFS([1]خرداد!$AF$2:$AF$805,[1]خرداد!$O$2:$O$805,8001,[1]خرداد!$D$2:$D$805,$F$42,[1]خرداد!$AC$2:$AC$805,U3)</f>
        <v>0</v>
      </c>
    </row>
    <row r="43" spans="1:21" ht="38.25" customHeight="1" thickBot="1" x14ac:dyDescent="0.3">
      <c r="A43" s="45">
        <v>21</v>
      </c>
      <c r="B43" s="12" t="s">
        <v>32</v>
      </c>
      <c r="C43" s="13">
        <v>8002</v>
      </c>
      <c r="D43" s="13">
        <v>44</v>
      </c>
      <c r="E43" s="13" t="s">
        <v>15</v>
      </c>
      <c r="F43" s="31" t="s">
        <v>23</v>
      </c>
      <c r="G43" s="14">
        <f t="shared" si="0"/>
        <v>30</v>
      </c>
      <c r="H43" s="48">
        <f t="shared" si="1"/>
        <v>0</v>
      </c>
      <c r="I43" s="14">
        <v>0</v>
      </c>
      <c r="J43" s="14">
        <v>0</v>
      </c>
      <c r="K43" s="14">
        <v>0</v>
      </c>
      <c r="L43" s="14">
        <v>0</v>
      </c>
      <c r="M43" s="14">
        <f>SUM(G43:L43)-(D43)</f>
        <v>-14</v>
      </c>
      <c r="N43" s="17" t="s">
        <v>29</v>
      </c>
      <c r="O43" s="179">
        <f>SUMIFS([1]خرداد!$AF$2:$AF$805,[1]خرداد!$O$2:$O$805,8002,[1]خرداد!$D$2:$D$805,$F$43,[1]خرداد!$AC$2:$AC$805,O3)</f>
        <v>7.5</v>
      </c>
      <c r="P43" s="186">
        <f>SUMIFS([1]خرداد!$AF$2:$AF$805,[1]خرداد!$O$2:$O$805,8002,[1]خرداد!$D$2:$D$805,$F$43,[1]خرداد!$AC$2:$AC$805,P3)</f>
        <v>0</v>
      </c>
      <c r="Q43" s="186">
        <f>SUMIFS([1]خرداد!$AF$2:$AF$805,[1]خرداد!$O$2:$O$805,8002,[1]خرداد!$D$2:$D$805,$F$43,[1]خرداد!$AC$2:$AC$805,Q3)</f>
        <v>7.5</v>
      </c>
      <c r="R43" s="186">
        <f>SUMIFS([1]خرداد!$AF$2:$AF$805,[1]خرداد!$O$2:$O$805,8002,[1]خرداد!$D$2:$D$805,$F$43,[1]خرداد!$AC$2:$AC$805,R3)</f>
        <v>7.5</v>
      </c>
      <c r="S43" s="186">
        <f>SUMIFS([1]خرداد!$AF$2:$AF$805,[1]خرداد!$O$2:$O$805,8002,[1]خرداد!$D$2:$D$805,$F$43,[1]خرداد!$AC$2:$AC$805,S3)</f>
        <v>7.5</v>
      </c>
      <c r="T43" s="106">
        <f>SUMIFS([1]خرداد!$AF$2:$AF$805,[1]خرداد!$O$2:$O$805,8002,[1]خرداد!$D$2:$D$805,$F$43,[1]خرداد!$AC$2:$AC$805,T3)</f>
        <v>0</v>
      </c>
      <c r="U43" s="118">
        <f>SUMIFS([1]خرداد!$AF$2:$AF$805,[1]خرداد!$O$2:$O$805,8002,[1]خرداد!$D$2:$D$805,$F$43,[1]خرداد!$AC$2:$AC$805,U3)</f>
        <v>0</v>
      </c>
    </row>
    <row r="44" spans="1:21" ht="36" customHeight="1" x14ac:dyDescent="0.25">
      <c r="A44" s="957">
        <v>22</v>
      </c>
      <c r="B44" s="961" t="s">
        <v>33</v>
      </c>
      <c r="C44" s="943" t="s">
        <v>33</v>
      </c>
      <c r="D44" s="932">
        <v>62.5</v>
      </c>
      <c r="E44" s="943"/>
      <c r="F44" s="32" t="s">
        <v>16</v>
      </c>
      <c r="G44" s="9">
        <f t="shared" si="0"/>
        <v>26</v>
      </c>
      <c r="H44" s="46">
        <f t="shared" si="1"/>
        <v>0</v>
      </c>
      <c r="I44" s="9">
        <v>0</v>
      </c>
      <c r="J44" s="9">
        <v>0</v>
      </c>
      <c r="K44" s="9">
        <v>0</v>
      </c>
      <c r="L44" s="9">
        <v>0</v>
      </c>
      <c r="M44" s="9">
        <f>(SUM(G44:L44))-D44</f>
        <v>-36.5</v>
      </c>
      <c r="N44" s="33" t="s">
        <v>29</v>
      </c>
      <c r="O44" s="165">
        <f>SUMIFS([1]خرداد!$AF$2:$AF$805,[1]خرداد!$O$2:$O$805,"مونتاژ",[1]خرداد!$D$2:$D$805,$F$44,[1]خرداد!$AC$2:$AC$805,O3)</f>
        <v>9</v>
      </c>
      <c r="P44" s="169">
        <f>SUMIFS([1]خرداد!$AF$2:$AF$805,[1]خرداد!$O$2:$O$805,"مونتاژ",[1]خرداد!$D$2:$D$805,$F$44,[1]خرداد!$AC$2:$AC$805,P3)</f>
        <v>2.5</v>
      </c>
      <c r="Q44" s="169">
        <f>SUMIFS([1]خرداد!$AF$2:$AF$805,[1]خرداد!$O$2:$O$805,"مونتاژ",[1]خرداد!$D$2:$D$805,$F$44,[1]خرداد!$AC$2:$AC$805,Q3)</f>
        <v>8</v>
      </c>
      <c r="R44" s="169">
        <f>SUMIFS([1]خرداد!$AF$2:$AF$805,[1]خرداد!$O$2:$O$805,"مونتاژ",[1]خرداد!$D$2:$D$805,$F$44,[1]خرداد!$AC$2:$AC$805,R3)</f>
        <v>2.5</v>
      </c>
      <c r="S44" s="169">
        <f>SUMIFS([1]خرداد!$AF$2:$AF$805,[1]خرداد!$O$2:$O$805,"مونتاژ",[1]خرداد!$D$2:$D$805,$F$44,[1]خرداد!$AC$2:$AC$805,S3)</f>
        <v>4</v>
      </c>
      <c r="T44" s="98">
        <f>SUMIFS([1]خرداد!$AF$2:$AF$805,[1]خرداد!$O$2:$O$805,"مونتاژ",[1]خرداد!$D$2:$D$805,$F$44,[1]خرداد!$AC$2:$AC$805,T3)</f>
        <v>0</v>
      </c>
      <c r="U44" s="107">
        <f>SUMIFS([1]خرداد!$AF$2:$AF$805,[1]خرداد!$O$2:$O$805,"مونتاژ",[1]خرداد!$D$2:$D$805,$F$44,[1]خرداد!$AC$2:$AC$805,U3)</f>
        <v>0</v>
      </c>
    </row>
    <row r="45" spans="1:21" ht="36" customHeight="1" x14ac:dyDescent="0.25">
      <c r="A45" s="958"/>
      <c r="B45" s="962"/>
      <c r="C45" s="965"/>
      <c r="D45" s="933"/>
      <c r="E45" s="965"/>
      <c r="F45" s="29" t="s">
        <v>17</v>
      </c>
      <c r="G45" s="3">
        <f t="shared" si="0"/>
        <v>0</v>
      </c>
      <c r="H45" s="47">
        <f t="shared" si="1"/>
        <v>0</v>
      </c>
      <c r="I45" s="3">
        <v>0</v>
      </c>
      <c r="J45" s="3">
        <v>0</v>
      </c>
      <c r="K45" s="3">
        <v>0</v>
      </c>
      <c r="L45" s="3">
        <v>0</v>
      </c>
      <c r="M45" s="3">
        <f>(SUM(G45:L45))-D44</f>
        <v>-62.5</v>
      </c>
      <c r="N45" s="58"/>
      <c r="O45" s="166">
        <f>SUMIFS([1]خرداد!$AF$2:$AF$805,[1]خرداد!$O$2:$O$805,"مونتاژ",[1]خرداد!$D$2:$D$805,$F$45,[1]خرداد!$AC$2:$AC$805,O3)</f>
        <v>0</v>
      </c>
      <c r="P45" s="168">
        <f>SUMIFS([1]خرداد!$AF$2:$AF$805,[1]خرداد!$O$2:$O$805,"مونتاژ",[1]خرداد!$D$2:$D$805,$F$45,[1]خرداد!$AC$2:$AC$805,P3)</f>
        <v>0</v>
      </c>
      <c r="Q45" s="168">
        <f>SUMIFS([1]خرداد!$AF$2:$AF$805,[1]خرداد!$O$2:$O$805,"مونتاژ",[1]خرداد!$D$2:$D$805,$F$45,[1]خرداد!$AC$2:$AC$805,Q3)</f>
        <v>0</v>
      </c>
      <c r="R45" s="168">
        <f>SUMIFS([1]خرداد!$AF$2:$AF$805,[1]خرداد!$O$2:$O$805,"مونتاژ",[1]خرداد!$D$2:$D$805,$F$45,[1]خرداد!$AC$2:$AC$805,R3)</f>
        <v>0</v>
      </c>
      <c r="S45" s="168">
        <f>SUMIFS([1]خرداد!$AF$2:$AF$805,[1]خرداد!$O$2:$O$805,"مونتاژ",[1]خرداد!$D$2:$D$805,$F$45,[1]خرداد!$AC$2:$AC$805,S3)</f>
        <v>0</v>
      </c>
      <c r="T45" s="96">
        <f>SUMIFS([1]خرداد!$AF$2:$AF$805,[1]خرداد!$O$2:$O$805,"مونتاژ",[1]خرداد!$D$2:$D$805,$F$45,[1]خرداد!$AC$2:$AC$805,T3)</f>
        <v>0</v>
      </c>
      <c r="U45" s="108">
        <f>SUMIFS([1]خرداد!$AF$2:$AF$805,[1]خرداد!$O$2:$O$805,"مونتاژ",[1]خرداد!$D$2:$D$805,$F$45,[1]خرداد!$AC$2:$AC$805,U3)</f>
        <v>0</v>
      </c>
    </row>
    <row r="46" spans="1:21" ht="36" customHeight="1" x14ac:dyDescent="0.25">
      <c r="A46" s="959"/>
      <c r="B46" s="963"/>
      <c r="C46" s="966"/>
      <c r="D46" s="933"/>
      <c r="E46" s="966"/>
      <c r="F46" s="29" t="s">
        <v>54</v>
      </c>
      <c r="G46" s="3">
        <f t="shared" si="0"/>
        <v>9.5</v>
      </c>
      <c r="H46" s="47">
        <f t="shared" si="1"/>
        <v>0</v>
      </c>
      <c r="I46" s="3">
        <v>0</v>
      </c>
      <c r="J46" s="3">
        <v>0</v>
      </c>
      <c r="K46" s="3">
        <v>0</v>
      </c>
      <c r="L46" s="3">
        <v>0</v>
      </c>
      <c r="M46" s="3">
        <f>(SUM(G46:L46))-62</f>
        <v>-52.5</v>
      </c>
      <c r="N46" s="62" t="s">
        <v>29</v>
      </c>
      <c r="O46" s="166">
        <f>SUMIFS([1]خرداد!$AF$2:$AF$805,[1]خرداد!$O$2:$O$805,"مونتاژ",[1]خرداد!$D$2:$D$805,$F$46,[1]خرداد!$AC$2:$AC$805,O3)</f>
        <v>2</v>
      </c>
      <c r="P46" s="168">
        <f>SUMIFS([1]خرداد!$AF$2:$AF$805,[1]خرداد!$O$2:$O$805,"مونتاژ",[1]خرداد!$D$2:$D$805,$F$46,[1]خرداد!$AC$2:$AC$805,P3)</f>
        <v>0</v>
      </c>
      <c r="Q46" s="168">
        <f>SUMIFS([1]خرداد!$AF$2:$AF$805,[1]خرداد!$O$2:$O$805,"مونتاژ",[1]خرداد!$D$2:$D$805,$F$46,[1]خرداد!$AC$2:$AC$805,Q3)</f>
        <v>0</v>
      </c>
      <c r="R46" s="168">
        <f>SUMIFS([1]خرداد!$AF$2:$AF$805,[1]خرداد!$O$2:$O$805,"مونتاژ",[1]خرداد!$D$2:$D$805,$F$46,[1]خرداد!$AC$2:$AC$805,R3)</f>
        <v>0</v>
      </c>
      <c r="S46" s="168">
        <f>SUMIFS([1]خرداد!$AF$2:$AF$805,[1]خرداد!$O$2:$O$805,"مونتاژ",[1]خرداد!$D$2:$D$805,$F$46,[1]خرداد!$AC$2:$AC$805,S3)</f>
        <v>7.5</v>
      </c>
      <c r="T46" s="96">
        <f>SUMIFS([1]خرداد!$AF$2:$AF$805,[1]خرداد!$O$2:$O$805,"مونتاژ",[1]خرداد!$D$2:$D$805,$F$46,[1]خرداد!$AC$2:$AC$805,T3)</f>
        <v>0</v>
      </c>
      <c r="U46" s="108">
        <f>SUMIFS([1]خرداد!$AF$2:$AF$805,[1]خرداد!$O$2:$O$805,"مونتاژ",[1]خرداد!$D$2:$D$805,$F$46,[1]خرداد!$AC$2:$AC$805,U3)</f>
        <v>0</v>
      </c>
    </row>
    <row r="47" spans="1:21" ht="36" customHeight="1" thickBot="1" x14ac:dyDescent="0.3">
      <c r="A47" s="960"/>
      <c r="B47" s="964"/>
      <c r="C47" s="944"/>
      <c r="D47" s="934"/>
      <c r="E47" s="944"/>
      <c r="F47" s="30"/>
      <c r="G47" s="6">
        <f t="shared" si="0"/>
        <v>0</v>
      </c>
      <c r="H47" s="64">
        <f t="shared" si="1"/>
        <v>0</v>
      </c>
      <c r="I47" s="7">
        <v>0</v>
      </c>
      <c r="J47" s="7">
        <v>0</v>
      </c>
      <c r="K47" s="7">
        <v>0</v>
      </c>
      <c r="L47" s="7">
        <v>0</v>
      </c>
      <c r="M47" s="7">
        <f>SUM(G47:J47)-62</f>
        <v>-62</v>
      </c>
      <c r="N47" s="34"/>
      <c r="O47" s="167">
        <f>SUMIFS([1]اردیبهشت!$AD$2:$AD$805,[1]اردیبهشت!$N$2:$N$805,"مونتاژ",[1]اردیبهشت!$D$2:$D$805,$F$47,[1]اردیبهشت!$AA$2:$AA$805,O3)</f>
        <v>0</v>
      </c>
      <c r="P47" s="175">
        <f>SUMIFS([1]اردیبهشت!$AD$2:$AD$805,[1]اردیبهشت!$N$2:$N$805,"مونتاژ",[1]اردیبهشت!$D$2:$D$805,$F$47,[1]اردیبهشت!$AA$2:$AA$805,P3)</f>
        <v>0</v>
      </c>
      <c r="Q47" s="175">
        <f>SUMIFS([1]اردیبهشت!$AD$2:$AD$805,[1]اردیبهشت!$N$2:$N$805,"مونتاژ",[1]اردیبهشت!$D$2:$D$805,$F$47,[1]اردیبهشت!$AA$2:$AA$805,Q3)</f>
        <v>0</v>
      </c>
      <c r="R47" s="175">
        <f>SUMIFS([1]اردیبهشت!$AD$2:$AD$805,[1]اردیبهشت!$N$2:$N$805,"مونتاژ",[1]اردیبهشت!$D$2:$D$805,$F$47,[1]اردیبهشت!$AA$2:$AA$805,R3)</f>
        <v>0</v>
      </c>
      <c r="S47" s="175">
        <f>SUMIFS([1]اردیبهشت!$AD$2:$AD$805,[1]اردیبهشت!$N$2:$N$805,"مونتاژ",[1]اردیبهشت!$D$2:$D$805,$F$47,[1]اردیبهشت!$AA$2:$AA$805,S3)</f>
        <v>0</v>
      </c>
      <c r="T47" s="97">
        <f>SUMIFS([1]اردیبهشت!$AD$2:$AD$805,[1]اردیبهشت!$N$2:$N$805,"مونتاژ",[1]اردیبهشت!$D$2:$D$805,$F$47,[1]اردیبهشت!$AA$2:$AA$805,T3)</f>
        <v>0</v>
      </c>
      <c r="U47" s="114">
        <f>SUMIFS([1]اردیبهشت!$AD$2:$AD$600,[1]اردیبهشت!$N$2:$N$600,"مونتاژ",[1]اردیبهشت!$D$2:$D$600,$F$47,[1]اردیبهشت!$AA$2:$AA$600,U3)</f>
        <v>0</v>
      </c>
    </row>
    <row r="48" spans="1:21" ht="36" customHeight="1" x14ac:dyDescent="0.25">
      <c r="A48" s="967">
        <v>23</v>
      </c>
      <c r="B48" s="961" t="s">
        <v>33</v>
      </c>
      <c r="C48" s="943" t="s">
        <v>34</v>
      </c>
      <c r="D48" s="932">
        <v>62.5</v>
      </c>
      <c r="E48" s="932"/>
      <c r="F48" s="32" t="s">
        <v>16</v>
      </c>
      <c r="G48" s="9">
        <f t="shared" si="0"/>
        <v>16</v>
      </c>
      <c r="H48" s="46">
        <f t="shared" si="1"/>
        <v>0</v>
      </c>
      <c r="I48" s="9">
        <v>0</v>
      </c>
      <c r="J48" s="9">
        <v>0</v>
      </c>
      <c r="K48" s="9">
        <v>0</v>
      </c>
      <c r="L48" s="9">
        <v>0</v>
      </c>
      <c r="M48" s="9">
        <f>SUM(G48:L48)-62</f>
        <v>-46</v>
      </c>
      <c r="N48" s="56"/>
      <c r="O48" s="165">
        <f>SUMIFS([1]خرداد!$AF$2:$AF$805,[1]خرداد!$O$2:$O$805,"دمونتاژ",[1]خرداد!$D$2:$D$805,$F$48,[1]خرداد!$AC$2:$AC$805,O3)</f>
        <v>0</v>
      </c>
      <c r="P48" s="169">
        <f>SUMIFS([1]خرداد!$AF$2:$AF$805,[1]خرداد!$O$2:$O$805,"دمونتاژ",[1]خرداد!$D$2:$D$805,$F$48,[1]خرداد!$AC$2:$AC$805,P3)</f>
        <v>3.5</v>
      </c>
      <c r="Q48" s="169">
        <f>SUMIFS([1]خرداد!$AF$2:$AF$805,[1]خرداد!$O$2:$O$805,"دمونتاژ",[1]خرداد!$D$2:$D$805,$F$48,[1]خرداد!$AC$2:$AC$805,Q3)</f>
        <v>1.5</v>
      </c>
      <c r="R48" s="169">
        <f>SUMIFS([1]خرداد!$AF$2:$AF$805,[1]خرداد!$O$2:$O$805,"دمونتاژ",[1]خرداد!$D$2:$D$805,$F$48,[1]خرداد!$AC$2:$AC$805,R3)</f>
        <v>4</v>
      </c>
      <c r="S48" s="169">
        <f>SUMIFS([1]خرداد!$AF$2:$AF$805,[1]خرداد!$O$2:$O$805,"دمونتاژ",[1]خرداد!$D$2:$D$805,$F$48,[1]خرداد!$AC$2:$AC$805,S3)</f>
        <v>7</v>
      </c>
      <c r="T48" s="98">
        <f>SUMIFS([1]خرداد!$AF$2:$AF$805,[1]خرداد!$O$2:$O$805,"دمونتاژ",[1]خرداد!$D$2:$D$805,$F$48,[1]خرداد!$AC$2:$AC$805,T3)</f>
        <v>0</v>
      </c>
      <c r="U48" s="107">
        <f>SUMIFS([1]خرداد!$AF$2:$AF$805,[1]خرداد!$O$2:$O$805,"دمونتاژ",[1]خرداد!$D$2:$D$805,$F$48,[1]خرداد!$AC$2:$AC$805,U3)</f>
        <v>0</v>
      </c>
    </row>
    <row r="49" spans="1:21" ht="36" customHeight="1" x14ac:dyDescent="0.25">
      <c r="A49" s="967"/>
      <c r="B49" s="962"/>
      <c r="C49" s="965"/>
      <c r="D49" s="933"/>
      <c r="E49" s="933"/>
      <c r="F49" s="29"/>
      <c r="G49" s="3">
        <f t="shared" si="0"/>
        <v>0</v>
      </c>
      <c r="H49" s="47">
        <f t="shared" si="1"/>
        <v>0</v>
      </c>
      <c r="I49" s="3">
        <v>0</v>
      </c>
      <c r="J49" s="3">
        <v>0</v>
      </c>
      <c r="K49" s="3">
        <v>0</v>
      </c>
      <c r="L49" s="3">
        <v>0</v>
      </c>
      <c r="M49" s="3">
        <f>SUM(G49:L49)-62</f>
        <v>-62</v>
      </c>
      <c r="N49" s="62"/>
      <c r="O49" s="166">
        <f>SUMIFS([1]اردیبهشت!$AD$2:$AD$805,[1]اردیبهشت!$N$2:$N$805,"دمونتاژ",[1]اردیبهشت!$D$2:$D$805,$F$49,[1]اردیبهشت!$AA$2:$AA$805,O3)</f>
        <v>0</v>
      </c>
      <c r="P49" s="168">
        <f>SUMIFS([1]اردیبهشت!$AD$2:$AD$805,[1]اردیبهشت!$N$2:$N$805,"دمونتاژ",[1]اردیبهشت!$D$2:$D$805,$F$49,[1]اردیبهشت!$AA$2:$AA$805,P3)</f>
        <v>0</v>
      </c>
      <c r="Q49" s="168">
        <f>SUMIFS([1]اردیبهشت!$AD$2:$AD$805,[1]اردیبهشت!$N$2:$N$805,"دمونتاژ",[1]اردیبهشت!$D$2:$D$805,$F$49,[1]اردیبهشت!$AA$2:$AA$805,Q3)</f>
        <v>0</v>
      </c>
      <c r="R49" s="168">
        <f>SUMIFS([1]اردیبهشت!$AD$2:$AD$805,[1]اردیبهشت!$N$2:$N$805,"دمونتاژ",[1]اردیبهشت!$D$2:$D$805,$F$49,[1]اردیبهشت!$AA$2:$AA$805,R3)</f>
        <v>0</v>
      </c>
      <c r="S49" s="168">
        <f>SUMIFS([1]اردیبهشت!$AD$2:$AD$805,[1]اردیبهشت!$N$2:$N$805,"دمونتاژ",[1]اردیبهشت!$D$2:$D$805,$F$49,[1]اردیبهشت!$AA$2:$AA$805,S3)</f>
        <v>0</v>
      </c>
      <c r="T49" s="96">
        <f>SUMIFS([1]اردیبهشت!$AD$2:$AD$805,[1]اردیبهشت!$N$2:$N$805,"دمونتاژ",[1]اردیبهشت!$D$2:$D$805,$F$49,[1]اردیبهشت!$AA$2:$AA$805,T3)</f>
        <v>0</v>
      </c>
      <c r="U49" s="108">
        <f>SUMIFS([1]اردیبهشت!$AD$2:$AD$600,[1]اردیبهشت!$N$2:$N$600,"دمونتاژ",[1]اردیبهشت!$D$2:$D$600,$F$49,[1]اردیبهشت!$AA$2:$AA$600,U3)</f>
        <v>0</v>
      </c>
    </row>
    <row r="50" spans="1:21" ht="36" customHeight="1" x14ac:dyDescent="0.25">
      <c r="A50" s="967"/>
      <c r="B50" s="962"/>
      <c r="C50" s="965"/>
      <c r="D50" s="933"/>
      <c r="E50" s="933"/>
      <c r="F50" s="29" t="s">
        <v>54</v>
      </c>
      <c r="G50" s="3">
        <f t="shared" si="0"/>
        <v>2</v>
      </c>
      <c r="H50" s="47">
        <f t="shared" si="1"/>
        <v>0</v>
      </c>
      <c r="I50" s="3">
        <v>0</v>
      </c>
      <c r="J50" s="3">
        <v>0</v>
      </c>
      <c r="K50" s="3">
        <v>0</v>
      </c>
      <c r="L50" s="3">
        <v>0</v>
      </c>
      <c r="M50" s="3">
        <f>SUM(G50:L50)-62</f>
        <v>-60</v>
      </c>
      <c r="N50" s="62"/>
      <c r="O50" s="166">
        <f>SUMIFS([1]خرداد!$AF$2:$AF$805,[1]خرداد!$O$2:$O$805,"دمونتاژ",[1]خرداد!$D$2:$D$805,$F$50,[1]خرداد!$AC$2:$AC$805,O3)</f>
        <v>0</v>
      </c>
      <c r="P50" s="168">
        <f>SUMIFS([1]خرداد!$AF$2:$AF$805,[1]خرداد!$O$2:$O$805,"دمونتاژ",[1]خرداد!$D$2:$D$805,$F$50,[1]خرداد!$AC$2:$AC$805,P3)</f>
        <v>2</v>
      </c>
      <c r="Q50" s="168">
        <f>SUMIFS([1]خرداد!$AF$2:$AF$805,[1]خرداد!$O$2:$O$805,"دمونتاژ",[1]خرداد!$D$2:$D$805,$F$50,[1]خرداد!$AC$2:$AC$805,Q3)</f>
        <v>0</v>
      </c>
      <c r="R50" s="168">
        <f>SUMIFS([1]خرداد!$AF$2:$AF$805,[1]خرداد!$O$2:$O$805,"دمونتاژ",[1]خرداد!$D$2:$D$805,$F$50,[1]خرداد!$AC$2:$AC$805,R3)</f>
        <v>0</v>
      </c>
      <c r="S50" s="168">
        <f>SUMIFS([1]خرداد!$AF$2:$AF$805,[1]خرداد!$O$2:$O$805,"دمونتاژ",[1]خرداد!$D$2:$D$805,$F$50,[1]خرداد!$AC$2:$AC$805,S3)</f>
        <v>0</v>
      </c>
      <c r="T50" s="96">
        <f>SUMIFS([1]خرداد!$AF$2:$AF$805,[1]خرداد!$O$2:$O$805,"دمونتاژ",[1]خرداد!$D$2:$D$805,$F$50,[1]خرداد!$AC$2:$AC$805,T3)</f>
        <v>0</v>
      </c>
      <c r="U50" s="108">
        <f>SUMIFS([1]خرداد!$AF$2:$AF$805,[1]خرداد!$O$2:$O$805,"دمونتاژ",[1]خرداد!$D$2:$D$805,$F$50,[1]خرداد!$AC$2:$AC$805,U3)</f>
        <v>0</v>
      </c>
    </row>
    <row r="51" spans="1:21" ht="36" customHeight="1" thickBot="1" x14ac:dyDescent="0.3">
      <c r="A51" s="967"/>
      <c r="B51" s="963"/>
      <c r="C51" s="966"/>
      <c r="D51" s="934"/>
      <c r="E51" s="934"/>
      <c r="F51" s="411"/>
      <c r="G51" s="4">
        <f t="shared" si="0"/>
        <v>0</v>
      </c>
      <c r="H51" s="49">
        <f t="shared" si="1"/>
        <v>0</v>
      </c>
      <c r="I51" s="25">
        <v>0</v>
      </c>
      <c r="J51" s="25">
        <v>0</v>
      </c>
      <c r="K51" s="25">
        <v>0</v>
      </c>
      <c r="L51" s="25">
        <v>0</v>
      </c>
      <c r="M51" s="25">
        <f>SUM(G51:L51)-62</f>
        <v>-62</v>
      </c>
      <c r="N51" s="58"/>
      <c r="O51" s="171">
        <f>SUMIFS([1]اردیبهشت!$AD$2:$AD$805,[1]اردیبهشت!$N$2:$N$805,"دمونتاژ",[1]اردیبهشت!$D$2:$D$805,$F$51,[1]اردیبهشت!$AA$2:$AA$805,O3)</f>
        <v>0</v>
      </c>
      <c r="P51" s="172">
        <f>SUMIFS([1]اردیبهشت!$AD$2:$AD$805,[1]اردیبهشت!$N$2:$N$805,"دمونتاژ",[1]اردیبهشت!$D$2:$D$805,$F$51,[1]اردیبهشت!$AA$2:$AA$805,P3)</f>
        <v>0</v>
      </c>
      <c r="Q51" s="172">
        <f>SUMIFS([1]اردیبهشت!$AD$2:$AD$805,[1]اردیبهشت!$N$2:$N$805,"دمونتاژ",[1]اردیبهشت!$D$2:$D$805,$F$51,[1]اردیبهشت!$AA$2:$AA$805,Q3)</f>
        <v>0</v>
      </c>
      <c r="R51" s="172">
        <f>SUMIFS([1]اردیبهشت!$AD$2:$AD$805,[1]اردیبهشت!$N$2:$N$805,"دمونتاژ",[1]اردیبهشت!$D$2:$D$805,$F$51,[1]اردیبهشت!$AA$2:$AA$805,R3)</f>
        <v>0</v>
      </c>
      <c r="S51" s="172">
        <f>SUMIFS([1]اردیبهشت!$AD$2:$AD$805,[1]اردیبهشت!$N$2:$N$805,"دمونتاژ",[1]اردیبهشت!$D$2:$D$805,$F$51,[1]اردیبهشت!$AA$2:$AA$805,S3)</f>
        <v>0</v>
      </c>
      <c r="T51" s="103">
        <f>SUMIFS([1]اردیبهشت!$AD$2:$AD$805,[1]اردیبهشت!$N$2:$N$805,"دمونتاژ",[1]اردیبهشت!$D$2:$D$805,$F$51,[1]اردیبهشت!$AA$2:$AA$805,T3)</f>
        <v>0</v>
      </c>
      <c r="U51" s="109">
        <f>SUMIFS([1]اردیبهشت!$AD$2:$AD$600,[1]اردیبهشت!$N$2:$N$600,"دمونتاژ",[1]اردیبهشت!$D$2:$D$600,$F$51,[1]اردیبهشت!$AA$2:$AA$600,U3)</f>
        <v>0</v>
      </c>
    </row>
    <row r="52" spans="1:21" ht="42.75" customHeight="1" thickBot="1" x14ac:dyDescent="0.3">
      <c r="A52" s="951" t="s">
        <v>49</v>
      </c>
      <c r="B52" s="952"/>
      <c r="C52" s="952"/>
      <c r="D52" s="952"/>
      <c r="E52" s="952"/>
      <c r="F52" s="953"/>
      <c r="G52" s="148">
        <f>SUM(G4:G50)-G43</f>
        <v>526.83333333333326</v>
      </c>
      <c r="H52" s="148">
        <f>SUM(H4:H51)</f>
        <v>0</v>
      </c>
      <c r="I52" s="148">
        <f>SUM(I4:I51)</f>
        <v>79.5</v>
      </c>
      <c r="J52" s="148">
        <f>SUM(J4:J51)</f>
        <v>196.5</v>
      </c>
      <c r="K52" s="148"/>
      <c r="L52" s="148"/>
      <c r="M52" s="149">
        <f>SUMIFS(M4:M51,F4:F51,"*")</f>
        <v>-627.16666666666674</v>
      </c>
      <c r="N52" s="306"/>
      <c r="O52" s="302">
        <f>SUM(O4:O51)</f>
        <v>108.83333333333333</v>
      </c>
      <c r="P52" s="198">
        <f t="shared" ref="P52:U52" si="2">SUM(P4:P51)</f>
        <v>110.83333333333334</v>
      </c>
      <c r="Q52" s="198">
        <f t="shared" si="2"/>
        <v>99</v>
      </c>
      <c r="R52" s="198">
        <f t="shared" si="2"/>
        <v>103.83333333333333</v>
      </c>
      <c r="S52" s="198">
        <f t="shared" si="2"/>
        <v>134.33333333333331</v>
      </c>
      <c r="T52" s="199">
        <f t="shared" si="2"/>
        <v>0</v>
      </c>
      <c r="U52" s="150">
        <f t="shared" si="2"/>
        <v>0</v>
      </c>
    </row>
  </sheetData>
  <mergeCells count="41">
    <mergeCell ref="E16:E18"/>
    <mergeCell ref="N16:N18"/>
    <mergeCell ref="A1:L2"/>
    <mergeCell ref="O1:U2"/>
    <mergeCell ref="E4:E6"/>
    <mergeCell ref="N4:N6"/>
    <mergeCell ref="E7:E9"/>
    <mergeCell ref="E20:E22"/>
    <mergeCell ref="N20:N22"/>
    <mergeCell ref="E23:E25"/>
    <mergeCell ref="N23:N25"/>
    <mergeCell ref="E26:E28"/>
    <mergeCell ref="N26:N28"/>
    <mergeCell ref="A29:A30"/>
    <mergeCell ref="E29:E30"/>
    <mergeCell ref="N29:N30"/>
    <mergeCell ref="A31:A32"/>
    <mergeCell ref="E31:E32"/>
    <mergeCell ref="N31:N32"/>
    <mergeCell ref="A33:A34"/>
    <mergeCell ref="E33:E34"/>
    <mergeCell ref="N33:N34"/>
    <mergeCell ref="A35:A36"/>
    <mergeCell ref="E35:E36"/>
    <mergeCell ref="N35:N36"/>
    <mergeCell ref="A52:F52"/>
    <mergeCell ref="A37:A38"/>
    <mergeCell ref="E37:E38"/>
    <mergeCell ref="N37:N38"/>
    <mergeCell ref="E39:E41"/>
    <mergeCell ref="N39:N41"/>
    <mergeCell ref="A44:A47"/>
    <mergeCell ref="B44:B47"/>
    <mergeCell ref="C44:C47"/>
    <mergeCell ref="D44:D47"/>
    <mergeCell ref="E44:E47"/>
    <mergeCell ref="A48:A51"/>
    <mergeCell ref="B48:B51"/>
    <mergeCell ref="C48:C51"/>
    <mergeCell ref="D48:D51"/>
    <mergeCell ref="E48:E51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U29:U33" formula="1"/>
    <ignoredError sqref="M5:M52" formulaRange="1"/>
  </ignoredErrors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B3385-E7F8-473E-9201-1F8299B47859}">
  <sheetPr>
    <pageSetUpPr fitToPage="1"/>
  </sheetPr>
  <dimension ref="A1:U52"/>
  <sheetViews>
    <sheetView rightToLeft="1" view="pageLayout" zoomScaleNormal="100" workbookViewId="0">
      <selection activeCell="G52" sqref="G52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" customWidth="1"/>
    <col min="15" max="20" width="6.42578125" style="52" hidden="1" customWidth="1"/>
    <col min="21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12</v>
      </c>
      <c r="O2" s="926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291" t="s">
        <v>130</v>
      </c>
      <c r="P3" s="291" t="s">
        <v>131</v>
      </c>
      <c r="Q3" s="291" t="s">
        <v>132</v>
      </c>
      <c r="R3" s="291" t="s">
        <v>133</v>
      </c>
      <c r="S3" s="291" t="s">
        <v>134</v>
      </c>
      <c r="T3" s="291" t="s">
        <v>135</v>
      </c>
      <c r="U3" s="291" t="s">
        <v>136</v>
      </c>
    </row>
    <row r="4" spans="1:21" ht="33.75" customHeight="1" x14ac:dyDescent="0.25">
      <c r="A4" s="405"/>
      <c r="B4" s="414"/>
      <c r="C4" s="307"/>
      <c r="D4" s="39"/>
      <c r="E4" s="932" t="s">
        <v>15</v>
      </c>
      <c r="F4" s="403" t="s">
        <v>55</v>
      </c>
      <c r="G4" s="9">
        <f>SUM(O4:T4)</f>
        <v>41</v>
      </c>
      <c r="H4" s="46">
        <f>U4</f>
        <v>0</v>
      </c>
      <c r="I4" s="9">
        <v>0</v>
      </c>
      <c r="J4" s="9">
        <v>0</v>
      </c>
      <c r="K4" s="9">
        <v>0</v>
      </c>
      <c r="L4" s="9">
        <v>0</v>
      </c>
      <c r="M4" s="28"/>
      <c r="N4" s="945" t="s">
        <v>101</v>
      </c>
      <c r="O4" s="165">
        <f>SUMIFS([1]خرداد!$AF$2:$AF$805,[1]خرداد!$O$2:$O$805,7101,[1]خرداد!$D$2:$D$805,$F$4,[1]خرداد!$AC$2:$AC$805,O3)</f>
        <v>11</v>
      </c>
      <c r="P4" s="292">
        <f>SUMIFS([1]خرداد!$AF$2:$AF$805,[1]خرداد!$O$2:$O$805,7101,[1]خرداد!$D$2:$D$805,$F$4,[1]خرداد!$AC$2:$AC$805,P3)</f>
        <v>11</v>
      </c>
      <c r="Q4" s="292">
        <f>SUMIFS([1]خرداد!$AF$2:$AF$805,[1]خرداد!$O$2:$O$805,7101,[1]خرداد!$D$2:$D$805,$F$4,[1]خرداد!$AC$2:$AC$805,Q3)</f>
        <v>11</v>
      </c>
      <c r="R4" s="292">
        <f>SUMIFS([1]خرداد!$AF$2:$AF$805,[1]خرداد!$O$2:$O$805,7101,[1]خرداد!$D$2:$D$805,$F$4,[1]خرداد!$AC$2:$AC$805,R3)</f>
        <v>8</v>
      </c>
      <c r="S4" s="292">
        <f>SUMIFS([1]خرداد!$AF$2:$AF$805,[1]خرداد!$O$2:$O$805,7101,[1]خرداد!$D$2:$D$805,$F$4,[1]خرداد!$AC$2:$AC$805,S3)</f>
        <v>0</v>
      </c>
      <c r="T4" s="292">
        <f>SUMIFS([1]خرداد!$AF$2:$AF$805,[1]خرداد!$O$2:$O$805,7101,[1]خرداد!$D$2:$D$805,$F$4,[1]خرداد!$AC$2:$AC$805,T3)</f>
        <v>0</v>
      </c>
      <c r="U4" s="357">
        <f>SUMIFS([1]خرداد!$AF$2:$AF$805,[1]خرداد!$O$2:$O$805,7101,[1]خرداد!$D$2:$D$805,$F$4,[1]خرداد!$AC$2:$AC$805,U3)</f>
        <v>0</v>
      </c>
    </row>
    <row r="5" spans="1:21" ht="33.75" customHeight="1" x14ac:dyDescent="0.25">
      <c r="A5" s="406">
        <v>1</v>
      </c>
      <c r="B5" s="415" t="s">
        <v>14</v>
      </c>
      <c r="C5" s="308">
        <v>7101</v>
      </c>
      <c r="D5" s="2">
        <v>62.5</v>
      </c>
      <c r="E5" s="933"/>
      <c r="F5" s="410"/>
      <c r="G5" s="3">
        <f t="shared" ref="G5:G51" si="0">SUM(O5:T5)</f>
        <v>0</v>
      </c>
      <c r="H5" s="47">
        <f t="shared" ref="H5:H51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-21.5</v>
      </c>
      <c r="N5" s="929"/>
      <c r="O5" s="166">
        <f>SUMIFS([1]اردیبهشت!$AD$2:$AD$600,[1]اردیبهشت!$N$2:$N$600,7101,[1]اردیبهشت!$D$2:$D$600,$F$5,[1]اردیبهشت!$AA$2:$AA$600,O3)</f>
        <v>0</v>
      </c>
      <c r="P5" s="168">
        <f>SUMIFS([1]اردیبهشت!$AD$2:$AD$600,[1]اردیبهشت!$N$2:$N$600,7101,[1]اردیبهشت!$D$2:$D$600,$F$5,[1]اردیبهشت!$AA$2:$AA$600,P3)</f>
        <v>0</v>
      </c>
      <c r="Q5" s="168">
        <f>SUMIFS([1]اردیبهشت!$AD$2:$AD$600,[1]اردیبهشت!$N$2:$N$600,7101,[1]اردیبهشت!$D$2:$D$600,$F$5,[1]اردیبهشت!$AA$2:$AA$600,Q3)</f>
        <v>0</v>
      </c>
      <c r="R5" s="168">
        <f>SUMIFS([1]اردیبهشت!$AD$2:$AD$600,[1]اردیبهشت!$N$2:$N$600,7101,[1]اردیبهشت!$D$2:$D$600,$F$5,[1]اردیبهشت!$AA$2:$AA$600,R3)</f>
        <v>0</v>
      </c>
      <c r="S5" s="168">
        <f>SUMIFS([1]اردیبهشت!$AD$2:$AD$600,[1]اردیبهشت!$N$2:$N$600,7101,[1]اردیبهشت!$D$2:$D$600,$F$5,[1]اردیبهشت!$AA$2:$AA$600,S3)</f>
        <v>0</v>
      </c>
      <c r="T5" s="168">
        <f>SUMIFS([1]اردیبهشت!$AD$2:$AD$600,[1]اردیبهشت!$N$2:$N$600,7101,[1]اردیبهشت!$D$2:$D$600,$F$5,[1]اردیبهشت!$AA$2:$AA$600,T3)</f>
        <v>0</v>
      </c>
      <c r="U5" s="108">
        <f>SUMIFS([1]اردیبهشت!$AD$2:$AD$600,[1]اردیبهشت!$N$2:$N$600,7101,[1]اردیبهشت!$D$2:$D$600,$F$5,[1]اردیبهشت!$AA$2:$AA$600,U3)</f>
        <v>0</v>
      </c>
    </row>
    <row r="6" spans="1:21" ht="33.75" customHeight="1" thickBot="1" x14ac:dyDescent="0.3">
      <c r="A6" s="407"/>
      <c r="B6" s="88"/>
      <c r="C6" s="310"/>
      <c r="D6" s="404"/>
      <c r="E6" s="934"/>
      <c r="F6" s="5"/>
      <c r="G6" s="6">
        <f t="shared" si="0"/>
        <v>0</v>
      </c>
      <c r="H6" s="64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171">
        <f>SUMIFS([1]اردیبهشت!$AD$2:$AD$600,[1]اردیبهشت!$N$2:$N$600,7101,[1]اردیبهشت!$D$2:$D$600,$F$6,[1]اردیبهشت!$AA$2:$AA$600,O3)</f>
        <v>0</v>
      </c>
      <c r="P6" s="172">
        <f>SUMIFS([1]اردیبهشت!$AD$2:$AD$600,[1]اردیبهشت!$N$2:$N$600,7101,[1]اردیبهشت!$D$2:$D$600,$F$6,[1]اردیبهشت!$AA$2:$AA$600,P3)</f>
        <v>0</v>
      </c>
      <c r="Q6" s="172">
        <f>SUMIFS([1]اردیبهشت!$AD$2:$AD$600,[1]اردیبهشت!$N$2:$N$600,7101,[1]اردیبهشت!$D$2:$D$600,$F$6,[1]اردیبهشت!$AA$2:$AA$600,Q3)</f>
        <v>0</v>
      </c>
      <c r="R6" s="172">
        <f>SUMIFS([1]اردیبهشت!$AD$2:$AD$600,[1]اردیبهشت!$N$2:$N$600,7101,[1]اردیبهشت!$D$2:$D$600,$F$6,[1]اردیبهشت!$AA$2:$AA$600,R3)</f>
        <v>0</v>
      </c>
      <c r="S6" s="172">
        <f>SUMIFS([1]اردیبهشت!$AD$2:$AD$600,[1]اردیبهشت!$N$2:$N$600,7101,[1]اردیبهشت!$D$2:$D$600,$F$6,[1]اردیبهشت!$AA$2:$AA$600,S3)</f>
        <v>0</v>
      </c>
      <c r="T6" s="172">
        <f>SUMIFS([1]اردیبهشت!$AD$2:$AD$600,[1]اردیبهشت!$N$2:$N$600,7101,[1]اردیبهشت!$D$2:$D$600,$F$6,[1]اردیبهشت!$AA$2:$AA$600,T3)</f>
        <v>0</v>
      </c>
      <c r="U6" s="109">
        <f>SUMIFS([1]اردیبهشت!$AD$2:$AD$600,[1]اردیبهشت!$N$2:$N$600,7101,[1]اردیبهشت!$D$2:$D$600,$F$6,[1]اردیبهشت!$AA$2:$AA$600,U3)</f>
        <v>0</v>
      </c>
    </row>
    <row r="7" spans="1:21" ht="33.75" customHeight="1" x14ac:dyDescent="0.25">
      <c r="A7" s="420"/>
      <c r="B7" s="216"/>
      <c r="C7" s="224"/>
      <c r="D7" s="413"/>
      <c r="E7" s="932" t="s">
        <v>15</v>
      </c>
      <c r="F7" s="20" t="s">
        <v>20</v>
      </c>
      <c r="G7" s="1">
        <f t="shared" si="0"/>
        <v>62.5</v>
      </c>
      <c r="H7" s="49">
        <f t="shared" si="1"/>
        <v>0</v>
      </c>
      <c r="I7" s="1">
        <v>0</v>
      </c>
      <c r="J7" s="1">
        <v>0</v>
      </c>
      <c r="K7" s="1">
        <v>0</v>
      </c>
      <c r="L7" s="1">
        <v>0</v>
      </c>
      <c r="M7" s="69"/>
      <c r="N7" s="398"/>
      <c r="O7" s="165">
        <f>SUMIFS([1]خرداد!$AF$2:$AF$805,[1]خرداد!$O$2:$O$805,7102,[1]خرداد!$D$2:$D$805,$F$7,[1]خرداد!$AC$2:$AC$805,O3)</f>
        <v>11</v>
      </c>
      <c r="P7" s="169">
        <f>SUMIFS([1]خرداد!$AF$2:$AF$805,[1]خرداد!$O$2:$O$805,7102,[1]خرداد!$D$2:$D$805,$F$7,[1]خرداد!$AC$2:$AC$805,P3)</f>
        <v>11</v>
      </c>
      <c r="Q7" s="169">
        <f>SUMIFS([1]خرداد!$AF$2:$AF$805,[1]خرداد!$O$2:$O$805,7102,[1]خرداد!$D$2:$D$805,$F$7,[1]خرداد!$AC$2:$AC$805,Q3)</f>
        <v>11</v>
      </c>
      <c r="R7" s="169">
        <f>SUMIFS([1]خرداد!$AF$2:$AF$805,[1]خرداد!$O$2:$O$805,7102,[1]خرداد!$D$2:$D$805,$F$7,[1]خرداد!$AC$2:$AC$805,R3)</f>
        <v>11</v>
      </c>
      <c r="S7" s="169">
        <f>SUMIFS([1]خرداد!$AF$2:$AF$805,[1]خرداد!$O$2:$O$805,7102,[1]خرداد!$D$2:$D$805,$F$7,[1]خرداد!$AC$2:$AC$805,S3)</f>
        <v>11</v>
      </c>
      <c r="T7" s="169">
        <f>SUMIFS([1]خرداد!$AF$2:$AF$805,[1]خرداد!$O$2:$O$805,7102,[1]خرداد!$D$2:$D$805,$F$7,[1]خرداد!$AC$2:$AC$805,T3)</f>
        <v>7.5</v>
      </c>
      <c r="U7" s="170">
        <f>SUMIFS([1]خرداد!$AF$2:$AF$805,[1]خرداد!$O$2:$O$805,7102,[1]خرداد!$D$2:$D$805,$F$7,[1]خرداد!$AC$2:$AC$805,U3)</f>
        <v>0</v>
      </c>
    </row>
    <row r="8" spans="1:21" ht="33.75" customHeight="1" x14ac:dyDescent="0.25">
      <c r="A8" s="420">
        <v>2</v>
      </c>
      <c r="B8" s="216" t="s">
        <v>14</v>
      </c>
      <c r="C8" s="308">
        <v>7102</v>
      </c>
      <c r="D8" s="2">
        <v>62.5</v>
      </c>
      <c r="E8" s="933"/>
      <c r="F8" s="413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0</v>
      </c>
      <c r="N8" s="399" t="s">
        <v>29</v>
      </c>
      <c r="O8" s="166">
        <f>SUMIFS([1]اردیبهشت!$AD$2:$AD$600,[1]اردیبهشت!$N$2:$N$600,7102,[1]اردیبهشت!$D$2:$D$600,$F$8,[1]اردیبهشت!$AA$2:$AA$600,O3)</f>
        <v>0</v>
      </c>
      <c r="P8" s="168">
        <f>SUMIFS([1]اردیبهشت!$AD$2:$AD$600,[1]اردیبهشت!$N$2:$N$600,7102,[1]اردیبهشت!$D$2:$D$600,$F$8,[1]اردیبهشت!$AA$2:$AA$600,P3)</f>
        <v>0</v>
      </c>
      <c r="Q8" s="168">
        <f>SUMIFS([1]اردیبهشت!$AD$2:$AD$600,[1]اردیبهشت!$N$2:$N$600,7102,[1]اردیبهشت!$D$2:$D$600,$F$8,[1]اردیبهشت!$AA$2:$AA$600,Q3)</f>
        <v>0</v>
      </c>
      <c r="R8" s="168">
        <f>SUMIFS([1]اردیبهشت!$AD$2:$AD$600,[1]اردیبهشت!$N$2:$N$600,7102,[1]اردیبهشت!$D$2:$D$600,$F$8,[1]اردیبهشت!$AA$2:$AA$600,R3)</f>
        <v>0</v>
      </c>
      <c r="S8" s="168">
        <f>SUMIFS([1]اردیبهشت!$AD$2:$AD$600,[1]اردیبهشت!$N$2:$N$600,7102,[1]اردیبهشت!$D$2:$D$600,$F$8,[1]اردیبهشت!$AA$2:$AA$600,S3)</f>
        <v>0</v>
      </c>
      <c r="T8" s="168">
        <f>SUMIFS([1]اردیبهشت!$AD$2:$AD$600,[1]اردیبهشت!$N$2:$N$600,7102,[1]اردیبهشت!$D$2:$D$600,$F$8,[1]اردیبهشت!$AA$2:$AA$600,T3)</f>
        <v>0</v>
      </c>
      <c r="U8" s="108">
        <f>SUMIFS([1]اردیبهشت!$AD$2:$AD$600,[1]اردیبهشت!$N$2:$N$600,7102,[1]اردیبهشت!$D$2:$D$600,$F$8,[1]اردیبهشت!$AA$2:$AA$600,U3)</f>
        <v>0</v>
      </c>
    </row>
    <row r="9" spans="1:21" ht="33.75" customHeight="1" thickBot="1" x14ac:dyDescent="0.3">
      <c r="A9" s="421"/>
      <c r="B9" s="43"/>
      <c r="C9" s="310"/>
      <c r="D9" s="404"/>
      <c r="E9" s="934"/>
      <c r="F9" s="5"/>
      <c r="G9" s="1">
        <f t="shared" si="0"/>
        <v>0</v>
      </c>
      <c r="H9" s="49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400"/>
      <c r="O9" s="167">
        <f>SUMIFS([1]اردیبهشت!$AD$2:$AD$600,[1]اردیبهشت!$N$2:$N$600,7102,[1]اردیبهشت!$D$2:$D$600,$F$9,[1]اردیبهشت!$AA$2:$AA$600,O3)</f>
        <v>0</v>
      </c>
      <c r="P9" s="175">
        <f>SUMIFS([1]اردیبهشت!$AD$2:$AD$600,[1]اردیبهشت!$N$2:$N$600,7102,[1]اردیبهشت!$D$2:$D$600,$F$9,[1]اردیبهشت!$AA$2:$AA$600,P3)</f>
        <v>0</v>
      </c>
      <c r="Q9" s="175">
        <f>SUMIFS([1]اردیبهشت!$AD$2:$AD$600,[1]اردیبهشت!$N$2:$N$600,7102,[1]اردیبهشت!$D$2:$D$600,$F$9,[1]اردیبهشت!$AA$2:$AA$600,Q3)</f>
        <v>0</v>
      </c>
      <c r="R9" s="175">
        <f>SUMIFS([1]اردیبهشت!$AD$2:$AD$600,[1]اردیبهشت!$N$2:$N$600,7102,[1]اردیبهشت!$D$2:$D$600,$F$9,[1]اردیبهشت!$AA$2:$AA$600,R3)</f>
        <v>0</v>
      </c>
      <c r="S9" s="175">
        <f>SUMIFS([1]اردیبهشت!$AD$2:$AD$600,[1]اردیبهشت!$N$2:$N$600,7102,[1]اردیبهشت!$D$2:$D$600,$F$9,[1]اردیبهشت!$AA$2:$AA$600,S3)</f>
        <v>0</v>
      </c>
      <c r="T9" s="175">
        <f>SUMIFS([1]اردیبهشت!$AD$2:$AD$600,[1]اردیبهشت!$N$2:$N$600,7102,[1]اردیبهشت!$D$2:$D$600,$F$9,[1]اردیبهشت!$AA$2:$AA$600,T3)</f>
        <v>0</v>
      </c>
      <c r="U9" s="114">
        <f>SUMIFS([1]اردیبهشت!$AD$2:$AD$600,[1]اردیبهشت!$N$2:$N$600,7102,[1]اردیبهشت!$D$2:$D$600,$F$9,[1]اردیبهشت!$AA$2:$AA$600,U3)</f>
        <v>0</v>
      </c>
    </row>
    <row r="10" spans="1:21" ht="36" customHeight="1" thickBot="1" x14ac:dyDescent="0.3">
      <c r="A10" s="421">
        <v>3</v>
      </c>
      <c r="B10" s="216" t="s">
        <v>14</v>
      </c>
      <c r="C10" s="401">
        <v>7103</v>
      </c>
      <c r="D10" s="2">
        <v>44</v>
      </c>
      <c r="E10" s="401" t="s">
        <v>15</v>
      </c>
      <c r="F10" s="401" t="s">
        <v>12</v>
      </c>
      <c r="G10" s="9">
        <f t="shared" si="0"/>
        <v>31.833333333333332</v>
      </c>
      <c r="H10" s="46">
        <f t="shared" si="1"/>
        <v>0</v>
      </c>
      <c r="I10" s="4">
        <v>0</v>
      </c>
      <c r="J10" s="4">
        <v>0</v>
      </c>
      <c r="K10" s="4">
        <v>0</v>
      </c>
      <c r="L10" s="4">
        <v>0</v>
      </c>
      <c r="M10" s="4">
        <f>SUM(G10:L10)-64</f>
        <v>-32.166666666666671</v>
      </c>
      <c r="N10" s="399" t="s">
        <v>40</v>
      </c>
      <c r="O10" s="176">
        <f>SUMIFS([1]خرداد!$AF$2:$AF$805,[1]خرداد!$O$2:$O$805,7103,[1]خرداد!$D$2:$D$805,$F$10,[1]خرداد!$AC$2:$AC$805,O3)</f>
        <v>6.333333333333333</v>
      </c>
      <c r="P10" s="177">
        <f>SUMIFS([1]خرداد!$AF$2:$AF$805,[1]خرداد!$O$2:$O$805,7103,[1]خرداد!$D$2:$D$805,$F$10,[1]خرداد!$AC$2:$AC$805,P3)</f>
        <v>6.333333333333333</v>
      </c>
      <c r="Q10" s="177">
        <f>SUMIFS([1]خرداد!$AF$2:$AF$805,[1]خرداد!$O$2:$O$805,7103,[1]خرداد!$D$2:$D$805,$F$10,[1]خرداد!$AC$2:$AC$805,Q3)</f>
        <v>6.333333333333333</v>
      </c>
      <c r="R10" s="177">
        <f>SUMIFS([1]خرداد!$AF$2:$AF$805,[1]خرداد!$O$2:$O$805,7103,[1]خرداد!$D$2:$D$805,$F$10,[1]خرداد!$AC$2:$AC$805,R3)</f>
        <v>6.5</v>
      </c>
      <c r="S10" s="177">
        <f>SUMIFS([1]خرداد!$AF$2:$AF$805,[1]خرداد!$O$2:$O$805,7103,[1]خرداد!$D$2:$D$805,$F$10,[1]خرداد!$AC$2:$AC$805,S3)</f>
        <v>6.333333333333333</v>
      </c>
      <c r="T10" s="177">
        <f>SUMIFS([1]خرداد!$AF$2:$AF$805,[1]خرداد!$O$2:$O$805,7103,[1]خرداد!$D$2:$D$805,$F$10,[1]خرداد!$AC$2:$AC$805,T3)</f>
        <v>0</v>
      </c>
      <c r="U10" s="178">
        <f>SUMIFS([1]خرداد!$AF$2:$AF$805,[1]خرداد!$O$2:$O$805,7103,[1]خرداد!$D$2:$D$805,$F$10,[1]خرداد!$AC$2:$AC$805,U3)</f>
        <v>0</v>
      </c>
    </row>
    <row r="11" spans="1:21" ht="36" customHeight="1" thickBot="1" x14ac:dyDescent="0.3">
      <c r="A11" s="420">
        <v>4</v>
      </c>
      <c r="B11" s="416" t="s">
        <v>18</v>
      </c>
      <c r="C11" s="417">
        <v>7201</v>
      </c>
      <c r="D11" s="417">
        <v>62.5</v>
      </c>
      <c r="E11" s="417" t="s">
        <v>19</v>
      </c>
      <c r="F11" s="140"/>
      <c r="G11" s="21">
        <f t="shared" si="0"/>
        <v>0</v>
      </c>
      <c r="H11" s="63">
        <f t="shared" si="1"/>
        <v>0</v>
      </c>
      <c r="I11" s="141">
        <v>0</v>
      </c>
      <c r="J11" s="141">
        <v>62</v>
      </c>
      <c r="K11" s="141">
        <v>0</v>
      </c>
      <c r="L11" s="141">
        <v>0</v>
      </c>
      <c r="M11" s="141">
        <f>SUM(G11:J11)-62</f>
        <v>0</v>
      </c>
      <c r="N11" s="142" t="s">
        <v>41</v>
      </c>
      <c r="O11" s="296"/>
      <c r="P11" s="201"/>
      <c r="Q11" s="201"/>
      <c r="R11" s="201"/>
      <c r="S11" s="201"/>
      <c r="T11" s="201"/>
      <c r="U11" s="111"/>
    </row>
    <row r="12" spans="1:21" ht="36" customHeight="1" thickBot="1" x14ac:dyDescent="0.3">
      <c r="A12" s="45">
        <v>5</v>
      </c>
      <c r="B12" s="12" t="s">
        <v>18</v>
      </c>
      <c r="C12" s="13">
        <v>7202</v>
      </c>
      <c r="D12" s="13">
        <v>62.5</v>
      </c>
      <c r="E12" s="13" t="s">
        <v>15</v>
      </c>
      <c r="F12" s="16" t="s">
        <v>46</v>
      </c>
      <c r="G12" s="14">
        <f t="shared" si="0"/>
        <v>60.25</v>
      </c>
      <c r="H12" s="48">
        <v>7</v>
      </c>
      <c r="I12" s="14">
        <v>0</v>
      </c>
      <c r="J12" s="14">
        <v>0</v>
      </c>
      <c r="K12" s="14">
        <v>0</v>
      </c>
      <c r="L12" s="14">
        <v>0</v>
      </c>
      <c r="M12" s="14">
        <f>SUM(G12:L12)-62</f>
        <v>5.25</v>
      </c>
      <c r="N12" s="271" t="s">
        <v>44</v>
      </c>
      <c r="O12" s="181">
        <f>SUMIFS([1]خرداد!$AF$2:$AF$805,[1]خرداد!$O$2:$O$805,7202,[1]خرداد!$D$2:$D$805,$F$12,[1]خرداد!$AC$2:$AC$805,O3)</f>
        <v>11</v>
      </c>
      <c r="P12" s="182">
        <f>SUMIFS([1]خرداد!$AF$2:$AF$805,[1]خرداد!$O$2:$O$805,7202,[1]خرداد!$D$2:$D$805,$F$12,[1]خرداد!$AC$2:$AC$805,P3)</f>
        <v>9</v>
      </c>
      <c r="Q12" s="182">
        <f>SUMIFS([1]خرداد!$AF$2:$AF$805,[1]خرداد!$O$2:$O$805,7202,[1]خرداد!$D$2:$D$805,$F$12,[1]خرداد!$AC$2:$AC$805,Q3)</f>
        <v>11</v>
      </c>
      <c r="R12" s="182">
        <f>SUMIFS([1]خرداد!$AF$2:$AF$805,[1]خرداد!$O$2:$O$805,7202,[1]خرداد!$D$2:$D$805,$F$12,[1]خرداد!$AC$2:$AC$805,R3)</f>
        <v>10.75</v>
      </c>
      <c r="S12" s="182">
        <f>SUMIFS([1]خرداد!$AF$2:$AF$805,[1]خرداد!$O$2:$O$805,7202,[1]خرداد!$D$2:$D$805,$F$12,[1]خرداد!$AC$2:$AC$805,S3)</f>
        <v>11</v>
      </c>
      <c r="T12" s="182">
        <f>SUMIFS([1]خرداد!$AF$2:$AF$805,[1]خرداد!$O$2:$O$805,7202,[1]خرداد!$D$2:$D$805,$F$12,[1]خرداد!$AC$2:$AC$805,T3)</f>
        <v>7.5</v>
      </c>
      <c r="U12" s="183">
        <f>SUMIFS([1]خرداد!$AF$2:$AF$805,[1]خرداد!$O$2:$O$805,7202,[1]خرداد!$D$2:$D$805,$F$12,[1]خرداد!$AC$2:$AC$805,U3)</f>
        <v>6.5</v>
      </c>
    </row>
    <row r="13" spans="1:21" ht="36" customHeight="1" thickBot="1" x14ac:dyDescent="0.3">
      <c r="A13" s="419">
        <v>6</v>
      </c>
      <c r="B13" s="415" t="s">
        <v>18</v>
      </c>
      <c r="C13" s="401">
        <v>7203</v>
      </c>
      <c r="D13" s="401">
        <v>62.5</v>
      </c>
      <c r="E13" s="401" t="s">
        <v>15</v>
      </c>
      <c r="F13" s="16" t="s">
        <v>45</v>
      </c>
      <c r="G13" s="4">
        <f t="shared" si="0"/>
        <v>59</v>
      </c>
      <c r="H13" s="67">
        <v>11</v>
      </c>
      <c r="I13" s="4">
        <v>0</v>
      </c>
      <c r="J13" s="4">
        <v>0</v>
      </c>
      <c r="K13" s="4">
        <v>0</v>
      </c>
      <c r="L13" s="4">
        <v>0</v>
      </c>
      <c r="M13" s="4">
        <f>(G13+H13+I13+J13+K13)-D13</f>
        <v>7.5</v>
      </c>
      <c r="N13" s="399"/>
      <c r="O13" s="353">
        <f>SUMIFS([1]خرداد!$AF$2:$AF$805,[1]خرداد!$O$2:$O$805,7203,[1]خرداد!$D$2:$D$805,$F$13,[1]خرداد!$AC$2:$AC$805,O3)</f>
        <v>7.5</v>
      </c>
      <c r="P13" s="353">
        <f>SUMIFS([1]خرداد!$AF$2:$AF$805,[1]خرداد!$O$2:$O$805,7203,[1]خرداد!$D$2:$D$805,$F$13,[1]خرداد!$AC$2:$AC$805,P3)</f>
        <v>11</v>
      </c>
      <c r="Q13" s="353">
        <f>SUMIFS([1]خرداد!$AF$2:$AF$805,[1]خرداد!$O$2:$O$805,7203,[1]خرداد!$D$2:$D$805,$F$13,[1]خرداد!$AC$2:$AC$805,Q3)</f>
        <v>11</v>
      </c>
      <c r="R13" s="353">
        <f>SUMIFS([1]خرداد!$AF$2:$AF$805,[1]خرداد!$O$2:$O$805,7203,[1]خرداد!$D$2:$D$805,$F$13,[1]خرداد!$AC$2:$AC$805,R3)</f>
        <v>11</v>
      </c>
      <c r="S13" s="353">
        <f>SUMIFS([1]خرداد!$AF$2:$AF$805,[1]خرداد!$O$2:$O$805,7203,[1]خرداد!$D$2:$D$805,$F$13,[1]خرداد!$AC$2:$AC$805,S3)</f>
        <v>11</v>
      </c>
      <c r="T13" s="353">
        <f>SUMIFS([1]خرداد!$AF$2:$AF$805,[1]خرداد!$O$2:$O$805,7203,[1]خرداد!$D$2:$D$805,$F$13,[1]خرداد!$AC$2:$AC$805,T3)</f>
        <v>7.5</v>
      </c>
      <c r="U13" s="353">
        <f>SUMIFS([1]خرداد!$AF$2:$AF$805,[1]خرداد!$O$2:$O$805,7203,[1]خرداد!$D$2:$D$805,$F$13,[1]خرداد!$AC$2:$AC$805,U3)</f>
        <v>0</v>
      </c>
    </row>
    <row r="14" spans="1:21" ht="36" customHeight="1" thickBot="1" x14ac:dyDescent="0.3">
      <c r="A14" s="45">
        <v>7</v>
      </c>
      <c r="B14" s="12" t="s">
        <v>18</v>
      </c>
      <c r="C14" s="13">
        <v>7204</v>
      </c>
      <c r="D14" s="13">
        <v>62.5</v>
      </c>
      <c r="E14" s="13" t="s">
        <v>15</v>
      </c>
      <c r="F14" s="16" t="s">
        <v>45</v>
      </c>
      <c r="G14" s="14">
        <f t="shared" si="0"/>
        <v>0</v>
      </c>
      <c r="H14" s="48">
        <f t="shared" si="1"/>
        <v>0</v>
      </c>
      <c r="I14" s="14">
        <v>0</v>
      </c>
      <c r="J14" s="14">
        <v>0</v>
      </c>
      <c r="K14" s="14">
        <v>0</v>
      </c>
      <c r="L14" s="14">
        <v>0</v>
      </c>
      <c r="M14" s="14">
        <f>SUM(G14:J14)-62</f>
        <v>-62</v>
      </c>
      <c r="N14" s="61"/>
      <c r="O14" s="295">
        <f>SUMIFS([1]خرداد!$AF$2:$AF$805,[1]خرداد!$O$2:$O$805,7204,[1]خرداد!$D$2:$D$805,$F$14,[1]خرداد!$AC$2:$AC$805,O3)</f>
        <v>0</v>
      </c>
      <c r="P14" s="295">
        <f>SUMIFS([1]خرداد!$AF$2:$AF$805,[1]خرداد!$O$2:$O$805,7204,[1]خرداد!$D$2:$D$805,$F$14,[1]خرداد!$AC$2:$AC$805,P3)</f>
        <v>0</v>
      </c>
      <c r="Q14" s="295">
        <f>SUMIFS([1]خرداد!$AF$2:$AF$805,[1]خرداد!$O$2:$O$805,7204,[1]خرداد!$D$2:$D$805,$F$14,[1]خرداد!$AC$2:$AC$805,Q3)</f>
        <v>0</v>
      </c>
      <c r="R14" s="295">
        <f>SUMIFS([1]خرداد!$AF$2:$AF$805,[1]خرداد!$O$2:$O$805,7204,[1]خرداد!$D$2:$D$805,$F$14,[1]خرداد!$AC$2:$AC$805,R3)</f>
        <v>0</v>
      </c>
      <c r="S14" s="295">
        <f>SUMIFS([1]خرداد!$AF$2:$AF$805,[1]خرداد!$O$2:$O$805,7204,[1]خرداد!$D$2:$D$805,$F$14,[1]خرداد!$AC$2:$AC$805,S3)</f>
        <v>0</v>
      </c>
      <c r="T14" s="295">
        <f>SUMIFS([1]خرداد!$AF$2:$AF$805,[1]خرداد!$O$2:$O$805,7204,[1]خرداد!$D$2:$D$805,$F$14,[1]خرداد!$AC$2:$AC$805,T3)</f>
        <v>0</v>
      </c>
      <c r="U14" s="295">
        <f>SUMIFS([1]خرداد!$AF$2:$AF$805,[1]خرداد!$O$2:$O$805,7204,[1]خرداد!$D$2:$D$805,$F$14,[1]خرداد!$AC$2:$AC$805,U3)</f>
        <v>0</v>
      </c>
    </row>
    <row r="15" spans="1:21" ht="36" customHeight="1" thickBot="1" x14ac:dyDescent="0.3">
      <c r="A15" s="45">
        <v>8</v>
      </c>
      <c r="B15" s="12" t="s">
        <v>21</v>
      </c>
      <c r="C15" s="13">
        <v>7301</v>
      </c>
      <c r="D15" s="13">
        <v>62.5</v>
      </c>
      <c r="E15" s="13" t="s">
        <v>15</v>
      </c>
      <c r="F15" s="19" t="s">
        <v>22</v>
      </c>
      <c r="G15" s="14">
        <f t="shared" si="0"/>
        <v>0</v>
      </c>
      <c r="H15" s="48">
        <f t="shared" si="1"/>
        <v>0</v>
      </c>
      <c r="I15" s="14">
        <v>2</v>
      </c>
      <c r="J15" s="14">
        <v>0</v>
      </c>
      <c r="K15" s="14">
        <v>0</v>
      </c>
      <c r="L15" s="14">
        <v>0</v>
      </c>
      <c r="M15" s="14">
        <f>SUM(G15:L15)-D15</f>
        <v>-60.5</v>
      </c>
      <c r="N15" s="15" t="s">
        <v>29</v>
      </c>
      <c r="O15" s="354">
        <f>SUMIFS([1]خرداد!$AF$2:$AF$805,[1]خرداد!$O$2:$O$805,7301,[1]خرداد!$D$2:$D$805,$F$15,[1]خرداد!$AC$2:$AC$805,O3)</f>
        <v>0</v>
      </c>
      <c r="P15" s="354">
        <f>SUMIFS([1]خرداد!$AF$2:$AF$805,[1]خرداد!$O$2:$O$805,7301,[1]خرداد!$D$2:$D$805,$F$15,[1]خرداد!$AC$2:$AC$805,P3)</f>
        <v>0</v>
      </c>
      <c r="Q15" s="354">
        <f>SUMIFS([1]خرداد!$AF$2:$AF$805,[1]خرداد!$O$2:$O$805,7301,[1]خرداد!$D$2:$D$805,$F$15,[1]خرداد!$AC$2:$AC$805,Q3)</f>
        <v>0</v>
      </c>
      <c r="R15" s="354">
        <f>SUMIFS([1]خرداد!$AF$2:$AF$805,[1]خرداد!$O$2:$O$805,7301,[1]خرداد!$D$2:$D$805,$F$15,[1]خرداد!$AC$2:$AC$805,R3)</f>
        <v>0</v>
      </c>
      <c r="S15" s="354">
        <f>SUMIFS([1]خرداد!$AF$2:$AF$805,[1]خرداد!$O$2:$O$805,7301,[1]خرداد!$D$2:$D$805,$F$15,[1]خرداد!$AC$2:$AC$805,S3)</f>
        <v>0</v>
      </c>
      <c r="T15" s="354">
        <f>SUMIFS([1]خرداد!$AF$2:$AF$805,[1]خرداد!$O$2:$O$805,7301,[1]خرداد!$D$2:$D$805,$F$15,[1]خرداد!$AC$2:$AC$805,T3)</f>
        <v>0</v>
      </c>
      <c r="U15" s="354">
        <f>SUMIFS([1]خرداد!$AF$2:$AF$805,[1]خرداد!$O$2:$O$805,7301,[1]خرداد!$D$2:$D$805,$F$15,[1]خرداد!$AC$2:$AC$805,U3)</f>
        <v>0</v>
      </c>
    </row>
    <row r="16" spans="1:21" ht="36" customHeight="1" x14ac:dyDescent="0.25">
      <c r="A16" s="420"/>
      <c r="B16" s="216"/>
      <c r="C16" s="224"/>
      <c r="D16" s="413"/>
      <c r="E16" s="932" t="s">
        <v>15</v>
      </c>
      <c r="F16" s="22" t="s">
        <v>17</v>
      </c>
      <c r="G16" s="1">
        <f t="shared" si="0"/>
        <v>33</v>
      </c>
      <c r="H16" s="49">
        <v>0</v>
      </c>
      <c r="I16" s="1">
        <v>1</v>
      </c>
      <c r="J16" s="1">
        <v>0</v>
      </c>
      <c r="K16" s="1">
        <v>0</v>
      </c>
      <c r="L16" s="1">
        <v>0</v>
      </c>
      <c r="M16" s="4"/>
      <c r="N16" s="928" t="s">
        <v>44</v>
      </c>
      <c r="O16" s="165">
        <f>SUMIFS([1]خرداد!$AF$2:$AF$805,[1]خرداد!$O$2:$O$805,7302,[1]خرداد!$D$2:$D$805,$F$16,[1]خرداد!$AC$2:$AC$805,O3)</f>
        <v>11</v>
      </c>
      <c r="P16" s="169">
        <f>SUMIFS([1]خرداد!$AF$2:$AF$805,[1]خرداد!$O$2:$O$805,7302,[1]خرداد!$D$2:$D$805,$F$16,[1]خرداد!$AC$2:$AC$805,P3)</f>
        <v>7</v>
      </c>
      <c r="Q16" s="169">
        <f>SUMIFS([1]خرداد!$AF$2:$AF$805,[1]خرداد!$O$2:$O$805,7302,[1]خرداد!$D$2:$D$805,$F$16,[1]خرداد!$AC$2:$AC$805,Q3)</f>
        <v>0</v>
      </c>
      <c r="R16" s="169">
        <f>SUMIFS([1]خرداد!$AF$2:$AF$805,[1]خرداد!$O$2:$O$805,7302,[1]خرداد!$D$2:$D$805,$F$16,[1]خرداد!$AC$2:$AC$805,R3)</f>
        <v>4</v>
      </c>
      <c r="S16" s="169">
        <f>SUMIFS([1]خرداد!$AF$2:$AF$805,[1]خرداد!$O$2:$O$805,7302,[1]خرداد!$D$2:$D$805,$F$16,[1]خرداد!$AC$2:$AC$805,S3)</f>
        <v>10</v>
      </c>
      <c r="T16" s="169">
        <f>SUMIFS([1]خرداد!$AF$2:$AF$805,[1]خرداد!$O$2:$O$805,7302,[1]خرداد!$D$2:$D$805,$F$16,[1]خرداد!$AC$2:$AC$805,T3)</f>
        <v>1</v>
      </c>
      <c r="U16" s="170">
        <f>SUMIFS([1]خرداد!$AF$2:$AF$805,[1]خرداد!$O$2:$O$805,7302,[1]خرداد!$D$2:$D$805,$F$16,[1]خرداد!$AC$2:$AC$805,U3)</f>
        <v>2</v>
      </c>
    </row>
    <row r="17" spans="1:21" ht="36" customHeight="1" x14ac:dyDescent="0.25">
      <c r="A17" s="420">
        <v>9</v>
      </c>
      <c r="B17" s="216" t="s">
        <v>21</v>
      </c>
      <c r="C17" s="308">
        <v>7302</v>
      </c>
      <c r="D17" s="401">
        <v>62.5</v>
      </c>
      <c r="E17" s="933"/>
      <c r="F17" s="22"/>
      <c r="G17" s="3">
        <f t="shared" si="0"/>
        <v>0</v>
      </c>
      <c r="H17" s="47">
        <f t="shared" si="1"/>
        <v>0</v>
      </c>
      <c r="I17" s="3">
        <v>0</v>
      </c>
      <c r="J17" s="3">
        <v>0</v>
      </c>
      <c r="K17" s="3">
        <v>0</v>
      </c>
      <c r="L17" s="3">
        <v>0</v>
      </c>
      <c r="M17" s="4">
        <f>SUM(G16:L18)-D17</f>
        <v>-28.5</v>
      </c>
      <c r="N17" s="929"/>
      <c r="O17" s="173">
        <f>SUMIFS([1]اردیبهشت!$AD$2:$AD$805,[1]اردیبهشت!$N$2:$N$805,$C$17,[1]اردیبهشت!$D$2:$D$805,$F$17,[1]اردیبهشت!$AA$2:$AA$805,O3)</f>
        <v>0</v>
      </c>
      <c r="P17" s="174">
        <f>SUMIFS([1]اردیبهشت!$AD$2:$AD$805,[1]اردیبهشت!$N$2:$N$805,$C$17,[1]اردیبهشت!$D$2:$D$805,$F$17,[1]اردیبهشت!$AA$2:$AA$805,P3)</f>
        <v>0</v>
      </c>
      <c r="Q17" s="174">
        <f>SUMIFS([1]اردیبهشت!$AD$2:$AD$805,[1]اردیبهشت!$N$2:$N$805,$C$17,[1]اردیبهشت!$D$2:$D$805,$F$17,[1]اردیبهشت!$AA$2:$AA$805,Q3)</f>
        <v>0</v>
      </c>
      <c r="R17" s="174">
        <f>SUMIFS([1]اردیبهشت!$AD$2:$AD$805,[1]اردیبهشت!$N$2:$N$805,$C$17,[1]اردیبهشت!$D$2:$D$805,$F$17,[1]اردیبهشت!$AA$2:$AA$805,R3)</f>
        <v>0</v>
      </c>
      <c r="S17" s="174">
        <f>SUMIFS([1]اردیبهشت!$AD$2:$AD$805,[1]اردیبهشت!$N$2:$N$805,$C$17,[1]اردیبهشت!$D$2:$D$805,$F$17,[1]اردیبهشت!$AA$2:$AA$805,S3)</f>
        <v>0</v>
      </c>
      <c r="T17" s="174">
        <f>SUMIFS([1]اردیبهشت!$AD$2:$AD$805,[1]اردیبهشت!$N$2:$N$805,$C$17,[1]اردیبهشت!$D$2:$D$805,$F$17,[1]اردیبهشت!$AA$2:$AA$805,T3)</f>
        <v>0</v>
      </c>
      <c r="U17" s="110">
        <f>SUMIFS([1]خرداد!$AF$2:$AF$700,[1]خرداد!$O$2:$O$700,7101,[1]خرداد!$D$2:$D$700,$F$4,[1]خرداد!$AC$2:$AC$700,U16)</f>
        <v>0</v>
      </c>
    </row>
    <row r="18" spans="1:21" ht="36" customHeight="1" thickBot="1" x14ac:dyDescent="0.3">
      <c r="A18" s="421"/>
      <c r="B18" s="43"/>
      <c r="C18" s="310"/>
      <c r="D18" s="404"/>
      <c r="E18" s="934"/>
      <c r="F18" s="5"/>
      <c r="G18" s="1">
        <f t="shared" si="0"/>
        <v>0</v>
      </c>
      <c r="H18" s="49">
        <f t="shared" si="1"/>
        <v>0</v>
      </c>
      <c r="I18" s="7">
        <v>0</v>
      </c>
      <c r="J18" s="7">
        <v>0</v>
      </c>
      <c r="K18" s="6">
        <v>0</v>
      </c>
      <c r="L18" s="6">
        <v>0</v>
      </c>
      <c r="M18" s="6"/>
      <c r="N18" s="930"/>
      <c r="O18" s="167">
        <f>SUMIFS([1]اردیبهشت!$AD$2:$AD$805,[1]اردیبهشت!$N$2:$N$805,$C$17,[1]اردیبهشت!$D$2:$D$805,$F$17,[1]اردیبهشت!$AA$2:$AA$805,O4)</f>
        <v>0</v>
      </c>
      <c r="P18" s="175">
        <f>SUMIFS([1]اردیبهشت!$AD$2:$AD$805,[1]اردیبهشت!$N$2:$N$805,$C$17,[1]اردیبهشت!$D$2:$D$805,$F$17,[1]اردیبهشت!$AA$2:$AA$805,P4)</f>
        <v>0</v>
      </c>
      <c r="Q18" s="175">
        <f>SUMIFS([1]اردیبهشت!$AD$2:$AD$805,[1]اردیبهشت!$N$2:$N$805,$C$17,[1]اردیبهشت!$D$2:$D$805,$F$17,[1]اردیبهشت!$AA$2:$AA$805,Q4)</f>
        <v>0</v>
      </c>
      <c r="R18" s="175">
        <f>SUMIFS([1]اردیبهشت!$AD$2:$AD$805,[1]اردیبهشت!$N$2:$N$805,$C$17,[1]اردیبهشت!$D$2:$D$805,$F$17,[1]اردیبهشت!$AA$2:$AA$805,R4)</f>
        <v>0</v>
      </c>
      <c r="S18" s="175">
        <f>SUMIFS([1]اردیبهشت!$AD$2:$AD$805,[1]اردیبهشت!$N$2:$N$805,$C$17,[1]اردیبهشت!$D$2:$D$805,$F$17,[1]اردیبهشت!$AA$2:$AA$805,S4)</f>
        <v>0</v>
      </c>
      <c r="T18" s="175">
        <f>SUMIFS([1]اردیبهشت!$AD$2:$AD$805,[1]اردیبهشت!$N$2:$N$805,$C$17,[1]اردیبهشت!$D$2:$D$805,$F$17,[1]اردیبهشت!$AA$2:$AA$805,T4)</f>
        <v>0</v>
      </c>
      <c r="U18" s="114">
        <f>SUMIFS([1]خرداد!$AF$2:$AF$700,[1]خرداد!$O$2:$O$700,7101,[1]خرداد!$D$2:$D$700,$F$4,[1]خرداد!$AC$2:$AC$700,U17)</f>
        <v>0</v>
      </c>
    </row>
    <row r="19" spans="1:21" ht="36" customHeight="1" thickBot="1" x14ac:dyDescent="0.3">
      <c r="A19" s="147">
        <v>10</v>
      </c>
      <c r="B19" s="418" t="s">
        <v>21</v>
      </c>
      <c r="C19" s="402">
        <v>7303</v>
      </c>
      <c r="D19" s="402">
        <v>44</v>
      </c>
      <c r="E19" s="402" t="s">
        <v>19</v>
      </c>
      <c r="F19" s="144" t="s">
        <v>23</v>
      </c>
      <c r="G19" s="85">
        <f t="shared" si="0"/>
        <v>3</v>
      </c>
      <c r="H19" s="86">
        <f t="shared" si="1"/>
        <v>0</v>
      </c>
      <c r="I19" s="89">
        <v>4</v>
      </c>
      <c r="J19" s="89">
        <v>0</v>
      </c>
      <c r="K19" s="89">
        <v>0</v>
      </c>
      <c r="L19" s="89">
        <v>0</v>
      </c>
      <c r="M19" s="89">
        <f>SUM(G19:L19)-44</f>
        <v>-37</v>
      </c>
      <c r="N19" s="305" t="s">
        <v>29</v>
      </c>
      <c r="O19" s="179">
        <f>SUMIFS([1]خرداد!$AF$2:$AF$805,[1]خرداد!$O$2:$O$805,7303,[1]خرداد!$D$2:$D$805,$F$19,[1]خرداد!$AC$2:$AC$805,O3)</f>
        <v>0</v>
      </c>
      <c r="P19" s="186">
        <f>SUMIFS([1]خرداد!$AF$2:$AF$805,[1]خرداد!$O$2:$O$805,7303,[1]خرداد!$D$2:$D$805,$F$19,[1]خرداد!$AC$2:$AC$805,P3)</f>
        <v>0</v>
      </c>
      <c r="Q19" s="186">
        <f>SUMIFS([1]خرداد!$AF$2:$AF$805,[1]خرداد!$O$2:$O$805,7303,[1]خرداد!$D$2:$D$805,$F$19,[1]خرداد!$AC$2:$AC$805,Q3)</f>
        <v>2</v>
      </c>
      <c r="R19" s="186">
        <f>SUMIFS([1]خرداد!$AF$2:$AF$805,[1]خرداد!$O$2:$O$805,7303,[1]خرداد!$D$2:$D$805,$F$19,[1]خرداد!$AC$2:$AC$805,R3)</f>
        <v>0</v>
      </c>
      <c r="S19" s="186">
        <f>SUMIFS([1]خرداد!$AF$2:$AF$805,[1]خرداد!$O$2:$O$805,7303,[1]خرداد!$D$2:$D$805,$F$19,[1]خرداد!$AC$2:$AC$805,S3)</f>
        <v>1</v>
      </c>
      <c r="T19" s="186">
        <f>SUMIFS([1]خرداد!$AF$2:$AF$805,[1]خرداد!$O$2:$O$805,7303,[1]خرداد!$D$2:$D$805,$F$19,[1]خرداد!$AC$2:$AC$805,T3)</f>
        <v>0</v>
      </c>
      <c r="U19" s="423">
        <f>SUMIFS([1]خرداد!$AF$2:$AF$805,[1]خرداد!$O$2:$O$805,7303,[1]خرداد!$D$2:$D$805,$F$19,[1]خرداد!$AC$2:$AC$805,U3)</f>
        <v>0</v>
      </c>
    </row>
    <row r="20" spans="1:21" ht="32.25" customHeight="1" x14ac:dyDescent="0.25">
      <c r="A20" s="419"/>
      <c r="B20" s="42"/>
      <c r="C20" s="307"/>
      <c r="D20" s="403"/>
      <c r="E20" s="932" t="s">
        <v>15</v>
      </c>
      <c r="F20" s="20" t="s">
        <v>16</v>
      </c>
      <c r="G20" s="9">
        <f t="shared" si="0"/>
        <v>4</v>
      </c>
      <c r="H20" s="46">
        <f t="shared" si="1"/>
        <v>2</v>
      </c>
      <c r="I20" s="9">
        <v>0</v>
      </c>
      <c r="J20" s="9">
        <v>0</v>
      </c>
      <c r="K20" s="9">
        <v>0</v>
      </c>
      <c r="L20" s="9">
        <v>0</v>
      </c>
      <c r="M20" s="21"/>
      <c r="N20" s="931" t="s">
        <v>53</v>
      </c>
      <c r="O20" s="165">
        <f>SUMIFS([1]خرداد!$AF$2:$AF$805,[1]خرداد!$O$2:$O$805,7401,[1]خرداد!$D$2:$D$805,$F$20,[1]خرداد!$AC$2:$AC$805,O3)</f>
        <v>2</v>
      </c>
      <c r="P20" s="169">
        <f>SUMIFS([1]خرداد!$AF$2:$AF$805,[1]خرداد!$O$2:$O$805,7401,[1]خرداد!$D$2:$D$805,$F$20,[1]خرداد!$AC$2:$AC$805,P3)</f>
        <v>0</v>
      </c>
      <c r="Q20" s="169">
        <f>SUMIFS([1]خرداد!$AF$2:$AF$805,[1]خرداد!$O$2:$O$805,7401,[1]خرداد!$D$2:$D$805,$F$20,[1]خرداد!$AC$2:$AC$805,Q3)</f>
        <v>0</v>
      </c>
      <c r="R20" s="169">
        <f>SUMIFS([1]خرداد!$AF$2:$AF$805,[1]خرداد!$O$2:$O$805,7401,[1]خرداد!$D$2:$D$805,$F$20,[1]خرداد!$AC$2:$AC$805,R3)</f>
        <v>0</v>
      </c>
      <c r="S20" s="169">
        <f>SUMIFS([1]خرداد!$AF$2:$AF$805,[1]خرداد!$O$2:$O$805,7401,[1]خرداد!$D$2:$D$805,$F$20,[1]خرداد!$AC$2:$AC$805,S3)</f>
        <v>0</v>
      </c>
      <c r="T20" s="169">
        <f>SUMIFS([1]خرداد!$AF$2:$AF$805,[1]خرداد!$O$2:$O$805,7401,[1]خرداد!$D$2:$D$805,$F$20,[1]خرداد!$AC$2:$AC$805,T3)</f>
        <v>2</v>
      </c>
      <c r="U20" s="170">
        <f>SUMIFS([1]خرداد!$AF$2:$AF$805,[1]خرداد!$O$2:$O$805,7401,[1]خرداد!$D$2:$D$805,$F$20,[1]خرداد!$AC$2:$AC$805,U3)</f>
        <v>2</v>
      </c>
    </row>
    <row r="21" spans="1:21" ht="32.25" customHeight="1" x14ac:dyDescent="0.25">
      <c r="A21" s="420">
        <v>11</v>
      </c>
      <c r="B21" s="216" t="s">
        <v>24</v>
      </c>
      <c r="C21" s="308">
        <v>7401</v>
      </c>
      <c r="D21" s="401">
        <v>62.5</v>
      </c>
      <c r="E21" s="933"/>
      <c r="F21" s="22"/>
      <c r="G21" s="3">
        <f t="shared" si="0"/>
        <v>0</v>
      </c>
      <c r="H21" s="47">
        <f t="shared" si="1"/>
        <v>0</v>
      </c>
      <c r="I21" s="3">
        <v>0</v>
      </c>
      <c r="J21" s="3">
        <v>0</v>
      </c>
      <c r="K21" s="3">
        <v>0</v>
      </c>
      <c r="L21" s="3">
        <v>0</v>
      </c>
      <c r="M21" s="1">
        <f>SUM(G20:L22)-D21</f>
        <v>-56.5</v>
      </c>
      <c r="N21" s="929"/>
      <c r="O21" s="166">
        <f>SUMIFS([1]اردیبهشت!$AF$2:$AF$805,[1]اردیبهشت!$O$2:$O$805,7401,[1]اردیبهشت!$D$2:$D$805,$F$21,[1]اردیبهشت!$AC$2:$AC$805,O3)</f>
        <v>0</v>
      </c>
      <c r="P21" s="168">
        <f>SUMIFS([1]اردیبهشت!$AF$2:$AF$805,[1]اردیبهشت!$O$2:$O$805,7401,[1]اردیبهشت!$D$2:$D$805,$F$21,[1]اردیبهشت!$AC$2:$AC$805,P3)</f>
        <v>0</v>
      </c>
      <c r="Q21" s="168">
        <f>SUMIFS([1]اردیبهشت!$AF$2:$AF$805,[1]اردیبهشت!$O$2:$O$805,7401,[1]اردیبهشت!$D$2:$D$805,$F$21,[1]اردیبهشت!$AC$2:$AC$805,Q3)</f>
        <v>0</v>
      </c>
      <c r="R21" s="168">
        <f>SUMIFS([1]اردیبهشت!$AF$2:$AF$805,[1]اردیبهشت!$O$2:$O$805,7401,[1]اردیبهشت!$D$2:$D$805,$F$21,[1]اردیبهشت!$AC$2:$AC$805,R3)</f>
        <v>0</v>
      </c>
      <c r="S21" s="168">
        <f>SUMIFS([1]اردیبهشت!$AF$2:$AF$805,[1]اردیبهشت!$O$2:$O$805,7401,[1]اردیبهشت!$D$2:$D$805,$F$21,[1]اردیبهشت!$AC$2:$AC$805,S3)</f>
        <v>0</v>
      </c>
      <c r="T21" s="168">
        <f>SUMIFS([1]اردیبهشت!$AF$2:$AF$805,[1]اردیبهشت!$O$2:$O$805,7401,[1]اردیبهشت!$D$2:$D$805,$F$21,[1]اردیبهشت!$AC$2:$AC$805,T3)</f>
        <v>0</v>
      </c>
      <c r="U21" s="108">
        <f>SUMIFS([1]خرداد!$AF$2:$AF$700,[1]خرداد!$O$2:$O$700,7101,[1]خرداد!$D$2:$D$700,$F$4,[1]خرداد!$AC$2:$AC$700,U20)</f>
        <v>0</v>
      </c>
    </row>
    <row r="22" spans="1:21" ht="32.25" customHeight="1" thickBot="1" x14ac:dyDescent="0.3">
      <c r="A22" s="421"/>
      <c r="B22" s="43" t="s">
        <v>24</v>
      </c>
      <c r="C22" s="310"/>
      <c r="D22" s="401"/>
      <c r="E22" s="934"/>
      <c r="F22" s="5"/>
      <c r="G22" s="1">
        <f t="shared" si="0"/>
        <v>0</v>
      </c>
      <c r="H22" s="49">
        <f t="shared" si="1"/>
        <v>0</v>
      </c>
      <c r="I22" s="7">
        <v>0</v>
      </c>
      <c r="J22" s="7">
        <v>0</v>
      </c>
      <c r="K22" s="6">
        <v>0</v>
      </c>
      <c r="L22" s="6">
        <v>0</v>
      </c>
      <c r="M22" s="6"/>
      <c r="N22" s="930"/>
      <c r="O22" s="171">
        <f>SUMIFS([1]اردیبهشت!$AD$2:$AD$805,[1]اردیبهشت!$N$2:$N$805,$C$22,[1]اردیبهشت!$D$2:$D$805,$F$22,[1]اردیبهشت!$AA$2:$AA$805,O3)</f>
        <v>0</v>
      </c>
      <c r="P22" s="172">
        <f>SUMIFS([1]اردیبهشت!$AD$2:$AD$805,[1]اردیبهشت!$N$2:$N$805,$C$22,[1]اردیبهشت!$D$2:$D$805,$F$22,[1]اردیبهشت!$AA$2:$AA$805,P3)</f>
        <v>0</v>
      </c>
      <c r="Q22" s="172">
        <f>SUMIFS([1]اردیبهشت!$AD$2:$AD$805,[1]اردیبهشت!$N$2:$N$805,$C$22,[1]اردیبهشت!$D$2:$D$805,$F$22,[1]اردیبهشت!$AA$2:$AA$805,Q3)</f>
        <v>0</v>
      </c>
      <c r="R22" s="172">
        <f>SUMIFS([1]اردیبهشت!$AD$2:$AD$805,[1]اردیبهشت!$N$2:$N$805,$C$22,[1]اردیبهشت!$D$2:$D$805,$F$22,[1]اردیبهشت!$AA$2:$AA$805,R3)</f>
        <v>0</v>
      </c>
      <c r="S22" s="172">
        <f>SUMIFS([1]اردیبهشت!$AD$2:$AD$805,[1]اردیبهشت!$N$2:$N$805,$C$22,[1]اردیبهشت!$D$2:$D$805,$F$22,[1]اردیبهشت!$AA$2:$AA$805,S3)</f>
        <v>0</v>
      </c>
      <c r="T22" s="172">
        <f>SUMIFS([1]اردیبهشت!$AD$2:$AD$805,[1]اردیبهشت!$N$2:$N$805,$C$22,[1]اردیبهشت!$D$2:$D$805,$F$22,[1]اردیبهشت!$AA$2:$AA$805,T3)</f>
        <v>0</v>
      </c>
      <c r="U22" s="109">
        <f>SUMIFS([1]خرداد!$AF$2:$AF$700,[1]خرداد!$O$2:$O$700,7101,[1]خرداد!$D$2:$D$700,$F$4,[1]خرداد!$AC$2:$AC$700,U21)</f>
        <v>0</v>
      </c>
    </row>
    <row r="23" spans="1:21" ht="36" customHeight="1" x14ac:dyDescent="0.25">
      <c r="A23" s="419"/>
      <c r="B23" s="307"/>
      <c r="C23" s="403"/>
      <c r="D23" s="403"/>
      <c r="E23" s="932" t="s">
        <v>19</v>
      </c>
      <c r="F23" s="20"/>
      <c r="G23" s="9">
        <f t="shared" si="0"/>
        <v>0</v>
      </c>
      <c r="H23" s="46">
        <f t="shared" si="1"/>
        <v>0</v>
      </c>
      <c r="I23" s="9">
        <v>0</v>
      </c>
      <c r="J23" s="9">
        <v>0</v>
      </c>
      <c r="K23" s="9">
        <v>0</v>
      </c>
      <c r="L23" s="9">
        <v>0</v>
      </c>
      <c r="M23" s="21"/>
      <c r="N23" s="931" t="s">
        <v>28</v>
      </c>
      <c r="O23" s="173">
        <f>SUMIFS([1]اردیبهشت!$AD$2:$AD$805,[1]اردیبهشت!$N$2:$N$805,$C$23,[1]اردیبهشت!$D$2:$D$805,$F$23,[1]اردیبهشت!$AA$2:$AA$805,O3)</f>
        <v>0</v>
      </c>
      <c r="P23" s="173">
        <f>SUMIFS([1]اردیبهشت!$AD$2:$AD$805,[1]اردیبهشت!$N$2:$N$805,$C$23,[1]اردیبهشت!$D$2:$D$805,$F$23,[1]اردیبهشت!$AA$2:$AA$805,P3)</f>
        <v>0</v>
      </c>
      <c r="Q23" s="173">
        <f>SUMIFS([1]اردیبهشت!$AD$2:$AD$805,[1]اردیبهشت!$N$2:$N$805,$C$23,[1]اردیبهشت!$D$2:$D$805,$F$23,[1]اردیبهشت!$AA$2:$AA$805,Q3)</f>
        <v>0</v>
      </c>
      <c r="R23" s="173">
        <f>SUMIFS([1]اردیبهشت!$AD$2:$AD$805,[1]اردیبهشت!$N$2:$N$805,$C$23,[1]اردیبهشت!$D$2:$D$805,$F$23,[1]اردیبهشت!$AA$2:$AA$805,R3)</f>
        <v>0</v>
      </c>
      <c r="S23" s="173">
        <f>SUMIFS([1]اردیبهشت!$AD$2:$AD$805,[1]اردیبهشت!$N$2:$N$805,$C$23,[1]اردیبهشت!$D$2:$D$805,$F$23,[1]اردیبهشت!$AA$2:$AA$805,S3)</f>
        <v>0</v>
      </c>
      <c r="T23" s="173">
        <f>SUMIFS([1]اردیبهشت!$AD$2:$AD$805,[1]اردیبهشت!$N$2:$N$805,$C$23,[1]اردیبهشت!$D$2:$D$805,$F$23,[1]اردیبهشت!$AA$2:$AA$805,T3)</f>
        <v>0</v>
      </c>
      <c r="U23" s="110">
        <f>SUMIFS([1]خرداد!$AF$2:$AF$700,[1]خرداد!$O$2:$O$700,7101,[1]خرداد!$D$2:$D$700,$F$4,[1]خرداد!$AC$2:$AC$700,U22)</f>
        <v>0</v>
      </c>
    </row>
    <row r="24" spans="1:21" ht="36" customHeight="1" x14ac:dyDescent="0.25">
      <c r="A24" s="420">
        <v>12</v>
      </c>
      <c r="B24" s="308" t="s">
        <v>25</v>
      </c>
      <c r="C24" s="410">
        <v>7501</v>
      </c>
      <c r="D24" s="401">
        <v>62.5</v>
      </c>
      <c r="E24" s="933"/>
      <c r="F24" s="22" t="s">
        <v>36</v>
      </c>
      <c r="G24" s="3">
        <f t="shared" si="0"/>
        <v>0</v>
      </c>
      <c r="H24" s="47">
        <f t="shared" si="1"/>
        <v>0</v>
      </c>
      <c r="I24" s="3">
        <v>0</v>
      </c>
      <c r="J24" s="3">
        <v>0</v>
      </c>
      <c r="K24" s="3">
        <v>0</v>
      </c>
      <c r="L24" s="3">
        <v>0</v>
      </c>
      <c r="M24" s="1">
        <f>SUM(G23:L25)-D24</f>
        <v>-62.5</v>
      </c>
      <c r="N24" s="929"/>
      <c r="O24" s="166">
        <f>SUMIFS([1]اردیبهشت!$AD$2:$AD$805,[1]اردیبهشت!$N$2:$N$805,$C$24,[1]اردیبهشت!$D$2:$D$805,$F$24,[1]اردیبهشت!$AA$2:$AA$805,O3)</f>
        <v>0</v>
      </c>
      <c r="P24" s="166">
        <f>SUMIFS([1]اردیبهشت!$AD$2:$AD$805,[1]اردیبهشت!$N$2:$N$805,$C$24,[1]اردیبهشت!$D$2:$D$805,$F$24,[1]اردیبهشت!$AA$2:$AA$805,P3)</f>
        <v>0</v>
      </c>
      <c r="Q24" s="166">
        <f>SUMIFS([1]اردیبهشت!$AD$2:$AD$805,[1]اردیبهشت!$N$2:$N$805,$C$24,[1]اردیبهشت!$D$2:$D$805,$F$24,[1]اردیبهشت!$AA$2:$AA$805,Q3)</f>
        <v>0</v>
      </c>
      <c r="R24" s="166">
        <f>SUMIFS([1]اردیبهشت!$AD$2:$AD$805,[1]اردیبهشت!$N$2:$N$805,$C$24,[1]اردیبهشت!$D$2:$D$805,$F$24,[1]اردیبهشت!$AA$2:$AA$805,R3)</f>
        <v>0</v>
      </c>
      <c r="S24" s="166">
        <f>SUMIFS([1]اردیبهشت!$AD$2:$AD$805,[1]اردیبهشت!$N$2:$N$805,$C$24,[1]اردیبهشت!$D$2:$D$805,$F$24,[1]اردیبهشت!$AA$2:$AA$805,S3)</f>
        <v>0</v>
      </c>
      <c r="T24" s="166">
        <f>SUMIFS([1]اردیبهشت!$AD$2:$AD$805,[1]اردیبهشت!$N$2:$N$805,$C$24,[1]اردیبهشت!$D$2:$D$805,$F$24,[1]اردیبهشت!$AA$2:$AA$805,T3)</f>
        <v>0</v>
      </c>
      <c r="U24" s="108">
        <f>SUMIFS([1]خرداد!$AF$2:$AF$700,[1]خرداد!$O$2:$O$700,7101,[1]خرداد!$D$2:$D$700,$F$4,[1]خرداد!$AC$2:$AC$700,U23)</f>
        <v>0</v>
      </c>
    </row>
    <row r="25" spans="1:21" ht="36" customHeight="1" thickBot="1" x14ac:dyDescent="0.3">
      <c r="A25" s="421"/>
      <c r="B25" s="310"/>
      <c r="C25" s="404"/>
      <c r="D25" s="404"/>
      <c r="E25" s="934"/>
      <c r="F25" s="5"/>
      <c r="G25" s="6">
        <f t="shared" si="0"/>
        <v>0</v>
      </c>
      <c r="H25" s="64">
        <f t="shared" si="1"/>
        <v>0</v>
      </c>
      <c r="I25" s="7">
        <v>0</v>
      </c>
      <c r="J25" s="7">
        <v>0</v>
      </c>
      <c r="K25" s="6">
        <v>0</v>
      </c>
      <c r="L25" s="6">
        <v>0</v>
      </c>
      <c r="M25" s="6"/>
      <c r="N25" s="930"/>
      <c r="O25" s="167">
        <f>SUMIFS([1]اردیبهشت!$AD$2:$AD$805,[1]اردیبهشت!$N$2:$N$805,$C$24,[1]اردیبهشت!$D$2:$D$805,$F$25,[1]اردیبهشت!$AA$2:$AA$805,O3)</f>
        <v>0</v>
      </c>
      <c r="P25" s="167">
        <f>SUMIFS([1]اردیبهشت!$AD$2:$AD$805,[1]اردیبهشت!$N$2:$N$805,$C$24,[1]اردیبهشت!$D$2:$D$805,$F$25,[1]اردیبهشت!$AA$2:$AA$805,P3)</f>
        <v>0</v>
      </c>
      <c r="Q25" s="167">
        <f>SUMIFS([1]اردیبهشت!$AD$2:$AD$805,[1]اردیبهشت!$N$2:$N$805,$C$24,[1]اردیبهشت!$D$2:$D$805,$F$25,[1]اردیبهشت!$AA$2:$AA$805,Q3)</f>
        <v>0</v>
      </c>
      <c r="R25" s="167">
        <f>SUMIFS([1]اردیبهشت!$AD$2:$AD$805,[1]اردیبهشت!$N$2:$N$805,$C$24,[1]اردیبهشت!$D$2:$D$805,$F$25,[1]اردیبهشت!$AA$2:$AA$805,R3)</f>
        <v>0</v>
      </c>
      <c r="S25" s="167">
        <f>SUMIFS([1]اردیبهشت!$AD$2:$AD$805,[1]اردیبهشت!$N$2:$N$805,$C$24,[1]اردیبهشت!$D$2:$D$805,$F$25,[1]اردیبهشت!$AA$2:$AA$805,S3)</f>
        <v>0</v>
      </c>
      <c r="T25" s="167">
        <f>SUMIFS([1]اردیبهشت!$AD$2:$AD$805,[1]اردیبهشت!$N$2:$N$805,$C$24,[1]اردیبهشت!$D$2:$D$805,$F$25,[1]اردیبهشت!$AA$2:$AA$805,T3)</f>
        <v>0</v>
      </c>
      <c r="U25" s="114">
        <f>SUMIFS([1]خرداد!$AF$2:$AF$700,[1]خرداد!$O$2:$O$700,7101,[1]خرداد!$D$2:$D$700,$F$4,[1]خرداد!$AC$2:$AC$700,U24)</f>
        <v>0</v>
      </c>
    </row>
    <row r="26" spans="1:21" ht="43.5" customHeight="1" x14ac:dyDescent="0.25">
      <c r="A26" s="420"/>
      <c r="B26" s="224"/>
      <c r="C26" s="413"/>
      <c r="D26" s="413"/>
      <c r="E26" s="936" t="s">
        <v>50</v>
      </c>
      <c r="F26" s="27" t="s">
        <v>36</v>
      </c>
      <c r="G26" s="1">
        <f t="shared" si="0"/>
        <v>62</v>
      </c>
      <c r="H26" s="49">
        <v>7.5</v>
      </c>
      <c r="I26" s="93">
        <v>2</v>
      </c>
      <c r="J26" s="93">
        <v>0</v>
      </c>
      <c r="K26" s="93">
        <v>0</v>
      </c>
      <c r="L26" s="93">
        <v>0</v>
      </c>
      <c r="M26" s="4"/>
      <c r="N26" s="988" t="s">
        <v>42</v>
      </c>
      <c r="O26" s="165">
        <f>SUMIFS([1]خرداد!$AF$2:$AF$805,[1]خرداد!$O$2:$O$805,7502,[1]خرداد!$D$2:$D$805,$F$26,[1]خرداد!$AC$2:$AC$805,O3)</f>
        <v>11</v>
      </c>
      <c r="P26" s="169">
        <f>SUMIFS([1]خرداد!$AF$2:$AF$805,[1]خرداد!$O$2:$O$805,7502,[1]خرداد!$D$2:$D$805,$F$26,[1]خرداد!$AC$2:$AC$805,P3)</f>
        <v>11</v>
      </c>
      <c r="Q26" s="169">
        <f>SUMIFS([1]خرداد!$AF$2:$AF$805,[1]خرداد!$O$2:$O$805,7502,[1]خرداد!$D$2:$D$805,$F$26,[1]خرداد!$AC$2:$AC$805,Q3)</f>
        <v>11</v>
      </c>
      <c r="R26" s="169">
        <f>SUMIFS([1]خرداد!$AF$2:$AF$805,[1]خرداد!$O$2:$O$805,7502,[1]خرداد!$D$2:$D$805,$F$26,[1]خرداد!$AC$2:$AC$805,R3)</f>
        <v>11</v>
      </c>
      <c r="S26" s="169">
        <f>SUMIFS([1]خرداد!$AF$2:$AF$805,[1]خرداد!$O$2:$O$805,7502,[1]خرداد!$D$2:$D$805,$F$26,[1]خرداد!$AC$2:$AC$805,S3)</f>
        <v>11</v>
      </c>
      <c r="T26" s="169">
        <f>SUMIFS([1]خرداد!$AF$2:$AF$805,[1]خرداد!$O$2:$O$805,7502,[1]خرداد!$D$2:$D$805,$F$26,[1]خرداد!$AC$2:$AC$805,T3)</f>
        <v>7</v>
      </c>
      <c r="U26" s="170">
        <f>SUMIFS([1]خرداد!$AF$2:$AF$805,[1]خرداد!$O$2:$O$805,7502,[1]خرداد!$D$2:$D$805,$F$26,[1]خرداد!$AC$2:$AC$805,U3)</f>
        <v>2</v>
      </c>
    </row>
    <row r="27" spans="1:21" ht="43.5" customHeight="1" x14ac:dyDescent="0.25">
      <c r="A27" s="420">
        <v>13</v>
      </c>
      <c r="B27" s="146" t="s">
        <v>25</v>
      </c>
      <c r="C27" s="95">
        <v>7502</v>
      </c>
      <c r="D27" s="401">
        <v>62.5</v>
      </c>
      <c r="E27" s="936"/>
      <c r="F27" s="22"/>
      <c r="G27" s="3">
        <f t="shared" si="0"/>
        <v>0</v>
      </c>
      <c r="H27" s="47">
        <f t="shared" si="1"/>
        <v>0</v>
      </c>
      <c r="I27" s="3">
        <v>0</v>
      </c>
      <c r="J27" s="3">
        <v>0</v>
      </c>
      <c r="K27" s="3">
        <v>0</v>
      </c>
      <c r="L27" s="3">
        <v>0</v>
      </c>
      <c r="M27" s="4">
        <f>SUM(G26:L28)-D27</f>
        <v>9</v>
      </c>
      <c r="N27" s="929"/>
      <c r="O27" s="166">
        <f>SUMIFS([1]اردیبهشت!$AD$2:$AD$805,[1]اردیبهشت!$N$2:$N$805,$C$27,[1]اردیبهشت!$D$2:$D$805,$F$27,[1]اردیبهشت!$AA$2:$AA$805,O3)</f>
        <v>0</v>
      </c>
      <c r="P27" s="168">
        <f>SUMIFS([1]اردیبهشت!$AD$2:$AD$805,[1]اردیبهشت!$N$2:$N$805,$C$27,[1]اردیبهشت!$D$2:$D$805,$F$27,[1]اردیبهشت!$AA$2:$AA$805,P3)</f>
        <v>0</v>
      </c>
      <c r="Q27" s="168">
        <f>SUMIFS([1]اردیبهشت!$AD$2:$AD$805,[1]اردیبهشت!$N$2:$N$805,$C$27,[1]اردیبهشت!$D$2:$D$805,$F$27,[1]اردیبهشت!$AA$2:$AA$805,Q3)</f>
        <v>0</v>
      </c>
      <c r="R27" s="168">
        <f>SUMIFS([1]اردیبهشت!$AD$2:$AD$805,[1]اردیبهشت!$N$2:$N$805,$C$27,[1]اردیبهشت!$D$2:$D$805,$F$27,[1]اردیبهشت!$AA$2:$AA$805,R3)</f>
        <v>0</v>
      </c>
      <c r="S27" s="168">
        <f>SUMIFS([1]اردیبهشت!$AD$2:$AD$805,[1]اردیبهشت!$N$2:$N$805,$C$27,[1]اردیبهشت!$D$2:$D$805,$F$27,[1]اردیبهشت!$AA$2:$AA$805,S3)</f>
        <v>0</v>
      </c>
      <c r="T27" s="168">
        <f>SUMIFS([1]اردیبهشت!$AD$2:$AD$805,[1]اردیبهشت!$N$2:$N$805,$C$27,[1]اردیبهشت!$D$2:$D$805,$F$27,[1]اردیبهشت!$AA$2:$AA$805,T3)</f>
        <v>0</v>
      </c>
      <c r="U27" s="108">
        <f>SUMIFS([1]خرداد!$AF$2:$AF$700,[1]خرداد!$O$2:$O$700,7101,[1]خرداد!$D$2:$D$700,$F$4,[1]خرداد!$AC$2:$AC$700,U26)</f>
        <v>0</v>
      </c>
    </row>
    <row r="28" spans="1:21" ht="43.5" customHeight="1" thickBot="1" x14ac:dyDescent="0.3">
      <c r="A28" s="421"/>
      <c r="B28" s="310"/>
      <c r="C28" s="404"/>
      <c r="D28" s="404"/>
      <c r="E28" s="937"/>
      <c r="F28" s="5"/>
      <c r="G28" s="6">
        <f t="shared" si="0"/>
        <v>0</v>
      </c>
      <c r="H28" s="64">
        <f t="shared" si="1"/>
        <v>0</v>
      </c>
      <c r="I28" s="7">
        <v>0</v>
      </c>
      <c r="J28" s="7">
        <v>0</v>
      </c>
      <c r="K28" s="6">
        <v>0</v>
      </c>
      <c r="L28" s="6">
        <v>0</v>
      </c>
      <c r="M28" s="6"/>
      <c r="N28" s="930"/>
      <c r="O28" s="167">
        <f>SUMIFS([1]اردیبهشت!$AD$2:$AD$805,[1]اردیبهشت!$N$2:$N$805,$C$27,[1]اردیبهشت!$D$2:$D$805,$F$28,[1]اردیبهشت!$AA$2:$AA$805,O3)</f>
        <v>0</v>
      </c>
      <c r="P28" s="175">
        <f>SUMIFS([1]اردیبهشت!$AD$2:$AD$805,[1]اردیبهشت!$N$2:$N$805,$C$27,[1]اردیبهشت!$D$2:$D$805,$F$28,[1]اردیبهشت!$AA$2:$AA$805,P3)</f>
        <v>0</v>
      </c>
      <c r="Q28" s="175">
        <f>SUMIFS([1]اردیبهشت!$AD$2:$AD$805,[1]اردیبهشت!$N$2:$N$805,$C$27,[1]اردیبهشت!$D$2:$D$805,$F$28,[1]اردیبهشت!$AA$2:$AA$805,Q3)</f>
        <v>0</v>
      </c>
      <c r="R28" s="175">
        <f>SUMIFS([1]اردیبهشت!$AD$2:$AD$805,[1]اردیبهشت!$N$2:$N$805,$C$27,[1]اردیبهشت!$D$2:$D$805,$F$28,[1]اردیبهشت!$AA$2:$AA$805,R3)</f>
        <v>0</v>
      </c>
      <c r="S28" s="175">
        <f>SUMIFS([1]اردیبهشت!$AD$2:$AD$805,[1]اردیبهشت!$N$2:$N$805,$C$27,[1]اردیبهشت!$D$2:$D$805,$F$28,[1]اردیبهشت!$AA$2:$AA$805,S3)</f>
        <v>0</v>
      </c>
      <c r="T28" s="175">
        <f>SUMIFS([1]اردیبهشت!$AD$2:$AD$805,[1]اردیبهشت!$N$2:$N$805,$C$27,[1]اردیبهشت!$D$2:$D$805,$F$28,[1]اردیبهشت!$AA$2:$AA$805,T3)</f>
        <v>0</v>
      </c>
      <c r="U28" s="114">
        <f>SUMIFS([1]خرداد!$AF$2:$AF$700,[1]خرداد!$O$2:$O$700,7101,[1]خرداد!$D$2:$D$700,$F$4,[1]خرداد!$AC$2:$AC$700,U27)</f>
        <v>0</v>
      </c>
    </row>
    <row r="29" spans="1:21" ht="43.5" customHeight="1" x14ac:dyDescent="0.25">
      <c r="A29" s="939">
        <v>14</v>
      </c>
      <c r="B29" s="83" t="s">
        <v>26</v>
      </c>
      <c r="C29" s="396">
        <v>7601</v>
      </c>
      <c r="D29" s="396">
        <v>72</v>
      </c>
      <c r="E29" s="914" t="s">
        <v>15</v>
      </c>
      <c r="F29" s="84" t="s">
        <v>27</v>
      </c>
      <c r="G29" s="85">
        <f t="shared" si="0"/>
        <v>41</v>
      </c>
      <c r="H29" s="86">
        <f t="shared" si="1"/>
        <v>0</v>
      </c>
      <c r="I29" s="85">
        <v>1</v>
      </c>
      <c r="J29" s="85">
        <v>0</v>
      </c>
      <c r="K29" s="85">
        <v>0</v>
      </c>
      <c r="L29" s="85">
        <v>0</v>
      </c>
      <c r="M29" s="87">
        <f>(J29+J30+I30+I29+H29+H30+G30+G29+L29+K29)-D29</f>
        <v>-30</v>
      </c>
      <c r="N29" s="941" t="s">
        <v>29</v>
      </c>
      <c r="O29" s="187">
        <f>SUMIFS([1]خرداد!$AF$2:$AF$805,[1]خرداد!$O$2:$O$805,7601,[1]خرداد!$D$2:$D$805,$F$29,[1]خرداد!$AC$2:$AC$805,O3)</f>
        <v>12</v>
      </c>
      <c r="P29" s="188">
        <f>SUMIFS([1]خرداد!$AF$2:$AF$805,[1]خرداد!$O$2:$O$805,7601,[1]خرداد!$D$2:$D$805,$F$29,[1]خرداد!$AC$2:$AC$805,P3)</f>
        <v>12</v>
      </c>
      <c r="Q29" s="188">
        <f>SUMIFS([1]خرداد!$AF$2:$AF$805,[1]خرداد!$O$2:$O$805,7601,[1]خرداد!$D$2:$D$805,$F$29,[1]خرداد!$AC$2:$AC$805,Q3)</f>
        <v>12</v>
      </c>
      <c r="R29" s="188">
        <f>SUMIFS([1]خرداد!$AF$2:$AF$805,[1]خرداد!$O$2:$O$805,7601,[1]خرداد!$D$2:$D$805,$F$29,[1]خرداد!$AC$2:$AC$805,R3)</f>
        <v>0</v>
      </c>
      <c r="S29" s="188">
        <f>SUMIFS([1]خرداد!$AF$2:$AF$805,[1]خرداد!$O$2:$O$805,7601,[1]خرداد!$D$2:$D$805,$F$29,[1]خرداد!$AC$2:$AC$805,S3)</f>
        <v>3</v>
      </c>
      <c r="T29" s="188">
        <f>SUMIFS([1]خرداد!$AF$2:$AF$805,[1]خرداد!$O$2:$O$805,7601,[1]خرداد!$D$2:$D$805,$F$29,[1]خرداد!$AC$2:$AC$805,T3)</f>
        <v>2</v>
      </c>
      <c r="U29" s="189">
        <f>SUMIFS([1]خرداد!$AF$2:$AF$805,[1]خرداد!$O$2:$O$805,7601,[1]خرداد!$D$2:$D$805,$F$29,[1]خرداد!$AC$2:$AC$805,U3)</f>
        <v>0</v>
      </c>
    </row>
    <row r="30" spans="1:21" ht="43.5" customHeight="1" thickBot="1" x14ac:dyDescent="0.3">
      <c r="A30" s="940"/>
      <c r="B30" s="123"/>
      <c r="C30" s="397"/>
      <c r="D30" s="397"/>
      <c r="E30" s="915"/>
      <c r="F30" s="124"/>
      <c r="G30" s="93">
        <f t="shared" si="0"/>
        <v>0</v>
      </c>
      <c r="H30" s="92">
        <f t="shared" si="1"/>
        <v>0</v>
      </c>
      <c r="I30" s="125">
        <v>0</v>
      </c>
      <c r="J30" s="125">
        <v>0</v>
      </c>
      <c r="K30" s="126">
        <v>0</v>
      </c>
      <c r="L30" s="126">
        <v>0</v>
      </c>
      <c r="M30" s="127"/>
      <c r="N30" s="917"/>
      <c r="O30" s="190">
        <f>SUMIFS([1]اردیبهشت!$AD$2:$AD$805,[1]اردیبهشت!$N$2:$N$805,$C$29,[1]اردیبهشت!$D$2:$D$805,$F$30,[1]اردیبهشت!$AA$2:$AA$805,O3)</f>
        <v>0</v>
      </c>
      <c r="P30" s="191">
        <f>SUMIFS([1]اردیبهشت!$AD$2:$AD$600,[1]اردیبهشت!$N$2:$N$600,$C$29,[1]اردیبهشت!$D$2:$D$600,$F$30,[1]اردیبهشت!$AA$2:$AA$600,P3)</f>
        <v>0</v>
      </c>
      <c r="Q30" s="191">
        <f>SUMIFS([1]اردیبهشت!$AD$2:$AD$600,[1]اردیبهشت!$N$2:$N$600,$C$29,[1]اردیبهشت!$D$2:$D$600,$F$30,[1]اردیبهشت!$AA$2:$AA$600,Q3)</f>
        <v>0</v>
      </c>
      <c r="R30" s="191">
        <f>SUMIFS([1]اردیبهشت!$AD$2:$AD$600,[1]اردیبهشت!$N$2:$N$600,$C$29,[1]اردیبهشت!$D$2:$D$600,$F$30,[1]اردیبهشت!$AA$2:$AA$600,R3)</f>
        <v>0</v>
      </c>
      <c r="S30" s="191">
        <f>SUMIFS([1]اردیبهشت!$AD$2:$AD$600,[1]اردیبهشت!$N$2:$N$600,$C$29,[1]اردیبهشت!$D$2:$D$600,$F$30,[1]اردیبهشت!$AA$2:$AA$600,S3)</f>
        <v>0</v>
      </c>
      <c r="T30" s="191">
        <f>SUMIFS([1]اردیبهشت!$AD$2:$AD$600,[1]اردیبهشت!$N$2:$N$600,$C$29,[1]اردیبهشت!$D$2:$D$600,$F$30,[1]اردیبهشت!$AA$2:$AA$600,T3)</f>
        <v>0</v>
      </c>
      <c r="U30" s="114">
        <f>SUMIFS([1]خرداد!$AF$2:$AF$700,[1]خرداد!$O$2:$O$700,7101,[1]خرداد!$D$2:$D$700,$F$4,[1]خرداد!$AC$2:$AC$700,U29)</f>
        <v>0</v>
      </c>
    </row>
    <row r="31" spans="1:21" ht="43.5" customHeight="1" x14ac:dyDescent="0.25">
      <c r="A31" s="912">
        <v>15</v>
      </c>
      <c r="B31" s="83" t="s">
        <v>26</v>
      </c>
      <c r="C31" s="396">
        <v>7602</v>
      </c>
      <c r="D31" s="396">
        <v>72</v>
      </c>
      <c r="E31" s="914" t="s">
        <v>15</v>
      </c>
      <c r="F31" s="84" t="s">
        <v>27</v>
      </c>
      <c r="G31" s="9">
        <f t="shared" si="0"/>
        <v>62</v>
      </c>
      <c r="H31" s="46">
        <f t="shared" si="1"/>
        <v>0</v>
      </c>
      <c r="I31" s="85">
        <v>1</v>
      </c>
      <c r="J31" s="85">
        <v>0</v>
      </c>
      <c r="K31" s="85">
        <v>0</v>
      </c>
      <c r="L31" s="85">
        <v>0</v>
      </c>
      <c r="M31" s="87">
        <f>(J31+J32+I32+I31+H31+H32+G32+G31)-D31</f>
        <v>-9</v>
      </c>
      <c r="N31" s="916" t="s">
        <v>29</v>
      </c>
      <c r="O31" s="165">
        <f>SUMIFS([1]خرداد!$AF$2:$AF$805,[1]خرداد!$O$2:$O$805,7602,[1]خرداد!$D$2:$D$805,$F$31,[1]خرداد!$AC$2:$AC$805,O3)</f>
        <v>12</v>
      </c>
      <c r="P31" s="169">
        <f>SUMIFS([1]خرداد!$AF$2:$AF$805,[1]خرداد!$O$2:$O$805,7602,[1]خرداد!$D$2:$D$805,$F$31,[1]خرداد!$AC$2:$AC$805,P3)</f>
        <v>12</v>
      </c>
      <c r="Q31" s="169">
        <f>SUMIFS([1]خرداد!$AF$2:$AF$805,[1]خرداد!$O$2:$O$805,7602,[1]خرداد!$D$2:$D$805,$F$31,[1]خرداد!$AC$2:$AC$805,Q3)</f>
        <v>12</v>
      </c>
      <c r="R31" s="169">
        <f>SUMIFS([1]خرداد!$AF$2:$AF$805,[1]خرداد!$O$2:$O$805,7602,[1]خرداد!$D$2:$D$805,$F$31,[1]خرداد!$AC$2:$AC$805,R3)</f>
        <v>6</v>
      </c>
      <c r="S31" s="169">
        <f>SUMIFS([1]خرداد!$AF$2:$AF$805,[1]خرداد!$O$2:$O$805,7602,[1]خرداد!$D$2:$D$805,$F$31,[1]خرداد!$AC$2:$AC$805,S3)</f>
        <v>12</v>
      </c>
      <c r="T31" s="169">
        <f>SUMIFS([1]خرداد!$AF$2:$AF$805,[1]خرداد!$O$2:$O$805,7602,[1]خرداد!$D$2:$D$805,$F$31,[1]خرداد!$AC$2:$AC$805,T3)</f>
        <v>8</v>
      </c>
      <c r="U31" s="170">
        <f>SUMIFS([1]خرداد!$AF$2:$AF$805,[1]خرداد!$O$2:$O$805,7602,[1]خرداد!$D$2:$D$805,$F$31,[1]خرداد!$AC$2:$AC$805,U3)</f>
        <v>0</v>
      </c>
    </row>
    <row r="32" spans="1:21" ht="43.5" customHeight="1" thickBot="1" x14ac:dyDescent="0.3">
      <c r="A32" s="913"/>
      <c r="B32" s="123"/>
      <c r="C32" s="397"/>
      <c r="D32" s="397"/>
      <c r="E32" s="915"/>
      <c r="F32" s="124"/>
      <c r="G32" s="6">
        <f t="shared" si="0"/>
        <v>0</v>
      </c>
      <c r="H32" s="64">
        <f t="shared" si="1"/>
        <v>0</v>
      </c>
      <c r="I32" s="125">
        <v>0</v>
      </c>
      <c r="J32" s="125">
        <v>0</v>
      </c>
      <c r="K32" s="126">
        <v>0</v>
      </c>
      <c r="L32" s="126">
        <v>0</v>
      </c>
      <c r="M32" s="127"/>
      <c r="N32" s="917"/>
      <c r="O32" s="167">
        <f>SUMIFS([1]اردیبهشت!$AD$2:$AD$805,[1]اردیبهشت!$N$2:$N$805,$C$31,[1]اردیبهشت!$D$2:$D$805,$F$32,[1]اردیبهشت!$AA$2:$AA$805,O3)</f>
        <v>0</v>
      </c>
      <c r="P32" s="175">
        <f>SUMIFS([1]اردیبهشت!$AD$2:$AD$600,[1]اردیبهشت!$N$2:$N$600,$C$31,[1]اردیبهشت!$D$2:$D$600,$F$32,[1]اردیبهشت!$AA$2:$AA$600,P3)</f>
        <v>0</v>
      </c>
      <c r="Q32" s="175">
        <f>SUMIFS([1]اردیبهشت!$AD$2:$AD$600,[1]اردیبهشت!$N$2:$N$600,$C$31,[1]اردیبهشت!$D$2:$D$600,$F$32,[1]اردیبهشت!$AA$2:$AA$600,Q3)</f>
        <v>0</v>
      </c>
      <c r="R32" s="175">
        <f>SUMIFS([1]اردیبهشت!$AD$2:$AD$600,[1]اردیبهشت!$N$2:$N$600,$C$31,[1]اردیبهشت!$D$2:$D$600,$F$32,[1]اردیبهشت!$AA$2:$AA$600,R3)</f>
        <v>0</v>
      </c>
      <c r="S32" s="175">
        <f>SUMIFS([1]اردیبهشت!$AD$2:$AD$600,[1]اردیبهشت!$N$2:$N$600,$C$31,[1]اردیبهشت!$D$2:$D$600,$F$32,[1]اردیبهشت!$AA$2:$AA$600,S3)</f>
        <v>0</v>
      </c>
      <c r="T32" s="175">
        <f>SUMIFS([1]اردیبهشت!$AD$2:$AD$600,[1]اردیبهشت!$N$2:$N$600,$C$31,[1]اردیبهشت!$D$2:$D$600,$F$32,[1]اردیبهشت!$AA$2:$AA$600,T3)</f>
        <v>0</v>
      </c>
      <c r="U32" s="114">
        <f>SUMIFS([1]خرداد!$AF$2:$AF$700,[1]خرداد!$O$2:$O$700,7101,[1]خرداد!$D$2:$D$700,$F$4,[1]خرداد!$AC$2:$AC$700,U31)</f>
        <v>0</v>
      </c>
    </row>
    <row r="33" spans="1:21" ht="42.75" customHeight="1" x14ac:dyDescent="0.25">
      <c r="A33" s="912">
        <v>16</v>
      </c>
      <c r="B33" s="408" t="s">
        <v>26</v>
      </c>
      <c r="C33" s="403">
        <v>7603</v>
      </c>
      <c r="D33" s="403">
        <v>72</v>
      </c>
      <c r="E33" s="943" t="s">
        <v>15</v>
      </c>
      <c r="F33" s="84" t="s">
        <v>27</v>
      </c>
      <c r="G33" s="9">
        <f t="shared" si="0"/>
        <v>41</v>
      </c>
      <c r="H33" s="46">
        <f t="shared" si="1"/>
        <v>0</v>
      </c>
      <c r="I33" s="9">
        <v>1</v>
      </c>
      <c r="J33" s="9">
        <v>0</v>
      </c>
      <c r="K33" s="9">
        <v>0</v>
      </c>
      <c r="L33" s="9">
        <v>0</v>
      </c>
      <c r="M33" s="23">
        <f>(J33+J34+I34+I33+H33+H34+G34+G33+L33+L34)-D33</f>
        <v>-30</v>
      </c>
      <c r="N33" s="945" t="s">
        <v>29</v>
      </c>
      <c r="O33" s="165">
        <f>SUMIFS([1]خرداد!$AF$2:$AF$805,[1]خرداد!$O$2:$O$805,7603,[1]خرداد!$D$2:$D$805,$F$33,[1]خرداد!$AC$2:$AC$805,O3)</f>
        <v>9</v>
      </c>
      <c r="P33" s="169">
        <f>SUMIFS([1]خرداد!$AF$2:$AF$805,[1]خرداد!$O$2:$O$805,7603,[1]خرداد!$D$2:$D$805,$F$33,[1]خرداد!$AC$2:$AC$805,P3)</f>
        <v>12</v>
      </c>
      <c r="Q33" s="169">
        <f>SUMIFS([1]خرداد!$AF$2:$AF$805,[1]خرداد!$O$2:$O$805,7603,[1]خرداد!$D$2:$D$805,$F$33,[1]خرداد!$AC$2:$AC$805,Q3)</f>
        <v>4</v>
      </c>
      <c r="R33" s="169">
        <f>SUMIFS([1]خرداد!$AF$2:$AF$805,[1]خرداد!$O$2:$O$805,7603,[1]خرداد!$D$2:$D$805,$F$33,[1]خرداد!$AC$2:$AC$805,R3)</f>
        <v>6</v>
      </c>
      <c r="S33" s="169">
        <f>SUMIFS([1]خرداد!$AF$2:$AF$805,[1]خرداد!$O$2:$O$805,7603,[1]خرداد!$D$2:$D$805,$F$33,[1]خرداد!$AC$2:$AC$805,S3)</f>
        <v>10</v>
      </c>
      <c r="T33" s="169">
        <f>SUMIFS([1]خرداد!$AF$2:$AF$805,[1]خرداد!$O$2:$O$805,7603,[1]خرداد!$D$2:$D$805,$F$33,[1]خرداد!$AC$2:$AC$805,T3)</f>
        <v>0</v>
      </c>
      <c r="U33" s="170">
        <f>SUMIFS([1]خرداد!$AF$2:$AF$805,[1]خرداد!$O$2:$O$805,7603,[1]خرداد!$D$2:$D$805,$F$33,[1]خرداد!$AC$2:$AC$805,U3)</f>
        <v>0</v>
      </c>
    </row>
    <row r="34" spans="1:21" ht="42.75" customHeight="1" thickBot="1" x14ac:dyDescent="0.3">
      <c r="A34" s="942"/>
      <c r="B34" s="409"/>
      <c r="C34" s="404"/>
      <c r="D34" s="404"/>
      <c r="E34" s="944"/>
      <c r="F34" s="5"/>
      <c r="G34" s="1">
        <f t="shared" si="0"/>
        <v>0</v>
      </c>
      <c r="H34" s="49">
        <f t="shared" si="1"/>
        <v>0</v>
      </c>
      <c r="I34" s="7">
        <v>0</v>
      </c>
      <c r="J34" s="7">
        <v>0</v>
      </c>
      <c r="K34" s="6">
        <v>0</v>
      </c>
      <c r="L34" s="6">
        <v>0</v>
      </c>
      <c r="M34" s="8"/>
      <c r="N34" s="946"/>
      <c r="O34" s="171">
        <f>SUMIFS([1]اردیبهشت!$AD$2:$AD$805,[1]اردیبهشت!$N$2:$N$805,$C$33,[1]اردیبهشت!$D$2:$D$805,$F$34,[1]اردیبهشت!$AA$2:$AA$805,O3)</f>
        <v>0</v>
      </c>
      <c r="P34" s="172">
        <f>SUMIFS([1]اردیبهشت!$AD$2:$AD$600,[1]اردیبهشت!$N$2:$N$600,$C$33,[1]اردیبهشت!$D$2:$D$600,$F$34,[1]اردیبهشت!$AA$2:$AA$600,P3)</f>
        <v>0</v>
      </c>
      <c r="Q34" s="172">
        <f>SUMIFS([1]اردیبهشت!$AD$2:$AD$600,[1]اردیبهشت!$N$2:$N$600,$C$33,[1]اردیبهشت!$D$2:$D$600,$F$34,[1]اردیبهشت!$AA$2:$AA$600,Q3)</f>
        <v>0</v>
      </c>
      <c r="R34" s="172">
        <f>SUMIFS([1]اردیبهشت!$AD$2:$AD$600,[1]اردیبهشت!$N$2:$N$600,$C$33,[1]اردیبهشت!$D$2:$D$600,$F$34,[1]اردیبهشت!$AA$2:$AA$600,R3)</f>
        <v>0</v>
      </c>
      <c r="S34" s="172">
        <f>SUMIFS([1]اردیبهشت!$AD$2:$AD$600,[1]اردیبهشت!$N$2:$N$600,$C$33,[1]اردیبهشت!$D$2:$D$600,$F$34,[1]اردیبهشت!$AA$2:$AA$600,S3)</f>
        <v>0</v>
      </c>
      <c r="T34" s="172">
        <f>SUMIFS([1]اردیبهشت!$AD$2:$AD$600,[1]اردیبهشت!$N$2:$N$600,$C$33,[1]اردیبهشت!$D$2:$D$600,$F$34,[1]اردیبهشت!$AA$2:$AA$600,T3)</f>
        <v>0</v>
      </c>
      <c r="U34" s="109">
        <f>SUMIFS([1]خرداد!$AF$2:$AF$700,[1]خرداد!$O$2:$O$700,7101,[1]خرداد!$D$2:$D$700,$F$4,[1]خرداد!$AC$2:$AC$700,U33)</f>
        <v>0</v>
      </c>
    </row>
    <row r="35" spans="1:21" ht="42.75" customHeight="1" x14ac:dyDescent="0.25">
      <c r="A35" s="912">
        <v>17</v>
      </c>
      <c r="B35" s="418" t="s">
        <v>26</v>
      </c>
      <c r="C35" s="458">
        <v>7604</v>
      </c>
      <c r="D35" s="412">
        <v>72</v>
      </c>
      <c r="E35" s="968" t="s">
        <v>19</v>
      </c>
      <c r="F35" s="84" t="s">
        <v>27</v>
      </c>
      <c r="G35" s="85" t="s">
        <v>83</v>
      </c>
      <c r="H35" s="86">
        <f t="shared" si="1"/>
        <v>0</v>
      </c>
      <c r="I35" s="93">
        <v>0</v>
      </c>
      <c r="J35" s="93">
        <v>72</v>
      </c>
      <c r="K35" s="93">
        <v>0</v>
      </c>
      <c r="L35" s="93">
        <v>0</v>
      </c>
      <c r="M35" s="94"/>
      <c r="N35" s="971" t="s">
        <v>28</v>
      </c>
      <c r="O35" s="187">
        <f>SUMIFS([1]خرداد!$AF$2:$AF$805,[1]خرداد!$O$2:$O$805,7604,[1]خرداد!$D$2:$D$805,$F$33,[1]خرداد!$AC$2:$AC$805,O3)</f>
        <v>0</v>
      </c>
      <c r="P35" s="298">
        <f>SUMIFS([1]خرداد!$AF$2:$AF$805,[1]خرداد!$O$2:$O$805,7604,[1]خرداد!$D$2:$D$805,$F$33,[1]خرداد!$AC$2:$AC$805,P3)</f>
        <v>0</v>
      </c>
      <c r="Q35" s="298">
        <f>SUMIFS([1]خرداد!$AF$2:$AF$805,[1]خرداد!$O$2:$O$805,7604,[1]خرداد!$D$2:$D$805,$F$33,[1]خرداد!$AC$2:$AC$805,Q3)</f>
        <v>0</v>
      </c>
      <c r="R35" s="298">
        <f>SUMIFS([1]خرداد!$AF$2:$AF$805,[1]خرداد!$O$2:$O$805,7604,[1]خرداد!$D$2:$D$805,$F$33,[1]خرداد!$AC$2:$AC$805,R3)</f>
        <v>0</v>
      </c>
      <c r="S35" s="298">
        <f>SUMIFS([1]خرداد!$AF$2:$AF$805,[1]خرداد!$O$2:$O$805,7604,[1]خرداد!$D$2:$D$805,$F$33,[1]خرداد!$AC$2:$AC$805,S3)</f>
        <v>0</v>
      </c>
      <c r="T35" s="298">
        <f>SUMIFS([1]خرداد!$AF$2:$AF$805,[1]خرداد!$O$2:$O$805,7604,[1]خرداد!$D$2:$D$805,$F$33,[1]خرداد!$AC$2:$AC$805,T3)</f>
        <v>0</v>
      </c>
      <c r="U35" s="463">
        <f>SUMIFS([1]خرداد!$AF$2:$AF$805,[1]خرداد!$O$2:$O$805,7604,[1]خرداد!$D$2:$D$805,$F$33,[1]خرداد!$AC$2:$AC$805,U3)</f>
        <v>0</v>
      </c>
    </row>
    <row r="36" spans="1:21" ht="42.75" customHeight="1" thickBot="1" x14ac:dyDescent="0.3">
      <c r="A36" s="913"/>
      <c r="B36" s="418"/>
      <c r="C36" s="459"/>
      <c r="D36" s="460"/>
      <c r="E36" s="997"/>
      <c r="F36" s="461"/>
      <c r="G36" s="93">
        <f t="shared" si="0"/>
        <v>0</v>
      </c>
      <c r="H36" s="92">
        <f t="shared" si="1"/>
        <v>0</v>
      </c>
      <c r="I36" s="462">
        <v>0</v>
      </c>
      <c r="J36" s="462">
        <v>0</v>
      </c>
      <c r="K36" s="89">
        <v>0</v>
      </c>
      <c r="L36" s="89">
        <v>0</v>
      </c>
      <c r="M36" s="94"/>
      <c r="N36" s="998"/>
      <c r="O36" s="274">
        <f>SUMIFS([1]خرداد!$AF$2:$AF$805,[1]خرداد!$O$2:$O$805,7604,[1]خرداد!$D$2:$D$805,$F$33,[1]خرداد!$AC$2:$AC$805,O3)</f>
        <v>0</v>
      </c>
      <c r="P36" s="299">
        <f>SUMIFS([1]خرداد!$AF$2:$AF$805,[1]خرداد!$O$2:$O$805,7604,[1]خرداد!$D$2:$D$805,$F$33,[1]خرداد!$AC$2:$AC$805,P3)</f>
        <v>0</v>
      </c>
      <c r="Q36" s="299">
        <f>SUMIFS([1]خرداد!$AF$2:$AF$805,[1]خرداد!$O$2:$O$805,7604,[1]خرداد!$D$2:$D$805,$F$33,[1]خرداد!$AC$2:$AC$805,Q3)</f>
        <v>0</v>
      </c>
      <c r="R36" s="299">
        <f>SUMIFS([1]خرداد!$AF$2:$AF$805,[1]خرداد!$O$2:$O$805,7604,[1]خرداد!$D$2:$D$805,$F$33,[1]خرداد!$AC$2:$AC$805,R3)</f>
        <v>0</v>
      </c>
      <c r="S36" s="299">
        <f>SUMIFS([1]خرداد!$AF$2:$AF$805,[1]خرداد!$O$2:$O$805,7604,[1]خرداد!$D$2:$D$805,$F$33,[1]خرداد!$AC$2:$AC$805,S3)</f>
        <v>0</v>
      </c>
      <c r="T36" s="299">
        <f>SUMIFS([1]خرداد!$AF$2:$AF$805,[1]خرداد!$O$2:$O$805,7604,[1]خرداد!$D$2:$D$805,$F$33,[1]خرداد!$AC$2:$AC$805,T3)</f>
        <v>0</v>
      </c>
      <c r="U36" s="468">
        <f>SUMIFS([1]خرداد!$AF$2:$AF$805,[1]خرداد!$O$2:$O$805,7604,[1]خرداد!$D$2:$D$805,$F$33,[1]خرداد!$AC$2:$AC$805,U3)</f>
        <v>0</v>
      </c>
    </row>
    <row r="37" spans="1:21" ht="42.75" customHeight="1" x14ac:dyDescent="0.25">
      <c r="A37" s="954">
        <v>18</v>
      </c>
      <c r="B37" s="83" t="s">
        <v>26</v>
      </c>
      <c r="C37" s="396">
        <v>7605</v>
      </c>
      <c r="D37" s="396">
        <v>72</v>
      </c>
      <c r="E37" s="914" t="s">
        <v>15</v>
      </c>
      <c r="F37" s="84" t="s">
        <v>27</v>
      </c>
      <c r="G37" s="85">
        <f t="shared" si="0"/>
        <v>8</v>
      </c>
      <c r="H37" s="86">
        <f t="shared" si="1"/>
        <v>0</v>
      </c>
      <c r="I37" s="85">
        <v>0</v>
      </c>
      <c r="J37" s="85">
        <v>0</v>
      </c>
      <c r="K37" s="85">
        <v>0</v>
      </c>
      <c r="L37" s="153">
        <v>0</v>
      </c>
      <c r="M37" s="87">
        <f>(G37+H37+I37+J37+K37+L37)-D37</f>
        <v>-64</v>
      </c>
      <c r="N37" s="955" t="s">
        <v>28</v>
      </c>
      <c r="O37" s="187">
        <f>SUMIFS([1]خرداد!$AF$2:$AF$805,[1]خرداد!$O$2:$O$805,7605,[1]خرداد!$D$2:$D$805,$F$37,[1]خرداد!$AC$2:$AC$805,O3)</f>
        <v>0</v>
      </c>
      <c r="P37" s="188">
        <f>SUMIFS([1]خرداد!$AF$2:$AF$805,[1]خرداد!$O$2:$O$805,7605,[1]خرداد!$D$2:$D$805,$F$37,[1]خرداد!$AC$2:$AC$805,P3)</f>
        <v>8</v>
      </c>
      <c r="Q37" s="188">
        <f>SUMIFS([1]خرداد!$AF$2:$AF$805,[1]خرداد!$O$2:$O$805,7605,[1]خرداد!$D$2:$D$805,$F$37,[1]خرداد!$AC$2:$AC$805,Q3)</f>
        <v>0</v>
      </c>
      <c r="R37" s="188">
        <f>SUMIFS([1]خرداد!$AF$2:$AF$805,[1]خرداد!$O$2:$O$805,7605,[1]خرداد!$D$2:$D$805,$F$37,[1]خرداد!$AC$2:$AC$805,R3)</f>
        <v>0</v>
      </c>
      <c r="S37" s="188">
        <f>SUMIFS([1]خرداد!$AF$2:$AF$805,[1]خرداد!$O$2:$O$805,7605,[1]خرداد!$D$2:$D$805,$F$37,[1]خرداد!$AC$2:$AC$805,S3)</f>
        <v>0</v>
      </c>
      <c r="T37" s="188">
        <f>SUMIFS([1]خرداد!$AF$2:$AF$805,[1]خرداد!$O$2:$O$805,7605,[1]خرداد!$D$2:$D$805,$F$37,[1]خرداد!$AC$2:$AC$805,T3)</f>
        <v>0</v>
      </c>
      <c r="U37" s="189">
        <f>SUMIFS([1]خرداد!$AF$2:$AF$805,[1]خرداد!$O$2:$O$805,7605,[1]خرداد!$D$2:$D$805,$F$37,[1]خرداد!$AC$2:$AC$805,U3)</f>
        <v>0</v>
      </c>
    </row>
    <row r="38" spans="1:21" ht="42.75" customHeight="1" thickBot="1" x14ac:dyDescent="0.3">
      <c r="A38" s="942"/>
      <c r="B38" s="123"/>
      <c r="C38" s="397"/>
      <c r="D38" s="397"/>
      <c r="E38" s="915"/>
      <c r="F38" s="124"/>
      <c r="G38" s="93">
        <f t="shared" si="0"/>
        <v>0</v>
      </c>
      <c r="H38" s="92">
        <f t="shared" si="1"/>
        <v>0</v>
      </c>
      <c r="I38" s="125">
        <v>0</v>
      </c>
      <c r="J38" s="125">
        <v>0</v>
      </c>
      <c r="K38" s="126">
        <v>0</v>
      </c>
      <c r="L38" s="126">
        <v>0</v>
      </c>
      <c r="M38" s="154"/>
      <c r="N38" s="917"/>
      <c r="O38" s="190">
        <f>SUMIFS([1]اردیبهشت!$AD$2:$AD$805,[1]اردیبهشت!$N$2:$N$805,$C$37,[1]اردیبهشت!$D$2:$D$805,$F$38,[1]اردیبهشت!$AA$2:$AA$805,O3)</f>
        <v>0</v>
      </c>
      <c r="P38" s="191">
        <f>SUMIFS([1]اردیبهشت!$AD$2:$AD$600,[1]اردیبهشت!$N$2:$N$600,$C$37,[1]اردیبهشت!$D$2:$D$600,$F$38,[1]اردیبهشت!$AA$2:$AA$600,P3)</f>
        <v>0</v>
      </c>
      <c r="Q38" s="191">
        <f>SUMIFS([1]اردیبهشت!$AD$2:$AD$600,[1]اردیبهشت!$N$2:$N$600,$C$37,[1]اردیبهشت!$D$2:$D$600,$F$38,[1]اردیبهشت!$AA$2:$AA$600,Q3)</f>
        <v>0</v>
      </c>
      <c r="R38" s="191">
        <f>SUMIFS([1]اردیبهشت!$AD$2:$AD$600,[1]اردیبهشت!$N$2:$N$600,$C$37,[1]اردیبهشت!$D$2:$D$600,$F$38,[1]اردیبهشت!$AA$2:$AA$600,R3)</f>
        <v>0</v>
      </c>
      <c r="S38" s="191">
        <f>SUMIFS([1]اردیبهشت!$AD$2:$AD$600,[1]اردیبهشت!$N$2:$N$600,$C$37,[1]اردیبهشت!$D$2:$D$600,$F$38,[1]اردیبهشت!$AA$2:$AA$600,S3)</f>
        <v>0</v>
      </c>
      <c r="T38" s="191">
        <f>SUMIFS([1]اردیبهشت!$AD$2:$AD$600,[1]اردیبهشت!$N$2:$N$600,$C$37,[1]اردیبهشت!$D$2:$D$600,$F$38,[1]اردیبهشت!$AA$2:$AA$600,T3)</f>
        <v>0</v>
      </c>
      <c r="U38" s="115">
        <f>SUMIFS([1]اردیبهشت!$AD$2:$AD$600,[1]اردیبهشت!$N$2:$N$600,$C$37,[1]اردیبهشت!$D$2:$D$600,$F$38,[1]اردیبهشت!$AA$2:$AA$600,U3)</f>
        <v>0</v>
      </c>
    </row>
    <row r="39" spans="1:21" ht="39" customHeight="1" x14ac:dyDescent="0.25">
      <c r="A39" s="419"/>
      <c r="B39" s="307"/>
      <c r="C39" s="403"/>
      <c r="D39" s="403"/>
      <c r="E39" s="932" t="s">
        <v>15</v>
      </c>
      <c r="F39" s="84" t="s">
        <v>27</v>
      </c>
      <c r="G39" s="9">
        <f t="shared" si="0"/>
        <v>8</v>
      </c>
      <c r="H39" s="46">
        <f t="shared" si="1"/>
        <v>0</v>
      </c>
      <c r="I39" s="9">
        <v>0</v>
      </c>
      <c r="J39" s="9">
        <v>0</v>
      </c>
      <c r="K39" s="9">
        <v>0</v>
      </c>
      <c r="L39" s="9">
        <v>0</v>
      </c>
      <c r="M39" s="28"/>
      <c r="N39" s="945" t="s">
        <v>13</v>
      </c>
      <c r="O39" s="165">
        <f>SUMIFS([1]خرداد!$AF$2:$AF$805,[1]خرداد!$O$2:$O$805,7701,[1]خرداد!$D$2:$D$805,$F$39,[1]خرداد!$AC$2:$AC$805,O3)</f>
        <v>0</v>
      </c>
      <c r="P39" s="169">
        <f>SUMIFS([1]خرداد!$AF$2:$AF$805,[1]خرداد!$O$2:$O$805,7701,[1]خرداد!$D$2:$D$805,$F$39,[1]خرداد!$AC$2:$AC$805,P3)</f>
        <v>0</v>
      </c>
      <c r="Q39" s="169">
        <f>SUMIFS([1]خرداد!$AF$2:$AF$805,[1]خرداد!$O$2:$O$805,7701,[1]خرداد!$D$2:$D$805,$F$39,[1]خرداد!$AC$2:$AC$805,Q3)</f>
        <v>0</v>
      </c>
      <c r="R39" s="169">
        <f>SUMIFS([1]خرداد!$AF$2:$AF$805,[1]خرداد!$O$2:$O$805,7701,[1]خرداد!$D$2:$D$805,$F$39,[1]خرداد!$AC$2:$AC$805,R3)</f>
        <v>0</v>
      </c>
      <c r="S39" s="169">
        <f>SUMIFS([1]خرداد!$AF$2:$AF$805,[1]خرداد!$O$2:$O$805,7701,[1]خرداد!$D$2:$D$805,$F$39,[1]خرداد!$AC$2:$AC$805,S3)</f>
        <v>8</v>
      </c>
      <c r="T39" s="169">
        <f>SUMIFS([1]خرداد!$AF$2:$AF$805,[1]خرداد!$O$2:$O$805,7701,[1]خرداد!$D$2:$D$805,$F$39,[1]خرداد!$AC$2:$AC$805,T3)</f>
        <v>0</v>
      </c>
      <c r="U39" s="170">
        <f>SUMIFS([1]خرداد!$AF$2:$AF$805,[1]خرداد!$O$2:$O$805,7701,[1]خرداد!$D$2:$D$805,$F$39,[1]خرداد!$AC$2:$AC$805,U3)</f>
        <v>0</v>
      </c>
    </row>
    <row r="40" spans="1:21" ht="39" customHeight="1" x14ac:dyDescent="0.25">
      <c r="A40" s="420">
        <v>19</v>
      </c>
      <c r="B40" s="308" t="s">
        <v>30</v>
      </c>
      <c r="C40" s="410">
        <v>7701</v>
      </c>
      <c r="D40" s="410">
        <v>62.5</v>
      </c>
      <c r="E40" s="933"/>
      <c r="F40" s="29"/>
      <c r="G40" s="3">
        <f t="shared" si="0"/>
        <v>0</v>
      </c>
      <c r="H40" s="47">
        <f t="shared" si="1"/>
        <v>0</v>
      </c>
      <c r="I40" s="3">
        <v>0</v>
      </c>
      <c r="J40" s="25">
        <v>0</v>
      </c>
      <c r="K40" s="25">
        <v>0</v>
      </c>
      <c r="L40" s="70">
        <v>0</v>
      </c>
      <c r="M40" s="4">
        <f>(J39+J40+J41+I41+I40+I39+H39+H40+H41+G41+G40+G39)-D40</f>
        <v>-54.5</v>
      </c>
      <c r="N40" s="956"/>
      <c r="O40" s="166">
        <f>SUMIFS([1]اردیبهشت!$AD$2:$AD$805,[1]اردیبهشت!$N$2:$N$805,$C$40,[1]اردیبهشت!$D$2:$D$805,$F$40,[1]اردیبهشت!$AA$2:$AA$805,O3)</f>
        <v>0</v>
      </c>
      <c r="P40" s="168">
        <f>SUMIFS([1]اردیبهشت!$AD$2:$AD$805,[1]اردیبهشت!$N$2:$N$805,$C$40,[1]اردیبهشت!$D$2:$D$805,$F$40,[1]اردیبهشت!$AA$2:$AA$805,P3)</f>
        <v>0</v>
      </c>
      <c r="Q40" s="168">
        <f>SUMIFS([1]اردیبهشت!$AD$2:$AD$805,[1]اردیبهشت!$N$2:$N$805,$C$40,[1]اردیبهشت!$D$2:$D$805,$F$40,[1]اردیبهشت!$AA$2:$AA$805,Q3)</f>
        <v>0</v>
      </c>
      <c r="R40" s="168">
        <f>SUMIFS([1]اردیبهشت!$AD$2:$AD$805,[1]اردیبهشت!$N$2:$N$805,$C$40,[1]اردیبهشت!$D$2:$D$805,$F$40,[1]اردیبهشت!$AA$2:$AA$805,R3)</f>
        <v>0</v>
      </c>
      <c r="S40" s="168">
        <f>SUMIFS([1]اردیبهشت!$AD$2:$AD$805,[1]اردیبهشت!$N$2:$N$805,$C$40,[1]اردیبهشت!$D$2:$D$805,$F$40,[1]اردیبهشت!$AA$2:$AA$805,S3)</f>
        <v>0</v>
      </c>
      <c r="T40" s="168">
        <f>SUMIFS([1]اردیبهشت!$AD$2:$AD$805,[1]اردیبهشت!$N$2:$N$805,$C$40,[1]اردیبهشت!$D$2:$D$805,$F$40,[1]اردیبهشت!$AA$2:$AA$805,T3)</f>
        <v>0</v>
      </c>
      <c r="U40" s="108">
        <f>SUMIFS([1]اردیبهشت!$AD$2:$AD$600,[1]اردیبهشت!$N$2:$N$600,$C$40,[1]اردیبهشت!$D$2:$D$600,$F$40,[1]اردیبهشت!$AA$2:$AA$600,U3)</f>
        <v>0</v>
      </c>
    </row>
    <row r="41" spans="1:21" ht="39" customHeight="1" thickBot="1" x14ac:dyDescent="0.3">
      <c r="A41" s="421"/>
      <c r="B41" s="310"/>
      <c r="C41" s="404"/>
      <c r="D41" s="404"/>
      <c r="E41" s="934"/>
      <c r="F41" s="30"/>
      <c r="G41" s="1">
        <f t="shared" si="0"/>
        <v>0</v>
      </c>
      <c r="H41" s="49">
        <f t="shared" si="1"/>
        <v>0</v>
      </c>
      <c r="I41" s="7">
        <v>0</v>
      </c>
      <c r="J41" s="7">
        <v>0</v>
      </c>
      <c r="K41" s="7">
        <v>0</v>
      </c>
      <c r="L41" s="7">
        <v>0</v>
      </c>
      <c r="M41" s="8"/>
      <c r="N41" s="946"/>
      <c r="O41" s="167">
        <f>SUMIFS([1]اردیبهشت!$AD$2:$AD$805,[1]اردیبهشت!$N$2:$N$805,$C$40,[1]اردیبهشت!$D$2:$D$805,$F$41,[1]اردیبهشت!$AA$2:$AA$805,O3)</f>
        <v>0</v>
      </c>
      <c r="P41" s="175">
        <f>SUMIFS([1]اردیبهشت!$AD$2:$AD$805,[1]اردیبهشت!$N$2:$N$805,$C$40,[1]اردیبهشت!$D$2:$D$805,$F$41,[1]اردیبهشت!$AA$2:$AA$805,P3)</f>
        <v>0</v>
      </c>
      <c r="Q41" s="175">
        <f>SUMIFS([1]اردیبهشت!$AD$2:$AD$805,[1]اردیبهشت!$N$2:$N$805,$C$40,[1]اردیبهشت!$D$2:$D$805,$F$41,[1]اردیبهشت!$AA$2:$AA$805,Q3)</f>
        <v>0</v>
      </c>
      <c r="R41" s="175">
        <f>SUMIFS([1]اردیبهشت!$AD$2:$AD$805,[1]اردیبهشت!$N$2:$N$805,$C$40,[1]اردیبهشت!$D$2:$D$805,$F$41,[1]اردیبهشت!$AA$2:$AA$805,R3)</f>
        <v>0</v>
      </c>
      <c r="S41" s="175">
        <f>SUMIFS([1]اردیبهشت!$AD$2:$AD$805,[1]اردیبهشت!$N$2:$N$805,$C$40,[1]اردیبهشت!$D$2:$D$805,$F$41,[1]اردیبهشت!$AA$2:$AA$805,S3)</f>
        <v>0</v>
      </c>
      <c r="T41" s="175">
        <f>SUMIFS([1]اردیبهشت!$AD$2:$AD$805,[1]اردیبهشت!$N$2:$N$805,$C$40,[1]اردیبهشت!$D$2:$D$805,$F$41,[1]اردیبهشت!$AA$2:$AA$805,T3)</f>
        <v>0</v>
      </c>
      <c r="U41" s="114">
        <f>SUMIFS([1]اردیبهشت!$AD$2:$AD$600,[1]اردیبهشت!$N$2:$N$600,$C$40,[1]اردیبهشت!$D$2:$D$600,$F$41,[1]اردیبهشت!$AA$2:$AA$600,U3)</f>
        <v>0</v>
      </c>
    </row>
    <row r="42" spans="1:21" ht="39" customHeight="1" thickBot="1" x14ac:dyDescent="0.3">
      <c r="A42" s="421">
        <v>20</v>
      </c>
      <c r="B42" s="216" t="s">
        <v>63</v>
      </c>
      <c r="C42" s="401">
        <v>8001</v>
      </c>
      <c r="D42" s="401">
        <v>62.5</v>
      </c>
      <c r="E42" s="401" t="s">
        <v>15</v>
      </c>
      <c r="F42" s="29" t="s">
        <v>54</v>
      </c>
      <c r="G42" s="9">
        <f t="shared" si="0"/>
        <v>20</v>
      </c>
      <c r="H42" s="46">
        <f t="shared" si="1"/>
        <v>2</v>
      </c>
      <c r="I42" s="4">
        <v>0</v>
      </c>
      <c r="J42" s="4">
        <v>0</v>
      </c>
      <c r="K42" s="4">
        <v>0</v>
      </c>
      <c r="L42" s="4">
        <v>0</v>
      </c>
      <c r="M42" s="4">
        <f>SUM(G42:J42)-62</f>
        <v>-40</v>
      </c>
      <c r="N42" s="422" t="s">
        <v>31</v>
      </c>
      <c r="O42" s="179">
        <f>SUMIFS([1]خرداد!$AF$2:$AF$805,[1]خرداد!$O$2:$O$805,8001,[1]خرداد!$D$2:$D$805,"*",[1]خرداد!$AC$2:$AC$805,O3)</f>
        <v>3</v>
      </c>
      <c r="P42" s="186">
        <f>SUMIFS([1]خرداد!$AF$2:$AF$805,[1]خرداد!$O$2:$O$805,8001,[1]خرداد!$D$2:$D$805,$F$42,[1]خرداد!$AC$2:$AC$805,P3)</f>
        <v>2</v>
      </c>
      <c r="Q42" s="186">
        <f>SUMIFS([1]خرداد!$AF$2:$AF$805,[1]خرداد!$O$2:$O$805,8001,[1]خرداد!$D$2:$D$805,$F$42,[1]خرداد!$AC$2:$AC$805,Q3)</f>
        <v>7</v>
      </c>
      <c r="R42" s="186">
        <f>SUMIFS([1]خرداد!$AF$2:$AF$805,[1]خرداد!$O$2:$O$805,8001,[1]خرداد!$D$2:$D$805,$F$42,[1]خرداد!$AC$2:$AC$805,R3)</f>
        <v>5</v>
      </c>
      <c r="S42" s="186">
        <f>SUMIFS([1]خرداد!$AF$2:$AF$805,[1]خرداد!$O$2:$O$805,8001,[1]خرداد!$D$2:$D$805,$F$42,[1]خرداد!$AC$2:$AC$805,S3)</f>
        <v>3</v>
      </c>
      <c r="T42" s="186">
        <f>SUMIFS([1]خرداد!$AF$2:$AF$805,[1]خرداد!$O$2:$O$805,8001,[1]خرداد!$D$2:$D$805,$F$42,[1]خرداد!$AC$2:$AC$805,T3)</f>
        <v>0</v>
      </c>
      <c r="U42" s="423">
        <f>SUMIFS([1]خرداد!$AF$2:$AF$805,[1]خرداد!$O$2:$O$805,8001,[1]خرداد!$D$2:$D$805,$F$42,[1]خرداد!$AC$2:$AC$805,U3)</f>
        <v>2</v>
      </c>
    </row>
    <row r="43" spans="1:21" ht="38.25" customHeight="1" thickBot="1" x14ac:dyDescent="0.3">
      <c r="A43" s="45">
        <v>21</v>
      </c>
      <c r="B43" s="12" t="s">
        <v>32</v>
      </c>
      <c r="C43" s="13">
        <v>8002</v>
      </c>
      <c r="D43" s="13">
        <v>44</v>
      </c>
      <c r="E43" s="13" t="s">
        <v>15</v>
      </c>
      <c r="F43" s="31" t="s">
        <v>23</v>
      </c>
      <c r="G43" s="14">
        <f t="shared" si="0"/>
        <v>33.5</v>
      </c>
      <c r="H43" s="48">
        <f t="shared" si="1"/>
        <v>0</v>
      </c>
      <c r="I43" s="14">
        <v>0</v>
      </c>
      <c r="J43" s="14">
        <v>0</v>
      </c>
      <c r="K43" s="14">
        <v>0</v>
      </c>
      <c r="L43" s="14">
        <v>0</v>
      </c>
      <c r="M43" s="14">
        <f>SUM(G43:L43)-(D43)</f>
        <v>-10.5</v>
      </c>
      <c r="N43" s="17" t="s">
        <v>29</v>
      </c>
      <c r="O43" s="179">
        <f>SUMIFS([1]خرداد!$AF$2:$AF$805,[1]خرداد!$O$2:$O$805,8002,[1]خرداد!$D$2:$D$805,$F$43,[1]خرداد!$AC$2:$AC$805,O3)</f>
        <v>7.5</v>
      </c>
      <c r="P43" s="186">
        <f>SUMIFS([1]خرداد!$AF$2:$AF$805,[1]خرداد!$O$2:$O$805,8002,[1]خرداد!$D$2:$D$805,$F$43,[1]خرداد!$AC$2:$AC$805,P3)</f>
        <v>7.5</v>
      </c>
      <c r="Q43" s="186">
        <f>SUMIFS([1]خرداد!$AF$2:$AF$805,[1]خرداد!$O$2:$O$805,8002,[1]خرداد!$D$2:$D$805,$F$43,[1]خرداد!$AC$2:$AC$805,Q3)</f>
        <v>7.5</v>
      </c>
      <c r="R43" s="186">
        <f>SUMIFS([1]خرداد!$AF$2:$AF$805,[1]خرداد!$O$2:$O$805,8002,[1]خرداد!$D$2:$D$805,$F$43,[1]خرداد!$AC$2:$AC$805,R3)</f>
        <v>7.5</v>
      </c>
      <c r="S43" s="186">
        <f>SUMIFS([1]خرداد!$AF$2:$AF$805,[1]خرداد!$O$2:$O$805,8002,[1]خرداد!$D$2:$D$805,$F$43,[1]خرداد!$AC$2:$AC$805,S3)</f>
        <v>3.5</v>
      </c>
      <c r="T43" s="186">
        <f>SUMIFS([1]خرداد!$AF$2:$AF$805,[1]خرداد!$O$2:$O$805,8002,[1]خرداد!$D$2:$D$805,$F$43,[1]خرداد!$AC$2:$AC$805,T3)</f>
        <v>0</v>
      </c>
      <c r="U43" s="423">
        <f>SUMIFS([1]خرداد!$AF$2:$AF$805,[1]خرداد!$O$2:$O$805,8002,[1]خرداد!$D$2:$D$805,$F$43,[1]خرداد!$AC$2:$AC$805,U3)</f>
        <v>0</v>
      </c>
    </row>
    <row r="44" spans="1:21" ht="36" customHeight="1" x14ac:dyDescent="0.25">
      <c r="A44" s="957">
        <v>22</v>
      </c>
      <c r="B44" s="961" t="s">
        <v>33</v>
      </c>
      <c r="C44" s="943" t="s">
        <v>33</v>
      </c>
      <c r="D44" s="932">
        <v>62.5</v>
      </c>
      <c r="E44" s="943"/>
      <c r="F44" s="32" t="s">
        <v>16</v>
      </c>
      <c r="G44" s="9">
        <f t="shared" si="0"/>
        <v>42</v>
      </c>
      <c r="H44" s="46">
        <f t="shared" si="1"/>
        <v>1.5</v>
      </c>
      <c r="I44" s="9">
        <v>0</v>
      </c>
      <c r="J44" s="9">
        <v>0</v>
      </c>
      <c r="K44" s="9">
        <v>0</v>
      </c>
      <c r="L44" s="9">
        <v>0</v>
      </c>
      <c r="M44" s="9">
        <f>(SUM(G44:L44))-D44</f>
        <v>-19</v>
      </c>
      <c r="N44" s="33" t="s">
        <v>29</v>
      </c>
      <c r="O44" s="165">
        <f>SUMIFS([1]خرداد!$AF$2:$AF$805,[1]خرداد!$O$2:$O$805,"مونتاژ",[1]خرداد!$D$2:$D$805,$F$44,[1]خرداد!$AC$2:$AC$805,O3)</f>
        <v>4.5</v>
      </c>
      <c r="P44" s="169">
        <f>SUMIFS([1]خرداد!$AF$2:$AF$805,[1]خرداد!$O$2:$O$805,"مونتاژ",[1]خرداد!$D$2:$D$805,$F$44,[1]خرداد!$AC$2:$AC$805,P3)</f>
        <v>7.5</v>
      </c>
      <c r="Q44" s="169">
        <f>SUMIFS([1]خرداد!$AF$2:$AF$805,[1]خرداد!$O$2:$O$805,"مونتاژ",[1]خرداد!$D$2:$D$805,$F$44,[1]خرداد!$AC$2:$AC$805,Q3)</f>
        <v>10</v>
      </c>
      <c r="R44" s="169">
        <f>SUMIFS([1]خرداد!$AF$2:$AF$805,[1]خرداد!$O$2:$O$805,"مونتاژ",[1]خرداد!$D$2:$D$805,$F$44,[1]خرداد!$AC$2:$AC$805,R3)</f>
        <v>6</v>
      </c>
      <c r="S44" s="169">
        <f>SUMIFS([1]خرداد!$AF$2:$AF$805,[1]خرداد!$O$2:$O$805,"مونتاژ",[1]خرداد!$D$2:$D$805,$F$44,[1]خرداد!$AC$2:$AC$805,S3)</f>
        <v>14</v>
      </c>
      <c r="T44" s="169">
        <f>SUMIFS([1]خرداد!$AF$2:$AF$805,[1]خرداد!$O$2:$O$805,"مونتاژ",[1]خرداد!$D$2:$D$805,$F$44,[1]خرداد!$AC$2:$AC$805,T3)</f>
        <v>0</v>
      </c>
      <c r="U44" s="170">
        <f>SUMIFS([1]خرداد!$AF$2:$AF$805,[1]خرداد!$O$2:$O$805,"مونتاژ",[1]خرداد!$D$2:$D$805,$F$44,[1]خرداد!$AC$2:$AC$805,U3)</f>
        <v>1.5</v>
      </c>
    </row>
    <row r="45" spans="1:21" ht="36" customHeight="1" x14ac:dyDescent="0.25">
      <c r="A45" s="958"/>
      <c r="B45" s="962"/>
      <c r="C45" s="965"/>
      <c r="D45" s="933"/>
      <c r="E45" s="965"/>
      <c r="F45" s="29" t="s">
        <v>17</v>
      </c>
      <c r="G45" s="3">
        <f t="shared" si="0"/>
        <v>14</v>
      </c>
      <c r="H45" s="47">
        <f t="shared" si="1"/>
        <v>4</v>
      </c>
      <c r="I45" s="3">
        <v>0</v>
      </c>
      <c r="J45" s="3">
        <v>0</v>
      </c>
      <c r="K45" s="3">
        <v>0</v>
      </c>
      <c r="L45" s="3">
        <v>0</v>
      </c>
      <c r="M45" s="3">
        <f>(SUM(G45:L45))-D44</f>
        <v>-44.5</v>
      </c>
      <c r="N45" s="58"/>
      <c r="O45" s="166">
        <f>SUMIFS([1]خرداد!$AF$2:$AF$805,[1]خرداد!$O$2:$O$805,"مونتاژ",[1]خرداد!$D$2:$D$805,$F$45,[1]خرداد!$AC$2:$AC$805,O3)</f>
        <v>0</v>
      </c>
      <c r="P45" s="168">
        <f>SUMIFS([1]خرداد!$AF$2:$AF$805,[1]خرداد!$O$2:$O$805,"مونتاژ",[1]خرداد!$D$2:$D$805,$F$45,[1]خرداد!$AC$2:$AC$805,P3)</f>
        <v>4</v>
      </c>
      <c r="Q45" s="168">
        <f>SUMIFS([1]خرداد!$AF$2:$AF$805,[1]خرداد!$O$2:$O$805,"مونتاژ",[1]خرداد!$D$2:$D$805,$F$45,[1]خرداد!$AC$2:$AC$805,Q3)</f>
        <v>0</v>
      </c>
      <c r="R45" s="168">
        <f>SUMIFS([1]خرداد!$AF$2:$AF$805,[1]خرداد!$O$2:$O$805,"مونتاژ",[1]خرداد!$D$2:$D$805,$F$45,[1]خرداد!$AC$2:$AC$805,R3)</f>
        <v>5</v>
      </c>
      <c r="S45" s="168">
        <f>SUMIFS([1]خرداد!$AF$2:$AF$805,[1]خرداد!$O$2:$O$805,"مونتاژ",[1]خرداد!$D$2:$D$805,$F$45,[1]خرداد!$AC$2:$AC$805,S3)</f>
        <v>0</v>
      </c>
      <c r="T45" s="168">
        <f>SUMIFS([1]خرداد!$AF$2:$AF$805,[1]خرداد!$O$2:$O$805,"مونتاژ",[1]خرداد!$D$2:$D$805,$F$45,[1]خرداد!$AC$2:$AC$805,T3)</f>
        <v>5</v>
      </c>
      <c r="U45" s="424">
        <f>SUMIFS([1]خرداد!$AF$2:$AF$805,[1]خرداد!$O$2:$O$805,"مونتاژ",[1]خرداد!$D$2:$D$805,$F$45,[1]خرداد!$AC$2:$AC$805,U3)</f>
        <v>4</v>
      </c>
    </row>
    <row r="46" spans="1:21" ht="36" customHeight="1" x14ac:dyDescent="0.25">
      <c r="A46" s="959"/>
      <c r="B46" s="963"/>
      <c r="C46" s="966"/>
      <c r="D46" s="933"/>
      <c r="E46" s="966"/>
      <c r="F46" s="29" t="s">
        <v>54</v>
      </c>
      <c r="G46" s="3">
        <f t="shared" si="0"/>
        <v>30</v>
      </c>
      <c r="H46" s="47">
        <f t="shared" si="1"/>
        <v>3.5</v>
      </c>
      <c r="I46" s="3">
        <v>2</v>
      </c>
      <c r="J46" s="3">
        <v>0</v>
      </c>
      <c r="K46" s="3">
        <v>0</v>
      </c>
      <c r="L46" s="3">
        <v>0</v>
      </c>
      <c r="M46" s="3">
        <f>(SUM(G46:L46))-62</f>
        <v>-26.5</v>
      </c>
      <c r="N46" s="62" t="s">
        <v>29</v>
      </c>
      <c r="O46" s="166">
        <f>SUMIFS([1]خرداد!$AF$2:$AF$805,[1]خرداد!$O$2:$O$805,"مونتاژ",[1]خرداد!$D$2:$D$805,$F$46,[1]خرداد!$AC$2:$AC$805,O3)</f>
        <v>11</v>
      </c>
      <c r="P46" s="168">
        <f>SUMIFS([1]خرداد!$AF$2:$AF$805,[1]خرداد!$O$2:$O$805,"مونتاژ",[1]خرداد!$D$2:$D$805,$F$46,[1]خرداد!$AC$2:$AC$805,P3)</f>
        <v>4</v>
      </c>
      <c r="Q46" s="168">
        <f>SUMIFS([1]خرداد!$AF$2:$AF$805,[1]خرداد!$O$2:$O$805,"مونتاژ",[1]خرداد!$D$2:$D$805,$F$46,[1]خرداد!$AC$2:$AC$805,Q3)</f>
        <v>0</v>
      </c>
      <c r="R46" s="168">
        <f>SUMIFS([1]خرداد!$AF$2:$AF$805,[1]خرداد!$O$2:$O$805,"مونتاژ",[1]خرداد!$D$2:$D$805,$F$46,[1]خرداد!$AC$2:$AC$805,R3)</f>
        <v>3</v>
      </c>
      <c r="S46" s="168">
        <f>SUMIFS([1]خرداد!$AF$2:$AF$805,[1]خرداد!$O$2:$O$805,"مونتاژ",[1]خرداد!$D$2:$D$805,$F$46,[1]خرداد!$AC$2:$AC$805,S3)</f>
        <v>7</v>
      </c>
      <c r="T46" s="168">
        <f>SUMIFS([1]خرداد!$AF$2:$AF$805,[1]خرداد!$O$2:$O$805,"مونتاژ",[1]خرداد!$D$2:$D$805,$F$46,[1]خرداد!$AC$2:$AC$805,T3)</f>
        <v>5</v>
      </c>
      <c r="U46" s="424">
        <f>SUMIFS([1]خرداد!$AF$2:$AF$805,[1]خرداد!$O$2:$O$805,"مونتاژ",[1]خرداد!$D$2:$D$805,$F$46,[1]خرداد!$AC$2:$AC$805,U3)</f>
        <v>3.5</v>
      </c>
    </row>
    <row r="47" spans="1:21" ht="36" customHeight="1" thickBot="1" x14ac:dyDescent="0.3">
      <c r="A47" s="960"/>
      <c r="B47" s="964"/>
      <c r="C47" s="944"/>
      <c r="D47" s="934"/>
      <c r="E47" s="944"/>
      <c r="F47" s="30"/>
      <c r="G47" s="6">
        <f t="shared" si="0"/>
        <v>0</v>
      </c>
      <c r="H47" s="64">
        <f t="shared" si="1"/>
        <v>0</v>
      </c>
      <c r="I47" s="7">
        <v>0</v>
      </c>
      <c r="J47" s="7">
        <v>0</v>
      </c>
      <c r="K47" s="7">
        <v>0</v>
      </c>
      <c r="L47" s="7">
        <v>0</v>
      </c>
      <c r="M47" s="7">
        <f>SUM(G47:J47)-62</f>
        <v>-62</v>
      </c>
      <c r="N47" s="34"/>
      <c r="O47" s="167">
        <f>SUMIFS([1]اردیبهشت!$AD$2:$AD$805,[1]اردیبهشت!$N$2:$N$805,"مونتاژ",[1]اردیبهشت!$D$2:$D$805,$F$47,[1]اردیبهشت!$AA$2:$AA$805,O3)</f>
        <v>0</v>
      </c>
      <c r="P47" s="175">
        <f>SUMIFS([1]اردیبهشت!$AD$2:$AD$805,[1]اردیبهشت!$N$2:$N$805,"مونتاژ",[1]اردیبهشت!$D$2:$D$805,$F$47,[1]اردیبهشت!$AA$2:$AA$805,P3)</f>
        <v>0</v>
      </c>
      <c r="Q47" s="175">
        <f>SUMIFS([1]اردیبهشت!$AD$2:$AD$805,[1]اردیبهشت!$N$2:$N$805,"مونتاژ",[1]اردیبهشت!$D$2:$D$805,$F$47,[1]اردیبهشت!$AA$2:$AA$805,Q3)</f>
        <v>0</v>
      </c>
      <c r="R47" s="175">
        <f>SUMIFS([1]اردیبهشت!$AD$2:$AD$805,[1]اردیبهشت!$N$2:$N$805,"مونتاژ",[1]اردیبهشت!$D$2:$D$805,$F$47,[1]اردیبهشت!$AA$2:$AA$805,R3)</f>
        <v>0</v>
      </c>
      <c r="S47" s="175">
        <f>SUMIFS([1]اردیبهشت!$AD$2:$AD$805,[1]اردیبهشت!$N$2:$N$805,"مونتاژ",[1]اردیبهشت!$D$2:$D$805,$F$47,[1]اردیبهشت!$AA$2:$AA$805,S3)</f>
        <v>0</v>
      </c>
      <c r="T47" s="175">
        <f>SUMIFS([1]اردیبهشت!$AD$2:$AD$805,[1]اردیبهشت!$N$2:$N$805,"مونتاژ",[1]اردیبهشت!$D$2:$D$805,$F$47,[1]اردیبهشت!$AA$2:$AA$805,T3)</f>
        <v>0</v>
      </c>
      <c r="U47" s="114">
        <f>SUMIFS([1]اردیبهشت!$AD$2:$AD$600,[1]اردیبهشت!$N$2:$N$600,"مونتاژ",[1]اردیبهشت!$D$2:$D$600,$F$47,[1]اردیبهشت!$AA$2:$AA$600,U3)</f>
        <v>0</v>
      </c>
    </row>
    <row r="48" spans="1:21" ht="36" customHeight="1" x14ac:dyDescent="0.25">
      <c r="A48" s="967">
        <v>23</v>
      </c>
      <c r="B48" s="961" t="s">
        <v>33</v>
      </c>
      <c r="C48" s="943" t="s">
        <v>34</v>
      </c>
      <c r="D48" s="932">
        <v>62.5</v>
      </c>
      <c r="E48" s="932"/>
      <c r="F48" s="32" t="s">
        <v>16</v>
      </c>
      <c r="G48" s="9">
        <f t="shared" si="0"/>
        <v>2</v>
      </c>
      <c r="H48" s="46">
        <f t="shared" si="1"/>
        <v>0</v>
      </c>
      <c r="I48" s="9">
        <v>0</v>
      </c>
      <c r="J48" s="9">
        <v>0</v>
      </c>
      <c r="K48" s="9">
        <v>0</v>
      </c>
      <c r="L48" s="9">
        <v>0</v>
      </c>
      <c r="M48" s="9">
        <f>SUM(G48:L48)-62</f>
        <v>-60</v>
      </c>
      <c r="N48" s="56"/>
      <c r="O48" s="165">
        <f>SUMIFS([1]خرداد!$AF$2:$AF$805,[1]خرداد!$O$2:$O$805,"دمونتاژ",[1]خرداد!$D$2:$D$805,$F$48,[1]خرداد!$AC$2:$AC$805,O3)</f>
        <v>0</v>
      </c>
      <c r="P48" s="169">
        <f>SUMIFS([1]خرداد!$AF$2:$AF$805,[1]خرداد!$O$2:$O$805,"دمونتاژ",[1]خرداد!$D$2:$D$805,$F$48,[1]خرداد!$AC$2:$AC$805,P3)</f>
        <v>2</v>
      </c>
      <c r="Q48" s="169">
        <f>SUMIFS([1]خرداد!$AF$2:$AF$805,[1]خرداد!$O$2:$O$805,"دمونتاژ",[1]خرداد!$D$2:$D$805,$F$48,[1]خرداد!$AC$2:$AC$805,Q3)</f>
        <v>0</v>
      </c>
      <c r="R48" s="169">
        <f>SUMIFS([1]خرداد!$AF$2:$AF$805,[1]خرداد!$O$2:$O$805,"دمونتاژ",[1]خرداد!$D$2:$D$805,$F$48,[1]خرداد!$AC$2:$AC$805,R3)</f>
        <v>0</v>
      </c>
      <c r="S48" s="169">
        <f>SUMIFS([1]خرداد!$AF$2:$AF$805,[1]خرداد!$O$2:$O$805,"دمونتاژ",[1]خرداد!$D$2:$D$805,$F$48,[1]خرداد!$AC$2:$AC$805,S3)</f>
        <v>0</v>
      </c>
      <c r="T48" s="169">
        <f>SUMIFS([1]خرداد!$AF$2:$AF$805,[1]خرداد!$O$2:$O$805,"دمونتاژ",[1]خرداد!$D$2:$D$805,$F$48,[1]خرداد!$AC$2:$AC$805,T3)</f>
        <v>0</v>
      </c>
      <c r="U48" s="170">
        <f>SUMIFS([1]خرداد!$AF$2:$AF$805,[1]خرداد!$O$2:$O$805,"دمونتاژ",[1]خرداد!$D$2:$D$805,$F$48,[1]خرداد!$AC$2:$AC$805,U3)</f>
        <v>0</v>
      </c>
    </row>
    <row r="49" spans="1:21" ht="36" customHeight="1" x14ac:dyDescent="0.25">
      <c r="A49" s="967"/>
      <c r="B49" s="962"/>
      <c r="C49" s="965"/>
      <c r="D49" s="933"/>
      <c r="E49" s="933"/>
      <c r="F49" s="29"/>
      <c r="G49" s="3">
        <f t="shared" si="0"/>
        <v>0</v>
      </c>
      <c r="H49" s="47">
        <f t="shared" si="1"/>
        <v>0</v>
      </c>
      <c r="I49" s="3">
        <v>0</v>
      </c>
      <c r="J49" s="3">
        <v>0</v>
      </c>
      <c r="K49" s="3">
        <v>0</v>
      </c>
      <c r="L49" s="3">
        <v>0</v>
      </c>
      <c r="M49" s="3">
        <f>SUM(G49:L49)-62</f>
        <v>-62</v>
      </c>
      <c r="N49" s="62"/>
      <c r="O49" s="166">
        <f>SUMIFS([1]اردیبهشت!$AD$2:$AD$805,[1]اردیبهشت!$N$2:$N$805,"دمونتاژ",[1]اردیبهشت!$D$2:$D$805,$F$49,[1]اردیبهشت!$AA$2:$AA$805,O3)</f>
        <v>0</v>
      </c>
      <c r="P49" s="168">
        <f>SUMIFS([1]اردیبهشت!$AD$2:$AD$805,[1]اردیبهشت!$N$2:$N$805,"دمونتاژ",[1]اردیبهشت!$D$2:$D$805,$F$49,[1]اردیبهشت!$AA$2:$AA$805,P3)</f>
        <v>0</v>
      </c>
      <c r="Q49" s="168">
        <f>SUMIFS([1]اردیبهشت!$AD$2:$AD$805,[1]اردیبهشت!$N$2:$N$805,"دمونتاژ",[1]اردیبهشت!$D$2:$D$805,$F$49,[1]اردیبهشت!$AA$2:$AA$805,Q3)</f>
        <v>0</v>
      </c>
      <c r="R49" s="168">
        <f>SUMIFS([1]اردیبهشت!$AD$2:$AD$805,[1]اردیبهشت!$N$2:$N$805,"دمونتاژ",[1]اردیبهشت!$D$2:$D$805,$F$49,[1]اردیبهشت!$AA$2:$AA$805,R3)</f>
        <v>0</v>
      </c>
      <c r="S49" s="168">
        <f>SUMIFS([1]اردیبهشت!$AD$2:$AD$805,[1]اردیبهشت!$N$2:$N$805,"دمونتاژ",[1]اردیبهشت!$D$2:$D$805,$F$49,[1]اردیبهشت!$AA$2:$AA$805,S3)</f>
        <v>0</v>
      </c>
      <c r="T49" s="168">
        <f>SUMIFS([1]اردیبهشت!$AD$2:$AD$805,[1]اردیبهشت!$N$2:$N$805,"دمونتاژ",[1]اردیبهشت!$D$2:$D$805,$F$49,[1]اردیبهشت!$AA$2:$AA$805,T3)</f>
        <v>0</v>
      </c>
      <c r="U49" s="108">
        <f>SUMIFS([1]اردیبهشت!$AD$2:$AD$600,[1]اردیبهشت!$N$2:$N$600,"دمونتاژ",[1]اردیبهشت!$D$2:$D$600,$F$49,[1]اردیبهشت!$AA$2:$AA$600,U3)</f>
        <v>0</v>
      </c>
    </row>
    <row r="50" spans="1:21" ht="36" customHeight="1" x14ac:dyDescent="0.25">
      <c r="A50" s="967"/>
      <c r="B50" s="962"/>
      <c r="C50" s="965"/>
      <c r="D50" s="933"/>
      <c r="E50" s="933"/>
      <c r="F50" s="29" t="s">
        <v>54</v>
      </c>
      <c r="G50" s="3">
        <f t="shared" si="0"/>
        <v>2</v>
      </c>
      <c r="H50" s="47">
        <f t="shared" si="1"/>
        <v>0</v>
      </c>
      <c r="I50" s="3">
        <v>0</v>
      </c>
      <c r="J50" s="3">
        <v>0</v>
      </c>
      <c r="K50" s="3">
        <v>0</v>
      </c>
      <c r="L50" s="3">
        <v>0</v>
      </c>
      <c r="M50" s="3">
        <f>SUM(G50:L50)-62</f>
        <v>-60</v>
      </c>
      <c r="N50" s="62"/>
      <c r="O50" s="166">
        <f>SUMIFS([1]خرداد!$AF$2:$AF$805,[1]خرداد!$O$2:$O$805,"دمونتاژ",[1]خرداد!$D$2:$D$805,$F$50,[1]خرداد!$AC$2:$AC$805,O3)</f>
        <v>0</v>
      </c>
      <c r="P50" s="168">
        <f>SUMIFS([1]خرداد!$AF$2:$AF$805,[1]خرداد!$O$2:$O$805,"دمونتاژ",[1]خرداد!$D$2:$D$805,$F$50,[1]خرداد!$AC$2:$AC$805,P3)</f>
        <v>0</v>
      </c>
      <c r="Q50" s="168">
        <f>SUMIFS([1]خرداد!$AF$2:$AF$805,[1]خرداد!$O$2:$O$805,"دمونتاژ",[1]خرداد!$D$2:$D$805,$F$50,[1]خرداد!$AC$2:$AC$805,Q3)</f>
        <v>2</v>
      </c>
      <c r="R50" s="168">
        <f>SUMIFS([1]خرداد!$AF$2:$AF$805,[1]خرداد!$O$2:$O$805,"دمونتاژ",[1]خرداد!$D$2:$D$805,$F$50,[1]خرداد!$AC$2:$AC$805,R3)</f>
        <v>0</v>
      </c>
      <c r="S50" s="168">
        <f>SUMIFS([1]خرداد!$AF$2:$AF$805,[1]خرداد!$O$2:$O$805,"دمونتاژ",[1]خرداد!$D$2:$D$805,$F$50,[1]خرداد!$AC$2:$AC$805,S3)</f>
        <v>0</v>
      </c>
      <c r="T50" s="168">
        <f>SUMIFS([1]خرداد!$AF$2:$AF$805,[1]خرداد!$O$2:$O$805,"دمونتاژ",[1]خرداد!$D$2:$D$805,$F$50,[1]خرداد!$AC$2:$AC$805,T3)</f>
        <v>0</v>
      </c>
      <c r="U50" s="424">
        <f>SUMIFS([1]خرداد!$AF$2:$AF$805,[1]خرداد!$O$2:$O$805,"دمونتاژ",[1]خرداد!$D$2:$D$805,$F$50,[1]خرداد!$AC$2:$AC$805,U3)</f>
        <v>0</v>
      </c>
    </row>
    <row r="51" spans="1:21" ht="36" customHeight="1" thickBot="1" x14ac:dyDescent="0.3">
      <c r="A51" s="967"/>
      <c r="B51" s="963"/>
      <c r="C51" s="966"/>
      <c r="D51" s="934"/>
      <c r="E51" s="934"/>
      <c r="F51" s="411"/>
      <c r="G51" s="4">
        <f t="shared" si="0"/>
        <v>0</v>
      </c>
      <c r="H51" s="49">
        <f t="shared" si="1"/>
        <v>0</v>
      </c>
      <c r="I51" s="25">
        <v>0</v>
      </c>
      <c r="J51" s="25">
        <v>0</v>
      </c>
      <c r="K51" s="25">
        <v>0</v>
      </c>
      <c r="L51" s="25">
        <v>0</v>
      </c>
      <c r="M51" s="25">
        <f>SUM(G51:L51)-62</f>
        <v>-62</v>
      </c>
      <c r="N51" s="58"/>
      <c r="O51" s="171">
        <f>SUMIFS([1]اردیبهشت!$AD$2:$AD$805,[1]اردیبهشت!$N$2:$N$805,"دمونتاژ",[1]اردیبهشت!$D$2:$D$805,$F$51,[1]اردیبهشت!$AA$2:$AA$805,O3)</f>
        <v>0</v>
      </c>
      <c r="P51" s="172">
        <f>SUMIFS([1]اردیبهشت!$AD$2:$AD$805,[1]اردیبهشت!$N$2:$N$805,"دمونتاژ",[1]اردیبهشت!$D$2:$D$805,$F$51,[1]اردیبهشت!$AA$2:$AA$805,P3)</f>
        <v>0</v>
      </c>
      <c r="Q51" s="172">
        <f>SUMIFS([1]اردیبهشت!$AD$2:$AD$805,[1]اردیبهشت!$N$2:$N$805,"دمونتاژ",[1]اردیبهشت!$D$2:$D$805,$F$51,[1]اردیبهشت!$AA$2:$AA$805,Q3)</f>
        <v>0</v>
      </c>
      <c r="R51" s="172">
        <f>SUMIFS([1]اردیبهشت!$AD$2:$AD$805,[1]اردیبهشت!$N$2:$N$805,"دمونتاژ",[1]اردیبهشت!$D$2:$D$805,$F$51,[1]اردیبهشت!$AA$2:$AA$805,R3)</f>
        <v>0</v>
      </c>
      <c r="S51" s="172">
        <f>SUMIFS([1]اردیبهشت!$AD$2:$AD$805,[1]اردیبهشت!$N$2:$N$805,"دمونتاژ",[1]اردیبهشت!$D$2:$D$805,$F$51,[1]اردیبهشت!$AA$2:$AA$805,S3)</f>
        <v>0</v>
      </c>
      <c r="T51" s="172">
        <f>SUMIFS([1]اردیبهشت!$AD$2:$AD$805,[1]اردیبهشت!$N$2:$N$805,"دمونتاژ",[1]اردیبهشت!$D$2:$D$805,$F$51,[1]اردیبهشت!$AA$2:$AA$805,T3)</f>
        <v>0</v>
      </c>
      <c r="U51" s="109">
        <f>SUMIFS([1]اردیبهشت!$AD$2:$AD$600,[1]اردیبهشت!$N$2:$N$600,"دمونتاژ",[1]اردیبهشت!$D$2:$D$600,$F$51,[1]اردیبهشت!$AA$2:$AA$600,U3)</f>
        <v>0</v>
      </c>
    </row>
    <row r="52" spans="1:21" ht="42.75" customHeight="1" thickBot="1" x14ac:dyDescent="0.3">
      <c r="A52" s="951" t="s">
        <v>49</v>
      </c>
      <c r="B52" s="952"/>
      <c r="C52" s="952"/>
      <c r="D52" s="952"/>
      <c r="E52" s="952"/>
      <c r="F52" s="953"/>
      <c r="G52" s="148">
        <f>SUM(G4:G50)-G43</f>
        <v>626.58333333333337</v>
      </c>
      <c r="H52" s="148">
        <f>SUM(H4:H51)</f>
        <v>38.5</v>
      </c>
      <c r="I52" s="148">
        <f>SUM(I4:I51)</f>
        <v>14</v>
      </c>
      <c r="J52" s="148">
        <f>SUM(J4:J51)</f>
        <v>134</v>
      </c>
      <c r="K52" s="148"/>
      <c r="L52" s="148"/>
      <c r="M52" s="149">
        <f>SUMIFS(M4:M51,F4:F51,"*")</f>
        <v>-634.91666666666674</v>
      </c>
      <c r="N52" s="306"/>
      <c r="O52" s="302">
        <f>SUM(O4:O51)</f>
        <v>129.83333333333331</v>
      </c>
      <c r="P52" s="198">
        <f t="shared" ref="P52:U52" si="2">SUM(P4:P51)</f>
        <v>137.33333333333331</v>
      </c>
      <c r="Q52" s="198">
        <f t="shared" si="2"/>
        <v>117.83333333333333</v>
      </c>
      <c r="R52" s="198">
        <f t="shared" si="2"/>
        <v>100.75</v>
      </c>
      <c r="S52" s="198">
        <f t="shared" si="2"/>
        <v>121.83333333333333</v>
      </c>
      <c r="T52" s="198">
        <f t="shared" si="2"/>
        <v>52.5</v>
      </c>
      <c r="U52" s="150">
        <f t="shared" si="2"/>
        <v>23.5</v>
      </c>
    </row>
  </sheetData>
  <mergeCells count="41">
    <mergeCell ref="E16:E18"/>
    <mergeCell ref="N16:N18"/>
    <mergeCell ref="A1:L2"/>
    <mergeCell ref="O1:U2"/>
    <mergeCell ref="E4:E6"/>
    <mergeCell ref="N4:N6"/>
    <mergeCell ref="E7:E9"/>
    <mergeCell ref="E20:E22"/>
    <mergeCell ref="N20:N22"/>
    <mergeCell ref="E23:E25"/>
    <mergeCell ref="N23:N25"/>
    <mergeCell ref="E26:E28"/>
    <mergeCell ref="N26:N28"/>
    <mergeCell ref="A29:A30"/>
    <mergeCell ref="E29:E30"/>
    <mergeCell ref="N29:N30"/>
    <mergeCell ref="A31:A32"/>
    <mergeCell ref="E31:E32"/>
    <mergeCell ref="N31:N32"/>
    <mergeCell ref="A33:A34"/>
    <mergeCell ref="E33:E34"/>
    <mergeCell ref="N33:N34"/>
    <mergeCell ref="A35:A36"/>
    <mergeCell ref="E35:E36"/>
    <mergeCell ref="N35:N36"/>
    <mergeCell ref="A52:F52"/>
    <mergeCell ref="A37:A38"/>
    <mergeCell ref="E37:E38"/>
    <mergeCell ref="N37:N38"/>
    <mergeCell ref="E39:E41"/>
    <mergeCell ref="N39:N41"/>
    <mergeCell ref="A44:A47"/>
    <mergeCell ref="B44:B47"/>
    <mergeCell ref="C44:C47"/>
    <mergeCell ref="D44:D47"/>
    <mergeCell ref="E44:E47"/>
    <mergeCell ref="A48:A51"/>
    <mergeCell ref="B48:B51"/>
    <mergeCell ref="C48:C51"/>
    <mergeCell ref="D48:D51"/>
    <mergeCell ref="E48:E51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U29:U33" formula="1"/>
    <ignoredError sqref="M5:M52" formulaRange="1"/>
  </ignoredErrors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7B06-F739-4530-9119-FA91BFE31EBA}">
  <sheetPr>
    <pageSetUpPr fitToPage="1"/>
  </sheetPr>
  <dimension ref="A1:U52"/>
  <sheetViews>
    <sheetView rightToLeft="1" view="pageLayout" topLeftCell="A49" zoomScaleNormal="100" workbookViewId="0">
      <selection activeCell="M7" sqref="M7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20" width="6.42578125" style="52" hidden="1" customWidth="1"/>
    <col min="21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13</v>
      </c>
      <c r="O2" s="926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291" t="s">
        <v>137</v>
      </c>
      <c r="P3" s="291" t="s">
        <v>138</v>
      </c>
      <c r="Q3" s="291" t="s">
        <v>139</v>
      </c>
      <c r="R3" s="291" t="s">
        <v>140</v>
      </c>
      <c r="S3" s="291" t="s">
        <v>141</v>
      </c>
      <c r="T3" s="291" t="s">
        <v>142</v>
      </c>
      <c r="U3" s="291" t="s">
        <v>143</v>
      </c>
    </row>
    <row r="4" spans="1:21" ht="33.75" customHeight="1" x14ac:dyDescent="0.25">
      <c r="A4" s="429"/>
      <c r="B4" s="444"/>
      <c r="C4" s="307"/>
      <c r="D4" s="39"/>
      <c r="E4" s="932" t="s">
        <v>15</v>
      </c>
      <c r="F4" s="434" t="s">
        <v>55</v>
      </c>
      <c r="G4" s="9">
        <f>SUM(O4:T4)</f>
        <v>19</v>
      </c>
      <c r="H4" s="46">
        <f>U4</f>
        <v>0</v>
      </c>
      <c r="I4" s="9">
        <v>0</v>
      </c>
      <c r="J4" s="9">
        <v>0</v>
      </c>
      <c r="K4" s="9">
        <v>0</v>
      </c>
      <c r="L4" s="9">
        <v>0</v>
      </c>
      <c r="M4" s="28"/>
      <c r="N4" s="945" t="s">
        <v>13</v>
      </c>
      <c r="O4" s="165">
        <f>SUMIFS([1]خرداد!$AF$2:$AF$805,[1]خرداد!$O$2:$O$805,7101,[1]خرداد!$D$2:$D$805,$F$4,[1]خرداد!$AC$2:$AC$805,O3)</f>
        <v>0</v>
      </c>
      <c r="P4" s="169">
        <f>SUMIFS([1]خرداد!$AF$2:$AF$805,[1]خرداد!$O$2:$O$805,7101,[1]خرداد!$D$2:$D$805,$F$4,[1]خرداد!$AC$2:$AC$805,P3)</f>
        <v>6.5</v>
      </c>
      <c r="Q4" s="169">
        <f>SUMIFS([1]خرداد!$AF$2:$AF$805,[1]خرداد!$O$2:$O$805,7101,[1]خرداد!$D$2:$D$805,$F$4,[1]خرداد!$AC$2:$AC$805,Q3)</f>
        <v>4.5</v>
      </c>
      <c r="R4" s="169">
        <f>SUMIFS([1]خرداد!$AF$2:$AF$805,[1]خرداد!$O$2:$O$805,7101,[1]خرداد!$D$2:$D$805,$F$4,[1]خرداد!$AC$2:$AC$805,R3)</f>
        <v>2.5</v>
      </c>
      <c r="S4" s="169">
        <f>SUMIFS([1]خرداد!$AF$2:$AF$805,[1]خرداد!$O$2:$O$805,7101,[1]خرداد!$D$2:$D$805,$F$4,[1]خرداد!$AC$2:$AC$805,S3)</f>
        <v>2</v>
      </c>
      <c r="T4" s="169">
        <f>SUMIFS([1]خرداد!$AF$2:$AF$805,[1]خرداد!$O$2:$O$805,7101,[1]خرداد!$D$2:$D$805,$F$4,[1]خرداد!$AC$2:$AC$805,T3)</f>
        <v>3.5</v>
      </c>
      <c r="U4" s="170">
        <f>SUMIFS([1]خرداد!$AF$2:$AF$805,[1]خرداد!$O$2:$O$805,7101,[1]خرداد!$D$2:$D$805,$F$4,[1]خرداد!$AC$2:$AC$805,U3)</f>
        <v>0</v>
      </c>
    </row>
    <row r="5" spans="1:21" ht="33.75" customHeight="1" x14ac:dyDescent="0.25">
      <c r="A5" s="430">
        <v>1</v>
      </c>
      <c r="B5" s="445" t="s">
        <v>14</v>
      </c>
      <c r="C5" s="308">
        <v>7101</v>
      </c>
      <c r="D5" s="2">
        <v>62.5</v>
      </c>
      <c r="E5" s="933"/>
      <c r="F5" s="435" t="s">
        <v>16</v>
      </c>
      <c r="G5" s="3">
        <f t="shared" ref="G5:G51" si="0">SUM(O5:T5)</f>
        <v>0</v>
      </c>
      <c r="H5" s="47">
        <f t="shared" ref="H5:H51" si="1">U5</f>
        <v>1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-42.5</v>
      </c>
      <c r="N5" s="929"/>
      <c r="O5" s="166">
        <f>SUMIFS([1]خرداد!$AF$2:$AF$805,[1]خرداد!$O$2:$O$805,7101,[1]خرداد!$D$2:$D$805,$F$5,[1]خرداد!$AC$2:$AC$805,O3)</f>
        <v>0</v>
      </c>
      <c r="P5" s="168">
        <f>SUMIFS([1]خرداد!$AF$2:$AF$805,[1]خرداد!$O$2:$O$805,7101,[1]خرداد!$D$2:$D$805,$F$5,[1]خرداد!$AC$2:$AC$805,P3)</f>
        <v>0</v>
      </c>
      <c r="Q5" s="168">
        <f>SUMIFS([1]خرداد!$AF$2:$AF$805,[1]خرداد!$O$2:$O$805,7101,[1]خرداد!$D$2:$D$805,$F$5,[1]خرداد!$AC$2:$AC$805,Q3)</f>
        <v>0</v>
      </c>
      <c r="R5" s="168">
        <f>SUMIFS([1]خرداد!$AF$2:$AF$805,[1]خرداد!$O$2:$O$805,7101,[1]خرداد!$D$2:$D$805,$F$5,[1]خرداد!$AC$2:$AC$805,R3)</f>
        <v>0</v>
      </c>
      <c r="S5" s="168">
        <f>SUMIFS([1]خرداد!$AF$2:$AF$805,[1]خرداد!$O$2:$O$805,7101,[1]خرداد!$D$2:$D$805,$F$5,[1]خرداد!$AC$2:$AC$805,S3)</f>
        <v>0</v>
      </c>
      <c r="T5" s="168">
        <f>SUMIFS([1]خرداد!$AF$2:$AF$805,[1]خرداد!$O$2:$O$805,7101,[1]خرداد!$D$2:$D$805,$F$5,[1]خرداد!$AC$2:$AC$805,T3)</f>
        <v>0</v>
      </c>
      <c r="U5" s="424">
        <f>SUMIFS([1]خرداد!$AF$2:$AF$805,[1]خرداد!$O$2:$O$805,7101,[1]خرداد!$D$2:$D$805,$F$5,[1]خرداد!$AC$2:$AC$805,U3)</f>
        <v>1</v>
      </c>
    </row>
    <row r="6" spans="1:21" ht="33.75" customHeight="1" thickBot="1" x14ac:dyDescent="0.3">
      <c r="A6" s="431"/>
      <c r="B6" s="88"/>
      <c r="C6" s="310"/>
      <c r="D6" s="437"/>
      <c r="E6" s="934"/>
      <c r="F6" s="5"/>
      <c r="G6" s="6">
        <f t="shared" si="0"/>
        <v>0</v>
      </c>
      <c r="H6" s="64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171">
        <f>SUMIFS([1]اردیبهشت!$AD$2:$AD$600,[1]اردیبهشت!$N$2:$N$600,7101,[1]اردیبهشت!$D$2:$D$600,$F$6,[1]اردیبهشت!$AA$2:$AA$600,O3)</f>
        <v>0</v>
      </c>
      <c r="P6" s="172">
        <f>SUMIFS([1]اردیبهشت!$AD$2:$AD$600,[1]اردیبهشت!$N$2:$N$600,7101,[1]اردیبهشت!$D$2:$D$600,$F$6,[1]اردیبهشت!$AA$2:$AA$600,P3)</f>
        <v>0</v>
      </c>
      <c r="Q6" s="172">
        <f>SUMIFS([1]اردیبهشت!$AD$2:$AD$600,[1]اردیبهشت!$N$2:$N$600,7101,[1]اردیبهشت!$D$2:$D$600,$F$6,[1]اردیبهشت!$AA$2:$AA$600,Q3)</f>
        <v>0</v>
      </c>
      <c r="R6" s="172">
        <f>SUMIFS([1]اردیبهشت!$AD$2:$AD$600,[1]اردیبهشت!$N$2:$N$600,7101,[1]اردیبهشت!$D$2:$D$600,$F$6,[1]اردیبهشت!$AA$2:$AA$600,R3)</f>
        <v>0</v>
      </c>
      <c r="S6" s="172">
        <f>SUMIFS([1]اردیبهشت!$AD$2:$AD$600,[1]اردیبهشت!$N$2:$N$600,7101,[1]اردیبهشت!$D$2:$D$600,$F$6,[1]اردیبهشت!$AA$2:$AA$600,S3)</f>
        <v>0</v>
      </c>
      <c r="T6" s="172">
        <f>SUMIFS([1]اردیبهشت!$AD$2:$AD$600,[1]اردیبهشت!$N$2:$N$600,7101,[1]اردیبهشت!$D$2:$D$600,$F$6,[1]اردیبهشت!$AA$2:$AA$600,T3)</f>
        <v>0</v>
      </c>
      <c r="U6" s="109">
        <f>SUMIFS([1]اردیبهشت!$AD$2:$AD$600,[1]اردیبهشت!$N$2:$N$600,7101,[1]اردیبهشت!$D$2:$D$600,$F$6,[1]اردیبهشت!$AA$2:$AA$600,U3)</f>
        <v>0</v>
      </c>
    </row>
    <row r="7" spans="1:21" ht="33.75" customHeight="1" x14ac:dyDescent="0.25">
      <c r="A7" s="447"/>
      <c r="B7" s="216"/>
      <c r="C7" s="224"/>
      <c r="D7" s="451"/>
      <c r="E7" s="932" t="s">
        <v>15</v>
      </c>
      <c r="F7" s="20" t="s">
        <v>20</v>
      </c>
      <c r="G7" s="1">
        <f t="shared" si="0"/>
        <v>51.5</v>
      </c>
      <c r="H7" s="49">
        <f t="shared" si="1"/>
        <v>0</v>
      </c>
      <c r="I7" s="1">
        <v>0</v>
      </c>
      <c r="J7" s="1">
        <v>0</v>
      </c>
      <c r="K7" s="1">
        <v>0</v>
      </c>
      <c r="L7" s="1">
        <v>0</v>
      </c>
      <c r="M7" s="69"/>
      <c r="N7" s="440"/>
      <c r="O7" s="173">
        <f>SUMIFS([1]خرداد!$AF$2:$AF$805,[1]خرداد!$O$2:$O$805,7102,[1]خرداد!$D$2:$D$805,$F$7,[1]خرداد!$AC$2:$AC$805,O3)</f>
        <v>11</v>
      </c>
      <c r="P7" s="174">
        <f>SUMIFS([1]خرداد!$AF$2:$AF$805,[1]خرداد!$O$2:$O$805,7102,[1]خرداد!$D$2:$D$805,$F$7,[1]خرداد!$AC$2:$AC$805,P3)</f>
        <v>11</v>
      </c>
      <c r="Q7" s="174">
        <f>SUMIFS([1]خرداد!$AF$2:$AF$805,[1]خرداد!$O$2:$O$805,7102,[1]خرداد!$D$2:$D$805,$F$7,[1]خرداد!$AC$2:$AC$805,Q3)</f>
        <v>0</v>
      </c>
      <c r="R7" s="174">
        <f>SUMIFS([1]خرداد!$AF$2:$AF$805,[1]خرداد!$O$2:$O$805,7102,[1]خرداد!$D$2:$D$805,$F$7,[1]خرداد!$AC$2:$AC$805,R3)</f>
        <v>11</v>
      </c>
      <c r="S7" s="174">
        <f>SUMIFS([1]خرداد!$AF$2:$AF$805,[1]خرداد!$O$2:$O$805,7102,[1]خرداد!$D$2:$D$805,$F$7,[1]خرداد!$AC$2:$AC$805,S3)</f>
        <v>11</v>
      </c>
      <c r="T7" s="174">
        <f>SUMIFS([1]خرداد!$AF$2:$AF$805,[1]خرداد!$O$2:$O$805,7102,[1]خرداد!$D$2:$D$805,$F$7,[1]خرداد!$AC$2:$AC$805,T3)</f>
        <v>7.5</v>
      </c>
      <c r="U7" s="496">
        <f>SUMIFS([1]خرداد!$AF$2:$AF$805,[1]خرداد!$O$2:$O$805,7102,[1]خرداد!$D$2:$D$805,$F$7,[1]خرداد!$AC$2:$AC$805,U3)</f>
        <v>0</v>
      </c>
    </row>
    <row r="8" spans="1:21" ht="33.75" customHeight="1" x14ac:dyDescent="0.25">
      <c r="A8" s="447">
        <v>2</v>
      </c>
      <c r="B8" s="216" t="s">
        <v>14</v>
      </c>
      <c r="C8" s="308">
        <v>7102</v>
      </c>
      <c r="D8" s="2">
        <v>62.5</v>
      </c>
      <c r="E8" s="933"/>
      <c r="F8" s="451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-11</v>
      </c>
      <c r="N8" s="441" t="s">
        <v>29</v>
      </c>
      <c r="O8" s="166">
        <f>SUMIFS([1]اردیبهشت!$AD$2:$AD$600,[1]اردیبهشت!$N$2:$N$600,7102,[1]اردیبهشت!$D$2:$D$600,$F$8,[1]اردیبهشت!$AA$2:$AA$600,O3)</f>
        <v>0</v>
      </c>
      <c r="P8" s="168">
        <f>SUMIFS([1]اردیبهشت!$AD$2:$AD$600,[1]اردیبهشت!$N$2:$N$600,7102,[1]اردیبهشت!$D$2:$D$600,$F$8,[1]اردیبهشت!$AA$2:$AA$600,P3)</f>
        <v>0</v>
      </c>
      <c r="Q8" s="168">
        <f>SUMIFS([1]اردیبهشت!$AD$2:$AD$600,[1]اردیبهشت!$N$2:$N$600,7102,[1]اردیبهشت!$D$2:$D$600,$F$8,[1]اردیبهشت!$AA$2:$AA$600,Q3)</f>
        <v>0</v>
      </c>
      <c r="R8" s="168">
        <f>SUMIFS([1]اردیبهشت!$AD$2:$AD$600,[1]اردیبهشت!$N$2:$N$600,7102,[1]اردیبهشت!$D$2:$D$600,$F$8,[1]اردیبهشت!$AA$2:$AA$600,R3)</f>
        <v>0</v>
      </c>
      <c r="S8" s="168">
        <f>SUMIFS([1]اردیبهشت!$AD$2:$AD$600,[1]اردیبهشت!$N$2:$N$600,7102,[1]اردیبهشت!$D$2:$D$600,$F$8,[1]اردیبهشت!$AA$2:$AA$600,S3)</f>
        <v>0</v>
      </c>
      <c r="T8" s="168">
        <f>SUMIFS([1]اردیبهشت!$AD$2:$AD$600,[1]اردیبهشت!$N$2:$N$600,7102,[1]اردیبهشت!$D$2:$D$600,$F$8,[1]اردیبهشت!$AA$2:$AA$600,T3)</f>
        <v>0</v>
      </c>
      <c r="U8" s="108">
        <f>SUMIFS([1]اردیبهشت!$AD$2:$AD$600,[1]اردیبهشت!$N$2:$N$600,7102,[1]اردیبهشت!$D$2:$D$600,$F$8,[1]اردیبهشت!$AA$2:$AA$600,U3)</f>
        <v>0</v>
      </c>
    </row>
    <row r="9" spans="1:21" ht="33.75" customHeight="1" thickBot="1" x14ac:dyDescent="0.3">
      <c r="A9" s="448"/>
      <c r="B9" s="43"/>
      <c r="C9" s="310"/>
      <c r="D9" s="437"/>
      <c r="E9" s="934"/>
      <c r="F9" s="5"/>
      <c r="G9" s="1">
        <f t="shared" si="0"/>
        <v>0</v>
      </c>
      <c r="H9" s="49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442"/>
      <c r="O9" s="167">
        <f>SUMIFS([1]اردیبهشت!$AD$2:$AD$600,[1]اردیبهشت!$N$2:$N$600,7102,[1]اردیبهشت!$D$2:$D$600,$F$9,[1]اردیبهشت!$AA$2:$AA$600,O3)</f>
        <v>0</v>
      </c>
      <c r="P9" s="175">
        <f>SUMIFS([1]اردیبهشت!$AD$2:$AD$600,[1]اردیبهشت!$N$2:$N$600,7102,[1]اردیبهشت!$D$2:$D$600,$F$9,[1]اردیبهشت!$AA$2:$AA$600,P3)</f>
        <v>0</v>
      </c>
      <c r="Q9" s="175">
        <f>SUMIFS([1]اردیبهشت!$AD$2:$AD$600,[1]اردیبهشت!$N$2:$N$600,7102,[1]اردیبهشت!$D$2:$D$600,$F$9,[1]اردیبهشت!$AA$2:$AA$600,Q3)</f>
        <v>0</v>
      </c>
      <c r="R9" s="175">
        <f>SUMIFS([1]اردیبهشت!$AD$2:$AD$600,[1]اردیبهشت!$N$2:$N$600,7102,[1]اردیبهشت!$D$2:$D$600,$F$9,[1]اردیبهشت!$AA$2:$AA$600,R3)</f>
        <v>0</v>
      </c>
      <c r="S9" s="175">
        <f>SUMIFS([1]اردیبهشت!$AD$2:$AD$600,[1]اردیبهشت!$N$2:$N$600,7102,[1]اردیبهشت!$D$2:$D$600,$F$9,[1]اردیبهشت!$AA$2:$AA$600,S3)</f>
        <v>0</v>
      </c>
      <c r="T9" s="175">
        <f>SUMIFS([1]اردیبهشت!$AD$2:$AD$600,[1]اردیبهشت!$N$2:$N$600,7102,[1]اردیبهشت!$D$2:$D$600,$F$9,[1]اردیبهشت!$AA$2:$AA$600,T3)</f>
        <v>0</v>
      </c>
      <c r="U9" s="114">
        <f>SUMIFS([1]اردیبهشت!$AD$2:$AD$600,[1]اردیبهشت!$N$2:$N$600,7102,[1]اردیبهشت!$D$2:$D$600,$F$9,[1]اردیبهشت!$AA$2:$AA$600,U3)</f>
        <v>0</v>
      </c>
    </row>
    <row r="10" spans="1:21" ht="36" customHeight="1" thickBot="1" x14ac:dyDescent="0.3">
      <c r="A10" s="448">
        <v>3</v>
      </c>
      <c r="B10" s="216" t="s">
        <v>14</v>
      </c>
      <c r="C10" s="438">
        <v>7103</v>
      </c>
      <c r="D10" s="2">
        <v>44</v>
      </c>
      <c r="E10" s="438" t="s">
        <v>15</v>
      </c>
      <c r="F10" s="438" t="s">
        <v>12</v>
      </c>
      <c r="G10" s="9">
        <f t="shared" si="0"/>
        <v>22.833333333333332</v>
      </c>
      <c r="H10" s="46">
        <f t="shared" si="1"/>
        <v>0</v>
      </c>
      <c r="I10" s="4">
        <v>0</v>
      </c>
      <c r="J10" s="4">
        <v>0</v>
      </c>
      <c r="K10" s="4">
        <v>0</v>
      </c>
      <c r="L10" s="4">
        <v>0</v>
      </c>
      <c r="M10" s="4">
        <f>SUM(G10:L10)-64</f>
        <v>-41.166666666666671</v>
      </c>
      <c r="N10" s="441" t="s">
        <v>40</v>
      </c>
      <c r="O10" s="176">
        <f>SUMIFS([1]خرداد!$AF$2:$AF$805,[1]خرداد!$O$2:$O$805,7103,[1]خرداد!$D$2:$D$805,$F$10,[1]خرداد!$AC$2:$AC$805,O3)</f>
        <v>4.166666666666667</v>
      </c>
      <c r="P10" s="177">
        <f>SUMIFS([1]خرداد!$AF$2:$AF$805,[1]خرداد!$O$2:$O$805,7103,[1]خرداد!$D$2:$D$805,$F$10,[1]خرداد!$AC$2:$AC$805,P3)</f>
        <v>5.833333333333333</v>
      </c>
      <c r="Q10" s="177">
        <f>SUMIFS([1]خرداد!$AF$2:$AF$805,[1]خرداد!$O$2:$O$805,7103,[1]خرداد!$D$2:$D$805,$F$10,[1]خرداد!$AC$2:$AC$805,Q3)</f>
        <v>0</v>
      </c>
      <c r="R10" s="177">
        <f>SUMIFS([1]خرداد!$AF$2:$AF$805,[1]خرداد!$O$2:$O$805,7103,[1]خرداد!$D$2:$D$805,$F$10,[1]خرداد!$AC$2:$AC$805,R3)</f>
        <v>6.333333333333333</v>
      </c>
      <c r="S10" s="177">
        <f>SUMIFS([1]خرداد!$AF$2:$AF$805,[1]خرداد!$O$2:$O$805,7103,[1]خرداد!$D$2:$D$805,$F$10,[1]خرداد!$AC$2:$AC$805,S3)</f>
        <v>6.5</v>
      </c>
      <c r="T10" s="177">
        <f>SUMIFS([1]خرداد!$AF$2:$AF$805,[1]خرداد!$O$2:$O$805,7103,[1]خرداد!$D$2:$D$805,$F$10,[1]خرداد!$AC$2:$AC$805,T3)</f>
        <v>0</v>
      </c>
      <c r="U10" s="178">
        <f>SUMIFS([1]خرداد!$AF$2:$AF$805,[1]خرداد!$O$2:$O$805,7103,[1]خرداد!$D$2:$D$805,$F$10,[1]خرداد!$AC$2:$AC$805,U3)</f>
        <v>0</v>
      </c>
    </row>
    <row r="11" spans="1:21" ht="36" customHeight="1" thickBot="1" x14ac:dyDescent="0.3">
      <c r="A11" s="447">
        <v>4</v>
      </c>
      <c r="B11" s="452" t="s">
        <v>18</v>
      </c>
      <c r="C11" s="453">
        <v>7201</v>
      </c>
      <c r="D11" s="453">
        <v>62.5</v>
      </c>
      <c r="E11" s="453" t="s">
        <v>19</v>
      </c>
      <c r="F11" s="140"/>
      <c r="G11" s="21">
        <f t="shared" si="0"/>
        <v>0</v>
      </c>
      <c r="H11" s="63">
        <f t="shared" si="1"/>
        <v>0</v>
      </c>
      <c r="I11" s="141">
        <v>0</v>
      </c>
      <c r="J11" s="141">
        <v>62</v>
      </c>
      <c r="K11" s="141">
        <v>0</v>
      </c>
      <c r="L11" s="141">
        <v>0</v>
      </c>
      <c r="M11" s="141">
        <f>SUM(G11:J11)-62</f>
        <v>0</v>
      </c>
      <c r="N11" s="142" t="s">
        <v>41</v>
      </c>
      <c r="O11" s="296"/>
      <c r="P11" s="201"/>
      <c r="Q11" s="201"/>
      <c r="R11" s="201"/>
      <c r="S11" s="201"/>
      <c r="T11" s="201"/>
      <c r="U11" s="111"/>
    </row>
    <row r="12" spans="1:21" ht="36" customHeight="1" thickBot="1" x14ac:dyDescent="0.3">
      <c r="A12" s="45">
        <v>5</v>
      </c>
      <c r="B12" s="12" t="s">
        <v>18</v>
      </c>
      <c r="C12" s="13">
        <v>7202</v>
      </c>
      <c r="D12" s="13">
        <v>62.5</v>
      </c>
      <c r="E12" s="13" t="s">
        <v>15</v>
      </c>
      <c r="F12" s="16" t="s">
        <v>46</v>
      </c>
      <c r="G12" s="14">
        <f t="shared" si="0"/>
        <v>36</v>
      </c>
      <c r="H12" s="48">
        <v>0</v>
      </c>
      <c r="I12" s="14">
        <v>0</v>
      </c>
      <c r="J12" s="14">
        <v>0</v>
      </c>
      <c r="K12" s="14">
        <v>0</v>
      </c>
      <c r="L12" s="14">
        <v>0</v>
      </c>
      <c r="M12" s="14">
        <f>SUM(G12:L12)-62</f>
        <v>-26</v>
      </c>
      <c r="N12" s="271"/>
      <c r="O12" s="181">
        <f>SUMIFS([1]خرداد!$AF$2:$AF$805,[1]خرداد!$O$2:$O$805,7202,[1]خرداد!$D$2:$D$805,$F$12,[1]خرداد!$AC$2:$AC$805,O3)</f>
        <v>11</v>
      </c>
      <c r="P12" s="182">
        <f>SUMIFS([1]خرداد!$AF$2:$AF$805,[1]خرداد!$O$2:$O$805,7202,[1]خرداد!$D$2:$D$805,$F$12,[1]خرداد!$AC$2:$AC$805,P3)</f>
        <v>7</v>
      </c>
      <c r="Q12" s="182">
        <f>SUMIFS([1]خرداد!$AF$2:$AF$805,[1]خرداد!$O$2:$O$805,7202,[1]خرداد!$D$2:$D$805,$F$12,[1]خرداد!$AC$2:$AC$805,Q3)</f>
        <v>6</v>
      </c>
      <c r="R12" s="182">
        <f>SUMIFS([1]خرداد!$AF$2:$AF$805,[1]خرداد!$O$2:$O$805,7202,[1]خرداد!$D$2:$D$805,$F$12,[1]خرداد!$AC$2:$AC$805,R3)</f>
        <v>0</v>
      </c>
      <c r="S12" s="182">
        <f>SUMIFS([1]خرداد!$AF$2:$AF$805,[1]خرداد!$O$2:$O$805,7202,[1]خرداد!$D$2:$D$805,$F$12,[1]خرداد!$AC$2:$AC$805,S3)</f>
        <v>4.5</v>
      </c>
      <c r="T12" s="182">
        <f>SUMIFS([1]خرداد!$AF$2:$AF$805,[1]خرداد!$O$2:$O$805,7202,[1]خرداد!$D$2:$D$805,$F$12,[1]خرداد!$AC$2:$AC$805,T3)</f>
        <v>7.5</v>
      </c>
      <c r="U12" s="183">
        <f>SUMIFS([1]خرداد!$AF$2:$AF$805,[1]خرداد!$O$2:$O$805,7202,[1]خرداد!$D$2:$D$805,$F$12,[1]خرداد!$AC$2:$AC$805,U3)</f>
        <v>0</v>
      </c>
    </row>
    <row r="13" spans="1:21" ht="36" customHeight="1" thickBot="1" x14ac:dyDescent="0.3">
      <c r="A13" s="446">
        <v>6</v>
      </c>
      <c r="B13" s="445" t="s">
        <v>18</v>
      </c>
      <c r="C13" s="438">
        <v>7203</v>
      </c>
      <c r="D13" s="438">
        <v>62.5</v>
      </c>
      <c r="E13" s="438" t="s">
        <v>15</v>
      </c>
      <c r="F13" s="16" t="s">
        <v>45</v>
      </c>
      <c r="G13" s="4">
        <f t="shared" si="0"/>
        <v>62.5</v>
      </c>
      <c r="H13" s="67">
        <v>0</v>
      </c>
      <c r="I13" s="4">
        <v>0</v>
      </c>
      <c r="J13" s="4">
        <v>0</v>
      </c>
      <c r="K13" s="4">
        <v>0</v>
      </c>
      <c r="L13" s="4">
        <v>0</v>
      </c>
      <c r="M13" s="4">
        <f>(G13+H13+I13+J13+K13)-D13</f>
        <v>0</v>
      </c>
      <c r="N13" s="441"/>
      <c r="O13" s="353">
        <f>SUMIFS([1]خرداد!$AF$2:$AF$805,[1]خرداد!$O$2:$O$805,7203,[1]خرداد!$D$2:$D$805,$F$13,[1]خرداد!$AC$2:$AC$805,O3)</f>
        <v>11</v>
      </c>
      <c r="P13" s="353">
        <f>SUMIFS([1]خرداد!$AF$2:$AF$805,[1]خرداد!$O$2:$O$805,7203,[1]خرداد!$D$2:$D$805,$F$13,[1]خرداد!$AC$2:$AC$805,P3)</f>
        <v>11</v>
      </c>
      <c r="Q13" s="353">
        <f>SUMIFS([1]خرداد!$AF$2:$AF$805,[1]خرداد!$O$2:$O$805,7203,[1]خرداد!$D$2:$D$805,$F$13,[1]خرداد!$AC$2:$AC$805,Q3)</f>
        <v>11</v>
      </c>
      <c r="R13" s="353">
        <f>SUMIFS([1]خرداد!$AF$2:$AF$805,[1]خرداد!$O$2:$O$805,7203,[1]خرداد!$D$2:$D$805,$F$13,[1]خرداد!$AC$2:$AC$805,R3)</f>
        <v>11</v>
      </c>
      <c r="S13" s="353">
        <f>SUMIFS([1]خرداد!$AF$2:$AF$805,[1]خرداد!$O$2:$O$805,7203,[1]خرداد!$D$2:$D$805,$F$13,[1]خرداد!$AC$2:$AC$805,S3)</f>
        <v>11</v>
      </c>
      <c r="T13" s="353">
        <f>SUMIFS([1]خرداد!$AF$2:$AF$805,[1]خرداد!$O$2:$O$805,7203,[1]خرداد!$D$2:$D$805,$F$13,[1]خرداد!$AC$2:$AC$805,T3)</f>
        <v>7.5</v>
      </c>
      <c r="U13" s="353">
        <f>SUMIFS([1]خرداد!$AF$2:$AF$805,[1]خرداد!$O$2:$O$805,7203,[1]خرداد!$D$2:$D$805,$F$13,[1]خرداد!$AC$2:$AC$805,U3)</f>
        <v>0</v>
      </c>
    </row>
    <row r="14" spans="1:21" ht="36" customHeight="1" thickBot="1" x14ac:dyDescent="0.3">
      <c r="A14" s="45">
        <v>7</v>
      </c>
      <c r="B14" s="12" t="s">
        <v>18</v>
      </c>
      <c r="C14" s="13">
        <v>7204</v>
      </c>
      <c r="D14" s="13">
        <v>62.5</v>
      </c>
      <c r="E14" s="13" t="s">
        <v>15</v>
      </c>
      <c r="F14" s="16" t="s">
        <v>144</v>
      </c>
      <c r="G14" s="14">
        <f t="shared" si="0"/>
        <v>57.5</v>
      </c>
      <c r="H14" s="48">
        <f t="shared" si="1"/>
        <v>0</v>
      </c>
      <c r="I14" s="14">
        <v>4.5</v>
      </c>
      <c r="J14" s="14">
        <v>0</v>
      </c>
      <c r="K14" s="14">
        <v>0</v>
      </c>
      <c r="L14" s="14">
        <v>0</v>
      </c>
      <c r="M14" s="14">
        <f>SUM(G14:J14)-62</f>
        <v>0</v>
      </c>
      <c r="N14" s="61"/>
      <c r="O14" s="295">
        <f>SUMIFS([1]خرداد!$AF$2:$AF$805,[1]خرداد!$O$2:$O$805,7204,[1]خرداد!$D$2:$D$805,$F$14,[1]خرداد!$AC$2:$AC$805,O3)</f>
        <v>11</v>
      </c>
      <c r="P14" s="295">
        <f>SUMIFS([1]خرداد!$AF$2:$AF$805,[1]خرداد!$O$2:$O$805,7204,[1]خرداد!$D$2:$D$805,$F$14,[1]خرداد!$AC$2:$AC$805,P3)</f>
        <v>11</v>
      </c>
      <c r="Q14" s="295">
        <f>SUMIFS([1]خرداد!$AF$2:$AF$805,[1]خرداد!$O$2:$O$805,7204,[1]خرداد!$D$2:$D$805,$F$14,[1]خرداد!$AC$2:$AC$805,Q3)</f>
        <v>11</v>
      </c>
      <c r="R14" s="295">
        <f>SUMIFS([1]خرداد!$AF$2:$AF$805,[1]خرداد!$O$2:$O$805,7204,[1]خرداد!$D$2:$D$805,$F$14,[1]خرداد!$AC$2:$AC$805,R3)</f>
        <v>11</v>
      </c>
      <c r="S14" s="295">
        <f>SUMIFS([1]خرداد!$AF$2:$AF$805,[1]خرداد!$O$2:$O$805,7204,[1]خرداد!$D$2:$D$805,$F$14,[1]خرداد!$AC$2:$AC$805,S3)</f>
        <v>7</v>
      </c>
      <c r="T14" s="295">
        <f>SUMIFS([1]خرداد!$AF$2:$AF$805,[1]خرداد!$O$2:$O$805,7204,[1]خرداد!$D$2:$D$805,$F$14,[1]خرداد!$AC$2:$AC$805,T3)</f>
        <v>6.5</v>
      </c>
      <c r="U14" s="295">
        <f>SUMIFS([1]خرداد!$AF$2:$AF$805,[1]خرداد!$O$2:$O$805,7204,[1]خرداد!$D$2:$D$805,$F$14,[1]خرداد!$AC$2:$AC$805,U3)</f>
        <v>0</v>
      </c>
    </row>
    <row r="15" spans="1:21" ht="36" customHeight="1" thickBot="1" x14ac:dyDescent="0.3">
      <c r="A15" s="45">
        <v>8</v>
      </c>
      <c r="B15" s="12" t="s">
        <v>21</v>
      </c>
      <c r="C15" s="13">
        <v>7301</v>
      </c>
      <c r="D15" s="13">
        <v>62.5</v>
      </c>
      <c r="E15" s="13" t="s">
        <v>15</v>
      </c>
      <c r="F15" s="19" t="s">
        <v>22</v>
      </c>
      <c r="G15" s="14">
        <f t="shared" si="0"/>
        <v>56.416666666666664</v>
      </c>
      <c r="H15" s="48">
        <f t="shared" si="1"/>
        <v>0</v>
      </c>
      <c r="I15" s="14">
        <v>6</v>
      </c>
      <c r="J15" s="14">
        <v>0</v>
      </c>
      <c r="K15" s="14">
        <v>0</v>
      </c>
      <c r="L15" s="14">
        <v>0</v>
      </c>
      <c r="M15" s="14">
        <f>SUM(G15:L15)-D15</f>
        <v>-8.3333333333335702E-2</v>
      </c>
      <c r="N15" s="15" t="s">
        <v>29</v>
      </c>
      <c r="O15" s="354">
        <f>SUMIFS([1]خرداد!$AF$2:$AF$805,[1]خرداد!$O$2:$O$805,7301,[1]خرداد!$D$2:$D$805,$F$15,[1]خرداد!$AC$2:$AC$805,O3)</f>
        <v>10.666666666666666</v>
      </c>
      <c r="P15" s="354">
        <f>SUMIFS([1]خرداد!$AF$2:$AF$805,[1]خرداد!$O$2:$O$805,7301,[1]خرداد!$D$2:$D$805,$F$15,[1]خرداد!$AC$2:$AC$805,P3)</f>
        <v>10</v>
      </c>
      <c r="Q15" s="354">
        <f>SUMIFS([1]خرداد!$AF$2:$AF$805,[1]خرداد!$O$2:$O$805,7301,[1]خرداد!$D$2:$D$805,$F$15,[1]خرداد!$AC$2:$AC$805,Q3)</f>
        <v>11</v>
      </c>
      <c r="R15" s="354">
        <f>SUMIFS([1]خرداد!$AF$2:$AF$805,[1]خرداد!$O$2:$O$805,7301,[1]خرداد!$D$2:$D$805,$F$15,[1]خرداد!$AC$2:$AC$805,R3)</f>
        <v>8</v>
      </c>
      <c r="S15" s="354">
        <f>SUMIFS([1]خرداد!$AF$2:$AF$805,[1]خرداد!$O$2:$O$805,7301,[1]خرداد!$D$2:$D$805,$F$15,[1]خرداد!$AC$2:$AC$805,S3)</f>
        <v>11</v>
      </c>
      <c r="T15" s="354">
        <f>SUMIFS([1]خرداد!$AF$2:$AF$805,[1]خرداد!$O$2:$O$805,7301,[1]خرداد!$D$2:$D$805,$F$15,[1]خرداد!$AC$2:$AC$805,T3)</f>
        <v>5.75</v>
      </c>
      <c r="U15" s="354">
        <f>SUMIFS([1]خرداد!$AF$2:$AF$805,[1]خرداد!$O$2:$O$805,7301,[1]خرداد!$D$2:$D$805,$F$15,[1]خرداد!$AC$2:$AC$805,U3)</f>
        <v>0</v>
      </c>
    </row>
    <row r="16" spans="1:21" ht="36" customHeight="1" x14ac:dyDescent="0.25">
      <c r="A16" s="447"/>
      <c r="B16" s="216"/>
      <c r="C16" s="224"/>
      <c r="D16" s="451"/>
      <c r="E16" s="932" t="s">
        <v>15</v>
      </c>
      <c r="F16" s="22" t="s">
        <v>17</v>
      </c>
      <c r="G16" s="1">
        <f t="shared" si="0"/>
        <v>45.5</v>
      </c>
      <c r="H16" s="49">
        <v>6</v>
      </c>
      <c r="I16" s="1">
        <v>4</v>
      </c>
      <c r="J16" s="1">
        <v>0</v>
      </c>
      <c r="K16" s="1">
        <v>0</v>
      </c>
      <c r="L16" s="1">
        <v>0</v>
      </c>
      <c r="M16" s="4"/>
      <c r="N16" s="928" t="s">
        <v>44</v>
      </c>
      <c r="O16" s="165">
        <f>SUMIFS([1]خرداد!$AF$2:$AF$805,[1]خرداد!$O$2:$O$805,7302,[1]خرداد!$D$2:$D$805,$F$16,[1]خرداد!$AC$2:$AC$805,O3)</f>
        <v>8</v>
      </c>
      <c r="P16" s="169">
        <f>SUMIFS([1]خرداد!$AF$2:$AF$805,[1]خرداد!$O$2:$O$805,7302,[1]خرداد!$D$2:$D$805,$F$16,[1]خرداد!$AC$2:$AC$805,P3)</f>
        <v>5</v>
      </c>
      <c r="Q16" s="169">
        <f>SUMIFS([1]خرداد!$AF$2:$AF$805,[1]خرداد!$O$2:$O$805,7302,[1]خرداد!$D$2:$D$805,$F$16,[1]خرداد!$AC$2:$AC$805,Q3)</f>
        <v>8</v>
      </c>
      <c r="R16" s="169">
        <f>SUMIFS([1]خرداد!$AF$2:$AF$805,[1]خرداد!$O$2:$O$805,7302,[1]خرداد!$D$2:$D$805,$F$16,[1]خرداد!$AC$2:$AC$805,R3)</f>
        <v>9</v>
      </c>
      <c r="S16" s="169">
        <f>SUMIFS([1]خرداد!$AF$2:$AF$805,[1]خرداد!$O$2:$O$805,7302,[1]خرداد!$D$2:$D$805,$F$16,[1]خرداد!$AC$2:$AC$805,S3)</f>
        <v>9</v>
      </c>
      <c r="T16" s="169">
        <f>SUMIFS([1]خرداد!$AF$2:$AF$805,[1]خرداد!$O$2:$O$805,7302,[1]خرداد!$D$2:$D$805,$F$16,[1]خرداد!$AC$2:$AC$805,T3)</f>
        <v>6.5</v>
      </c>
      <c r="U16" s="170">
        <f>SUMIFS([1]خرداد!$AF$2:$AF$805,[1]خرداد!$O$2:$O$805,7302,[1]خرداد!$D$2:$D$805,$F$16,[1]خرداد!$AC$2:$AC$805,U3)</f>
        <v>6</v>
      </c>
    </row>
    <row r="17" spans="1:21" ht="36" customHeight="1" x14ac:dyDescent="0.25">
      <c r="A17" s="447">
        <v>9</v>
      </c>
      <c r="B17" s="216" t="s">
        <v>21</v>
      </c>
      <c r="C17" s="308">
        <v>7302</v>
      </c>
      <c r="D17" s="438">
        <v>62.5</v>
      </c>
      <c r="E17" s="933"/>
      <c r="F17" s="22"/>
      <c r="G17" s="3">
        <f t="shared" si="0"/>
        <v>0</v>
      </c>
      <c r="H17" s="47">
        <f t="shared" si="1"/>
        <v>0</v>
      </c>
      <c r="I17" s="3">
        <v>0</v>
      </c>
      <c r="J17" s="3">
        <v>0</v>
      </c>
      <c r="K17" s="3">
        <v>0</v>
      </c>
      <c r="L17" s="3">
        <v>0</v>
      </c>
      <c r="M17" s="4">
        <f>SUM(G16:L18)-D17</f>
        <v>-7</v>
      </c>
      <c r="N17" s="929"/>
      <c r="O17" s="173">
        <f>SUMIFS([1]اردیبهشت!$AD$2:$AD$805,[1]اردیبهشت!$N$2:$N$805,$C$17,[1]اردیبهشت!$D$2:$D$805,$F$17,[1]اردیبهشت!$AA$2:$AA$805,O3)</f>
        <v>0</v>
      </c>
      <c r="P17" s="174">
        <f>SUMIFS([1]اردیبهشت!$AD$2:$AD$805,[1]اردیبهشت!$N$2:$N$805,$C$17,[1]اردیبهشت!$D$2:$D$805,$F$17,[1]اردیبهشت!$AA$2:$AA$805,P3)</f>
        <v>0</v>
      </c>
      <c r="Q17" s="174">
        <f>SUMIFS([1]اردیبهشت!$AD$2:$AD$805,[1]اردیبهشت!$N$2:$N$805,$C$17,[1]اردیبهشت!$D$2:$D$805,$F$17,[1]اردیبهشت!$AA$2:$AA$805,Q3)</f>
        <v>0</v>
      </c>
      <c r="R17" s="174">
        <f>SUMIFS([1]اردیبهشت!$AD$2:$AD$805,[1]اردیبهشت!$N$2:$N$805,$C$17,[1]اردیبهشت!$D$2:$D$805,$F$17,[1]اردیبهشت!$AA$2:$AA$805,R3)</f>
        <v>0</v>
      </c>
      <c r="S17" s="174">
        <f>SUMIFS([1]اردیبهشت!$AD$2:$AD$805,[1]اردیبهشت!$N$2:$N$805,$C$17,[1]اردیبهشت!$D$2:$D$805,$F$17,[1]اردیبهشت!$AA$2:$AA$805,S3)</f>
        <v>0</v>
      </c>
      <c r="T17" s="174">
        <f>SUMIFS([1]اردیبهشت!$AD$2:$AD$805,[1]اردیبهشت!$N$2:$N$805,$C$17,[1]اردیبهشت!$D$2:$D$805,$F$17,[1]اردیبهشت!$AA$2:$AA$805,T3)</f>
        <v>0</v>
      </c>
      <c r="U17" s="110">
        <f>SUMIFS([1]خرداد!$AF$2:$AF$700,[1]خرداد!$O$2:$O$700,7101,[1]خرداد!$D$2:$D$700,$F$4,[1]خرداد!$AC$2:$AC$700,U16)</f>
        <v>0</v>
      </c>
    </row>
    <row r="18" spans="1:21" ht="36" customHeight="1" thickBot="1" x14ac:dyDescent="0.3">
      <c r="A18" s="448"/>
      <c r="B18" s="43"/>
      <c r="C18" s="310"/>
      <c r="D18" s="437"/>
      <c r="E18" s="934"/>
      <c r="F18" s="5"/>
      <c r="G18" s="1">
        <f t="shared" si="0"/>
        <v>0</v>
      </c>
      <c r="H18" s="49">
        <f t="shared" si="1"/>
        <v>0</v>
      </c>
      <c r="I18" s="7">
        <v>0</v>
      </c>
      <c r="J18" s="7">
        <v>0</v>
      </c>
      <c r="K18" s="6">
        <v>0</v>
      </c>
      <c r="L18" s="6">
        <v>0</v>
      </c>
      <c r="M18" s="6"/>
      <c r="N18" s="930"/>
      <c r="O18" s="167">
        <f>SUMIFS([1]اردیبهشت!$AD$2:$AD$805,[1]اردیبهشت!$N$2:$N$805,$C$17,[1]اردیبهشت!$D$2:$D$805,$F$17,[1]اردیبهشت!$AA$2:$AA$805,O4)</f>
        <v>0</v>
      </c>
      <c r="P18" s="175">
        <f>SUMIFS([1]اردیبهشت!$AD$2:$AD$805,[1]اردیبهشت!$N$2:$N$805,$C$17,[1]اردیبهشت!$D$2:$D$805,$F$17,[1]اردیبهشت!$AA$2:$AA$805,P4)</f>
        <v>0</v>
      </c>
      <c r="Q18" s="175">
        <f>SUMIFS([1]اردیبهشت!$AD$2:$AD$805,[1]اردیبهشت!$N$2:$N$805,$C$17,[1]اردیبهشت!$D$2:$D$805,$F$17,[1]اردیبهشت!$AA$2:$AA$805,Q4)</f>
        <v>0</v>
      </c>
      <c r="R18" s="175">
        <f>SUMIFS([1]اردیبهشت!$AD$2:$AD$805,[1]اردیبهشت!$N$2:$N$805,$C$17,[1]اردیبهشت!$D$2:$D$805,$F$17,[1]اردیبهشت!$AA$2:$AA$805,R4)</f>
        <v>0</v>
      </c>
      <c r="S18" s="175">
        <f>SUMIFS([1]اردیبهشت!$AD$2:$AD$805,[1]اردیبهشت!$N$2:$N$805,$C$17,[1]اردیبهشت!$D$2:$D$805,$F$17,[1]اردیبهشت!$AA$2:$AA$805,S4)</f>
        <v>0</v>
      </c>
      <c r="T18" s="175">
        <f>SUMIFS([1]اردیبهشت!$AD$2:$AD$805,[1]اردیبهشت!$N$2:$N$805,$C$17,[1]اردیبهشت!$D$2:$D$805,$F$17,[1]اردیبهشت!$AA$2:$AA$805,T4)</f>
        <v>0</v>
      </c>
      <c r="U18" s="114">
        <f>SUMIFS([1]خرداد!$AF$2:$AF$700,[1]خرداد!$O$2:$O$700,7101,[1]خرداد!$D$2:$D$700,$F$4,[1]خرداد!$AC$2:$AC$700,U17)</f>
        <v>0</v>
      </c>
    </row>
    <row r="19" spans="1:21" ht="36" customHeight="1" thickBot="1" x14ac:dyDescent="0.3">
      <c r="A19" s="147">
        <v>10</v>
      </c>
      <c r="B19" s="450" t="s">
        <v>21</v>
      </c>
      <c r="C19" s="443">
        <v>7303</v>
      </c>
      <c r="D19" s="443">
        <v>44</v>
      </c>
      <c r="E19" s="443" t="s">
        <v>19</v>
      </c>
      <c r="F19" s="144" t="s">
        <v>23</v>
      </c>
      <c r="G19" s="85">
        <f t="shared" si="0"/>
        <v>2</v>
      </c>
      <c r="H19" s="86">
        <f t="shared" si="1"/>
        <v>0</v>
      </c>
      <c r="I19" s="89">
        <v>0</v>
      </c>
      <c r="J19" s="89">
        <v>0</v>
      </c>
      <c r="K19" s="89">
        <v>0</v>
      </c>
      <c r="L19" s="89">
        <v>0</v>
      </c>
      <c r="M19" s="89">
        <f>SUM(G19:L19)-44</f>
        <v>-42</v>
      </c>
      <c r="N19" s="305" t="s">
        <v>13</v>
      </c>
      <c r="O19" s="179">
        <f>SUMIFS([1]خرداد!$AF$2:$AF$805,[1]خرداد!$O$2:$O$805,7303,[1]خرداد!$D$2:$D$805,$F$19,[1]خرداد!$AC$2:$AC$805,O3)</f>
        <v>0</v>
      </c>
      <c r="P19" s="186">
        <f>SUMIFS([1]خرداد!$AF$2:$AF$805,[1]خرداد!$O$2:$O$805,7303,[1]خرداد!$D$2:$D$805,$F$19,[1]خرداد!$AC$2:$AC$805,P3)</f>
        <v>0</v>
      </c>
      <c r="Q19" s="186">
        <f>SUMIFS([1]خرداد!$AF$2:$AF$805,[1]خرداد!$O$2:$O$805,7303,[1]خرداد!$D$2:$D$805,$F$19,[1]خرداد!$AC$2:$AC$805,Q3)</f>
        <v>0</v>
      </c>
      <c r="R19" s="186">
        <f>SUMIFS([1]خرداد!$AF$2:$AF$805,[1]خرداد!$O$2:$O$805,7303,[1]خرداد!$D$2:$D$805,$F$19,[1]خرداد!$AC$2:$AC$805,R3)</f>
        <v>0</v>
      </c>
      <c r="S19" s="186">
        <f>SUMIFS([1]خرداد!$AF$2:$AF$805,[1]خرداد!$O$2:$O$805,7303,[1]خرداد!$D$2:$D$805,$F$19,[1]خرداد!$AC$2:$AC$805,S3)</f>
        <v>0</v>
      </c>
      <c r="T19" s="186">
        <f>SUMIFS([1]خرداد!$AF$2:$AF$805,[1]خرداد!$O$2:$O$805,7303,[1]خرداد!$D$2:$D$805,$F$19,[1]خرداد!$AC$2:$AC$805,T3)</f>
        <v>2</v>
      </c>
      <c r="U19" s="423">
        <f>SUMIFS([1]خرداد!$AF$2:$AF$805,[1]خرداد!$O$2:$O$805,7303,[1]خرداد!$D$2:$D$805,$F$19,[1]خرداد!$AC$2:$AC$805,U3)</f>
        <v>0</v>
      </c>
    </row>
    <row r="20" spans="1:21" ht="32.25" customHeight="1" x14ac:dyDescent="0.25">
      <c r="A20" s="446"/>
      <c r="B20" s="42"/>
      <c r="C20" s="307"/>
      <c r="D20" s="434"/>
      <c r="E20" s="932" t="s">
        <v>15</v>
      </c>
      <c r="F20" s="20" t="s">
        <v>16</v>
      </c>
      <c r="G20" s="9">
        <f t="shared" si="0"/>
        <v>15</v>
      </c>
      <c r="H20" s="46">
        <f t="shared" si="1"/>
        <v>2</v>
      </c>
      <c r="I20" s="9">
        <v>0</v>
      </c>
      <c r="J20" s="9">
        <v>0</v>
      </c>
      <c r="K20" s="9">
        <v>0</v>
      </c>
      <c r="L20" s="9">
        <v>0</v>
      </c>
      <c r="M20" s="21"/>
      <c r="N20" s="931" t="s">
        <v>53</v>
      </c>
      <c r="O20" s="165">
        <f>SUMIFS([1]خرداد!$AF$2:$AF$805,[1]خرداد!$O$2:$O$805,7401,[1]خرداد!$D$2:$D$805,$F$20,[1]خرداد!$AC$2:$AC$805,O3)</f>
        <v>4</v>
      </c>
      <c r="P20" s="169">
        <f>SUMIFS([1]خرداد!$AF$2:$AF$805,[1]خرداد!$O$2:$O$805,7401,[1]خرداد!$D$2:$D$805,$F$20,[1]خرداد!$AC$2:$AC$805,P3)</f>
        <v>1</v>
      </c>
      <c r="Q20" s="169">
        <f>SUMIFS([1]خرداد!$AF$2:$AF$805,[1]خرداد!$O$2:$O$805,7401,[1]خرداد!$D$2:$D$805,$F$20,[1]خرداد!$AC$2:$AC$805,Q3)</f>
        <v>3</v>
      </c>
      <c r="R20" s="169">
        <f>SUMIFS([1]خرداد!$AF$2:$AF$805,[1]خرداد!$O$2:$O$805,7401,[1]خرداد!$D$2:$D$805,$F$20,[1]خرداد!$AC$2:$AC$805,R3)</f>
        <v>2</v>
      </c>
      <c r="S20" s="169">
        <f>SUMIFS([1]خرداد!$AF$2:$AF$805,[1]خرداد!$O$2:$O$805,7401,[1]خرداد!$D$2:$D$805,$F$20,[1]خرداد!$AC$2:$AC$805,S3)</f>
        <v>1</v>
      </c>
      <c r="T20" s="169">
        <f>SUMIFS([1]خرداد!$AF$2:$AF$805,[1]خرداد!$O$2:$O$805,7401,[1]خرداد!$D$2:$D$805,$F$20,[1]خرداد!$AC$2:$AC$805,T3)</f>
        <v>4</v>
      </c>
      <c r="U20" s="170">
        <f>SUMIFS([1]خرداد!$AF$2:$AF$805,[1]خرداد!$O$2:$O$805,7401,[1]خرداد!$D$2:$D$805,$F$20,[1]خرداد!$AC$2:$AC$805,U3)</f>
        <v>2</v>
      </c>
    </row>
    <row r="21" spans="1:21" ht="32.25" customHeight="1" x14ac:dyDescent="0.25">
      <c r="A21" s="447">
        <v>11</v>
      </c>
      <c r="B21" s="216" t="s">
        <v>24</v>
      </c>
      <c r="C21" s="308">
        <v>7401</v>
      </c>
      <c r="D21" s="438">
        <v>62.5</v>
      </c>
      <c r="E21" s="933"/>
      <c r="F21" s="22"/>
      <c r="G21" s="3">
        <f t="shared" si="0"/>
        <v>0</v>
      </c>
      <c r="H21" s="47">
        <f t="shared" si="1"/>
        <v>0</v>
      </c>
      <c r="I21" s="3">
        <v>0</v>
      </c>
      <c r="J21" s="3">
        <v>0</v>
      </c>
      <c r="K21" s="3">
        <v>0</v>
      </c>
      <c r="L21" s="3">
        <v>0</v>
      </c>
      <c r="M21" s="1">
        <f>SUM(G20:L22)-D21</f>
        <v>-45.5</v>
      </c>
      <c r="N21" s="929"/>
      <c r="O21" s="166">
        <f>SUMIFS([1]اردیبهشت!$AF$2:$AF$805,[1]اردیبهشت!$O$2:$O$805,7401,[1]اردیبهشت!$D$2:$D$805,$F$21,[1]اردیبهشت!$AC$2:$AC$805,O3)</f>
        <v>0</v>
      </c>
      <c r="P21" s="168">
        <f>SUMIFS([1]اردیبهشت!$AF$2:$AF$805,[1]اردیبهشت!$O$2:$O$805,7401,[1]اردیبهشت!$D$2:$D$805,$F$21,[1]اردیبهشت!$AC$2:$AC$805,P3)</f>
        <v>0</v>
      </c>
      <c r="Q21" s="168">
        <f>SUMIFS([1]اردیبهشت!$AF$2:$AF$805,[1]اردیبهشت!$O$2:$O$805,7401,[1]اردیبهشت!$D$2:$D$805,$F$21,[1]اردیبهشت!$AC$2:$AC$805,Q3)</f>
        <v>0</v>
      </c>
      <c r="R21" s="168">
        <f>SUMIFS([1]اردیبهشت!$AF$2:$AF$805,[1]اردیبهشت!$O$2:$O$805,7401,[1]اردیبهشت!$D$2:$D$805,$F$21,[1]اردیبهشت!$AC$2:$AC$805,R3)</f>
        <v>0</v>
      </c>
      <c r="S21" s="168">
        <f>SUMIFS([1]اردیبهشت!$AF$2:$AF$805,[1]اردیبهشت!$O$2:$O$805,7401,[1]اردیبهشت!$D$2:$D$805,$F$21,[1]اردیبهشت!$AC$2:$AC$805,S3)</f>
        <v>0</v>
      </c>
      <c r="T21" s="168">
        <f>SUMIFS([1]اردیبهشت!$AF$2:$AF$805,[1]اردیبهشت!$O$2:$O$805,7401,[1]اردیبهشت!$D$2:$D$805,$F$21,[1]اردیبهشت!$AC$2:$AC$805,T3)</f>
        <v>0</v>
      </c>
      <c r="U21" s="108">
        <f>SUMIFS([1]خرداد!$AF$2:$AF$700,[1]خرداد!$O$2:$O$700,7101,[1]خرداد!$D$2:$D$700,$F$4,[1]خرداد!$AC$2:$AC$700,U20)</f>
        <v>0</v>
      </c>
    </row>
    <row r="22" spans="1:21" ht="32.25" customHeight="1" thickBot="1" x14ac:dyDescent="0.3">
      <c r="A22" s="448"/>
      <c r="B22" s="43" t="s">
        <v>24</v>
      </c>
      <c r="C22" s="310"/>
      <c r="D22" s="438"/>
      <c r="E22" s="934"/>
      <c r="F22" s="5"/>
      <c r="G22" s="1">
        <f t="shared" si="0"/>
        <v>0</v>
      </c>
      <c r="H22" s="49">
        <f t="shared" si="1"/>
        <v>0</v>
      </c>
      <c r="I22" s="7">
        <v>0</v>
      </c>
      <c r="J22" s="7">
        <v>0</v>
      </c>
      <c r="K22" s="6">
        <v>0</v>
      </c>
      <c r="L22" s="6">
        <v>0</v>
      </c>
      <c r="M22" s="6"/>
      <c r="N22" s="930"/>
      <c r="O22" s="167">
        <f>SUMIFS([1]اردیبهشت!$AD$2:$AD$805,[1]اردیبهشت!$N$2:$N$805,$C$22,[1]اردیبهشت!$D$2:$D$805,$F$22,[1]اردیبهشت!$AA$2:$AA$805,O3)</f>
        <v>0</v>
      </c>
      <c r="P22" s="175">
        <f>SUMIFS([1]اردیبهشت!$AD$2:$AD$805,[1]اردیبهشت!$N$2:$N$805,$C$22,[1]اردیبهشت!$D$2:$D$805,$F$22,[1]اردیبهشت!$AA$2:$AA$805,P3)</f>
        <v>0</v>
      </c>
      <c r="Q22" s="175">
        <f>SUMIFS([1]اردیبهشت!$AD$2:$AD$805,[1]اردیبهشت!$N$2:$N$805,$C$22,[1]اردیبهشت!$D$2:$D$805,$F$22,[1]اردیبهشت!$AA$2:$AA$805,Q3)</f>
        <v>0</v>
      </c>
      <c r="R22" s="175">
        <f>SUMIFS([1]اردیبهشت!$AD$2:$AD$805,[1]اردیبهشت!$N$2:$N$805,$C$22,[1]اردیبهشت!$D$2:$D$805,$F$22,[1]اردیبهشت!$AA$2:$AA$805,R3)</f>
        <v>0</v>
      </c>
      <c r="S22" s="175">
        <f>SUMIFS([1]اردیبهشت!$AD$2:$AD$805,[1]اردیبهشت!$N$2:$N$805,$C$22,[1]اردیبهشت!$D$2:$D$805,$F$22,[1]اردیبهشت!$AA$2:$AA$805,S3)</f>
        <v>0</v>
      </c>
      <c r="T22" s="175">
        <f>SUMIFS([1]اردیبهشت!$AD$2:$AD$805,[1]اردیبهشت!$N$2:$N$805,$C$22,[1]اردیبهشت!$D$2:$D$805,$F$22,[1]اردیبهشت!$AA$2:$AA$805,T3)</f>
        <v>0</v>
      </c>
      <c r="U22" s="114">
        <f>SUMIFS([1]خرداد!$AF$2:$AF$700,[1]خرداد!$O$2:$O$700,7101,[1]خرداد!$D$2:$D$700,$F$4,[1]خرداد!$AC$2:$AC$700,U21)</f>
        <v>0</v>
      </c>
    </row>
    <row r="23" spans="1:21" ht="36" customHeight="1" x14ac:dyDescent="0.25">
      <c r="A23" s="446"/>
      <c r="B23" s="307"/>
      <c r="C23" s="434"/>
      <c r="D23" s="434"/>
      <c r="E23" s="932" t="s">
        <v>19</v>
      </c>
      <c r="F23" s="20"/>
      <c r="G23" s="9">
        <f t="shared" si="0"/>
        <v>0</v>
      </c>
      <c r="H23" s="46">
        <f t="shared" si="1"/>
        <v>0</v>
      </c>
      <c r="I23" s="9">
        <v>0</v>
      </c>
      <c r="J23" s="9">
        <v>0</v>
      </c>
      <c r="K23" s="9">
        <v>0</v>
      </c>
      <c r="L23" s="9">
        <v>0</v>
      </c>
      <c r="M23" s="21"/>
      <c r="N23" s="931" t="s">
        <v>28</v>
      </c>
      <c r="O23" s="165">
        <f>SUMIFS([1]اردیبهشت!$AD$2:$AD$805,[1]اردیبهشت!$N$2:$N$805,$C$23,[1]اردیبهشت!$D$2:$D$805,$F$23,[1]اردیبهشت!$AA$2:$AA$805,O3)</f>
        <v>0</v>
      </c>
      <c r="P23" s="169">
        <f>SUMIFS([1]اردیبهشت!$AD$2:$AD$805,[1]اردیبهشت!$N$2:$N$805,$C$23,[1]اردیبهشت!$D$2:$D$805,$F$23,[1]اردیبهشت!$AA$2:$AA$805,P3)</f>
        <v>0</v>
      </c>
      <c r="Q23" s="169">
        <f>SUMIFS([1]اردیبهشت!$AD$2:$AD$805,[1]اردیبهشت!$N$2:$N$805,$C$23,[1]اردیبهشت!$D$2:$D$805,$F$23,[1]اردیبهشت!$AA$2:$AA$805,Q3)</f>
        <v>0</v>
      </c>
      <c r="R23" s="169">
        <f>SUMIFS([1]اردیبهشت!$AD$2:$AD$805,[1]اردیبهشت!$N$2:$N$805,$C$23,[1]اردیبهشت!$D$2:$D$805,$F$23,[1]اردیبهشت!$AA$2:$AA$805,R3)</f>
        <v>0</v>
      </c>
      <c r="S23" s="169">
        <f>SUMIFS([1]اردیبهشت!$AD$2:$AD$805,[1]اردیبهشت!$N$2:$N$805,$C$23,[1]اردیبهشت!$D$2:$D$805,$F$23,[1]اردیبهشت!$AA$2:$AA$805,S3)</f>
        <v>0</v>
      </c>
      <c r="T23" s="169">
        <f>SUMIFS([1]اردیبهشت!$AD$2:$AD$805,[1]اردیبهشت!$N$2:$N$805,$C$23,[1]اردیبهشت!$D$2:$D$805,$F$23,[1]اردیبهشت!$AA$2:$AA$805,T3)</f>
        <v>0</v>
      </c>
      <c r="U23" s="107">
        <f>SUMIFS([1]خرداد!$AF$2:$AF$700,[1]خرداد!$O$2:$O$700,7101,[1]خرداد!$D$2:$D$700,$F$4,[1]خرداد!$AC$2:$AC$700,U22)</f>
        <v>0</v>
      </c>
    </row>
    <row r="24" spans="1:21" ht="36" customHeight="1" x14ac:dyDescent="0.25">
      <c r="A24" s="447">
        <v>12</v>
      </c>
      <c r="B24" s="308" t="s">
        <v>25</v>
      </c>
      <c r="C24" s="435">
        <v>7501</v>
      </c>
      <c r="D24" s="438">
        <v>62.5</v>
      </c>
      <c r="E24" s="933"/>
      <c r="F24" s="22" t="s">
        <v>36</v>
      </c>
      <c r="G24" s="3">
        <f t="shared" si="0"/>
        <v>2</v>
      </c>
      <c r="H24" s="47">
        <f t="shared" si="1"/>
        <v>0</v>
      </c>
      <c r="I24" s="3">
        <v>0</v>
      </c>
      <c r="J24" s="3">
        <v>0</v>
      </c>
      <c r="K24" s="3">
        <v>0</v>
      </c>
      <c r="L24" s="3">
        <v>0</v>
      </c>
      <c r="M24" s="1">
        <f>SUM(G23:L25)-D24</f>
        <v>-60.5</v>
      </c>
      <c r="N24" s="929"/>
      <c r="O24" s="166">
        <f>SUMIFS([1]خرداد!$AF$2:$AF$805,[1]خرداد!$O$2:$O$805,7501,[1]خرداد!$D$2:$D$805,$F$24,[1]خرداد!$AC$2:$AC$805,O3)</f>
        <v>2</v>
      </c>
      <c r="P24" s="168">
        <f>SUMIFS([1]خرداد!$AF$2:$AF$805,[1]خرداد!$O$2:$O$805,7501,[1]خرداد!$D$2:$D$805,$F$24,[1]خرداد!$AC$2:$AC$805,P3)</f>
        <v>0</v>
      </c>
      <c r="Q24" s="168">
        <f>SUMIFS([1]خرداد!$AF$2:$AF$805,[1]خرداد!$O$2:$O$805,7501,[1]خرداد!$D$2:$D$805,$F$24,[1]خرداد!$AC$2:$AC$805,Q3)</f>
        <v>0</v>
      </c>
      <c r="R24" s="168">
        <f>SUMIFS([1]خرداد!$AF$2:$AF$805,[1]خرداد!$O$2:$O$805,7501,[1]خرداد!$D$2:$D$805,$F$24,[1]خرداد!$AC$2:$AC$805,R3)</f>
        <v>0</v>
      </c>
      <c r="S24" s="168">
        <f>SUMIFS([1]خرداد!$AF$2:$AF$805,[1]خرداد!$O$2:$O$805,7501,[1]خرداد!$D$2:$D$805,$F$24,[1]خرداد!$AC$2:$AC$805,S3)</f>
        <v>0</v>
      </c>
      <c r="T24" s="168">
        <f>SUMIFS([1]خرداد!$AF$2:$AF$805,[1]خرداد!$O$2:$O$805,7501,[1]خرداد!$D$2:$D$805,$F$24,[1]خرداد!$AC$2:$AC$805,T3)</f>
        <v>0</v>
      </c>
      <c r="U24" s="424">
        <f>SUMIFS([1]خرداد!$AF$2:$AF$805,[1]خرداد!$O$2:$O$805,7501,[1]خرداد!$D$2:$D$805,$F$24,[1]خرداد!$AC$2:$AC$805,U3)</f>
        <v>0</v>
      </c>
    </row>
    <row r="25" spans="1:21" ht="36" customHeight="1" thickBot="1" x14ac:dyDescent="0.3">
      <c r="A25" s="448"/>
      <c r="B25" s="310"/>
      <c r="C25" s="437"/>
      <c r="D25" s="437"/>
      <c r="E25" s="934"/>
      <c r="F25" s="5"/>
      <c r="G25" s="6">
        <f t="shared" si="0"/>
        <v>0</v>
      </c>
      <c r="H25" s="64">
        <f t="shared" si="1"/>
        <v>0</v>
      </c>
      <c r="I25" s="7">
        <v>0</v>
      </c>
      <c r="J25" s="7">
        <v>0</v>
      </c>
      <c r="K25" s="6">
        <v>0</v>
      </c>
      <c r="L25" s="6">
        <v>0</v>
      </c>
      <c r="M25" s="6"/>
      <c r="N25" s="930"/>
      <c r="O25" s="171">
        <f>SUMIFS([1]اردیبهشت!$AD$2:$AD$805,[1]اردیبهشت!$N$2:$N$805,$C$24,[1]اردیبهشت!$D$2:$D$805,$F$25,[1]اردیبهشت!$AA$2:$AA$805,O3)</f>
        <v>0</v>
      </c>
      <c r="P25" s="172">
        <f>SUMIFS([1]اردیبهشت!$AD$2:$AD$805,[1]اردیبهشت!$N$2:$N$805,$C$24,[1]اردیبهشت!$D$2:$D$805,$F$25,[1]اردیبهشت!$AA$2:$AA$805,P3)</f>
        <v>0</v>
      </c>
      <c r="Q25" s="172">
        <f>SUMIFS([1]اردیبهشت!$AD$2:$AD$805,[1]اردیبهشت!$N$2:$N$805,$C$24,[1]اردیبهشت!$D$2:$D$805,$F$25,[1]اردیبهشت!$AA$2:$AA$805,Q3)</f>
        <v>0</v>
      </c>
      <c r="R25" s="172">
        <f>SUMIFS([1]اردیبهشت!$AD$2:$AD$805,[1]اردیبهشت!$N$2:$N$805,$C$24,[1]اردیبهشت!$D$2:$D$805,$F$25,[1]اردیبهشت!$AA$2:$AA$805,R3)</f>
        <v>0</v>
      </c>
      <c r="S25" s="172">
        <f>SUMIFS([1]اردیبهشت!$AD$2:$AD$805,[1]اردیبهشت!$N$2:$N$805,$C$24,[1]اردیبهشت!$D$2:$D$805,$F$25,[1]اردیبهشت!$AA$2:$AA$805,S3)</f>
        <v>0</v>
      </c>
      <c r="T25" s="172">
        <f>SUMIFS([1]اردیبهشت!$AD$2:$AD$805,[1]اردیبهشت!$N$2:$N$805,$C$24,[1]اردیبهشت!$D$2:$D$805,$F$25,[1]اردیبهشت!$AA$2:$AA$805,T3)</f>
        <v>0</v>
      </c>
      <c r="U25" s="109">
        <f>SUMIFS([1]خرداد!$AF$2:$AF$700,[1]خرداد!$O$2:$O$700,7101,[1]خرداد!$D$2:$D$700,$F$4,[1]خرداد!$AC$2:$AC$700,U24)</f>
        <v>0</v>
      </c>
    </row>
    <row r="26" spans="1:21" ht="43.5" customHeight="1" x14ac:dyDescent="0.25">
      <c r="A26" s="447"/>
      <c r="B26" s="224"/>
      <c r="C26" s="451"/>
      <c r="D26" s="451"/>
      <c r="E26" s="936" t="s">
        <v>50</v>
      </c>
      <c r="F26" s="27" t="s">
        <v>36</v>
      </c>
      <c r="G26" s="1">
        <f t="shared" si="0"/>
        <v>60.5</v>
      </c>
      <c r="H26" s="49">
        <v>0</v>
      </c>
      <c r="I26" s="93">
        <v>0</v>
      </c>
      <c r="J26" s="93">
        <v>0</v>
      </c>
      <c r="K26" s="93">
        <v>0</v>
      </c>
      <c r="L26" s="93">
        <v>0</v>
      </c>
      <c r="M26" s="4"/>
      <c r="N26" s="988" t="s">
        <v>42</v>
      </c>
      <c r="O26" s="173">
        <f>SUMIFS([1]خرداد!$AF$2:$AF$805,[1]خرداد!$O$2:$O$805,7502,[1]خرداد!$D$2:$D$805,$F$26,[1]خرداد!$AC$2:$AC$805,O3)</f>
        <v>9</v>
      </c>
      <c r="P26" s="174">
        <f>SUMIFS([1]خرداد!$AF$2:$AF$805,[1]خرداد!$O$2:$O$805,7502,[1]خرداد!$D$2:$D$805,$F$26,[1]خرداد!$AC$2:$AC$805,P3)</f>
        <v>11</v>
      </c>
      <c r="Q26" s="174">
        <f>SUMIFS([1]خرداد!$AF$2:$AF$805,[1]خرداد!$O$2:$O$805,7502,[1]خرداد!$D$2:$D$805,$F$26,[1]خرداد!$AC$2:$AC$805,Q3)</f>
        <v>11</v>
      </c>
      <c r="R26" s="174">
        <f>SUMIFS([1]خرداد!$AF$2:$AF$805,[1]خرداد!$O$2:$O$805,7502,[1]خرداد!$D$2:$D$805,$F$26,[1]خرداد!$AC$2:$AC$805,R3)</f>
        <v>11</v>
      </c>
      <c r="S26" s="174">
        <f>SUMIFS([1]خرداد!$AF$2:$AF$805,[1]خرداد!$O$2:$O$805,7502,[1]خرداد!$D$2:$D$805,$F$26,[1]خرداد!$AC$2:$AC$805,S3)</f>
        <v>11</v>
      </c>
      <c r="T26" s="174">
        <f>SUMIFS([1]خرداد!$AF$2:$AF$805,[1]خرداد!$O$2:$O$805,7502,[1]خرداد!$D$2:$D$805,$F$26,[1]خرداد!$AC$2:$AC$805,T3)</f>
        <v>7.5</v>
      </c>
      <c r="U26" s="496">
        <f>SUMIFS([1]خرداد!$AF$2:$AF$805,[1]خرداد!$O$2:$O$805,7502,[1]خرداد!$D$2:$D$805,$F$26,[1]خرداد!$AC$2:$AC$805,U3)</f>
        <v>0</v>
      </c>
    </row>
    <row r="27" spans="1:21" ht="43.5" customHeight="1" x14ac:dyDescent="0.25">
      <c r="A27" s="447">
        <v>13</v>
      </c>
      <c r="B27" s="146" t="s">
        <v>25</v>
      </c>
      <c r="C27" s="95">
        <v>7502</v>
      </c>
      <c r="D27" s="438">
        <v>62.5</v>
      </c>
      <c r="E27" s="936"/>
      <c r="F27" s="22"/>
      <c r="G27" s="3">
        <f t="shared" si="0"/>
        <v>0</v>
      </c>
      <c r="H27" s="47">
        <f t="shared" si="1"/>
        <v>0</v>
      </c>
      <c r="I27" s="3">
        <v>0</v>
      </c>
      <c r="J27" s="3">
        <v>0</v>
      </c>
      <c r="K27" s="3">
        <v>0</v>
      </c>
      <c r="L27" s="3">
        <v>0</v>
      </c>
      <c r="M27" s="4">
        <f>SUM(G26:L28)-D27</f>
        <v>-2</v>
      </c>
      <c r="N27" s="929"/>
      <c r="O27" s="166">
        <f>SUMIFS([1]اردیبهشت!$AD$2:$AD$805,[1]اردیبهشت!$N$2:$N$805,$C$27,[1]اردیبهشت!$D$2:$D$805,$F$27,[1]اردیبهشت!$AA$2:$AA$805,O3)</f>
        <v>0</v>
      </c>
      <c r="P27" s="168">
        <f>SUMIFS([1]اردیبهشت!$AD$2:$AD$805,[1]اردیبهشت!$N$2:$N$805,$C$27,[1]اردیبهشت!$D$2:$D$805,$F$27,[1]اردیبهشت!$AA$2:$AA$805,P3)</f>
        <v>0</v>
      </c>
      <c r="Q27" s="168">
        <f>SUMIFS([1]اردیبهشت!$AD$2:$AD$805,[1]اردیبهشت!$N$2:$N$805,$C$27,[1]اردیبهشت!$D$2:$D$805,$F$27,[1]اردیبهشت!$AA$2:$AA$805,Q3)</f>
        <v>0</v>
      </c>
      <c r="R27" s="168">
        <f>SUMIFS([1]اردیبهشت!$AD$2:$AD$805,[1]اردیبهشت!$N$2:$N$805,$C$27,[1]اردیبهشت!$D$2:$D$805,$F$27,[1]اردیبهشت!$AA$2:$AA$805,R3)</f>
        <v>0</v>
      </c>
      <c r="S27" s="168">
        <f>SUMIFS([1]اردیبهشت!$AD$2:$AD$805,[1]اردیبهشت!$N$2:$N$805,$C$27,[1]اردیبهشت!$D$2:$D$805,$F$27,[1]اردیبهشت!$AA$2:$AA$805,S3)</f>
        <v>0</v>
      </c>
      <c r="T27" s="168">
        <f>SUMIFS([1]اردیبهشت!$AD$2:$AD$805,[1]اردیبهشت!$N$2:$N$805,$C$27,[1]اردیبهشت!$D$2:$D$805,$F$27,[1]اردیبهشت!$AA$2:$AA$805,T3)</f>
        <v>0</v>
      </c>
      <c r="U27" s="108">
        <f>SUMIFS([1]خرداد!$AF$2:$AF$700,[1]خرداد!$O$2:$O$700,7101,[1]خرداد!$D$2:$D$700,$F$4,[1]خرداد!$AC$2:$AC$700,U26)</f>
        <v>0</v>
      </c>
    </row>
    <row r="28" spans="1:21" ht="43.5" customHeight="1" thickBot="1" x14ac:dyDescent="0.3">
      <c r="A28" s="448"/>
      <c r="B28" s="310"/>
      <c r="C28" s="437"/>
      <c r="D28" s="437"/>
      <c r="E28" s="937"/>
      <c r="F28" s="5"/>
      <c r="G28" s="6">
        <f t="shared" si="0"/>
        <v>0</v>
      </c>
      <c r="H28" s="64">
        <f t="shared" si="1"/>
        <v>0</v>
      </c>
      <c r="I28" s="7">
        <v>0</v>
      </c>
      <c r="J28" s="7">
        <v>0</v>
      </c>
      <c r="K28" s="6">
        <v>0</v>
      </c>
      <c r="L28" s="6">
        <v>0</v>
      </c>
      <c r="M28" s="6"/>
      <c r="N28" s="930"/>
      <c r="O28" s="167">
        <f>SUMIFS([1]اردیبهشت!$AD$2:$AD$805,[1]اردیبهشت!$N$2:$N$805,$C$27,[1]اردیبهشت!$D$2:$D$805,$F$28,[1]اردیبهشت!$AA$2:$AA$805,O3)</f>
        <v>0</v>
      </c>
      <c r="P28" s="175">
        <f>SUMIFS([1]اردیبهشت!$AD$2:$AD$805,[1]اردیبهشت!$N$2:$N$805,$C$27,[1]اردیبهشت!$D$2:$D$805,$F$28,[1]اردیبهشت!$AA$2:$AA$805,P3)</f>
        <v>0</v>
      </c>
      <c r="Q28" s="175">
        <f>SUMIFS([1]اردیبهشت!$AD$2:$AD$805,[1]اردیبهشت!$N$2:$N$805,$C$27,[1]اردیبهشت!$D$2:$D$805,$F$28,[1]اردیبهشت!$AA$2:$AA$805,Q3)</f>
        <v>0</v>
      </c>
      <c r="R28" s="175">
        <f>SUMIFS([1]اردیبهشت!$AD$2:$AD$805,[1]اردیبهشت!$N$2:$N$805,$C$27,[1]اردیبهشت!$D$2:$D$805,$F$28,[1]اردیبهشت!$AA$2:$AA$805,R3)</f>
        <v>0</v>
      </c>
      <c r="S28" s="175">
        <f>SUMIFS([1]اردیبهشت!$AD$2:$AD$805,[1]اردیبهشت!$N$2:$N$805,$C$27,[1]اردیبهشت!$D$2:$D$805,$F$28,[1]اردیبهشت!$AA$2:$AA$805,S3)</f>
        <v>0</v>
      </c>
      <c r="T28" s="175">
        <f>SUMIFS([1]اردیبهشت!$AD$2:$AD$805,[1]اردیبهشت!$N$2:$N$805,$C$27,[1]اردیبهشت!$D$2:$D$805,$F$28,[1]اردیبهشت!$AA$2:$AA$805,T3)</f>
        <v>0</v>
      </c>
      <c r="U28" s="114">
        <f>SUMIFS([1]خرداد!$AF$2:$AF$700,[1]خرداد!$O$2:$O$700,7101,[1]خرداد!$D$2:$D$700,$F$4,[1]خرداد!$AC$2:$AC$700,U27)</f>
        <v>0</v>
      </c>
    </row>
    <row r="29" spans="1:21" ht="43.5" customHeight="1" x14ac:dyDescent="0.25">
      <c r="A29" s="939">
        <v>14</v>
      </c>
      <c r="B29" s="83" t="s">
        <v>26</v>
      </c>
      <c r="C29" s="427">
        <v>7601</v>
      </c>
      <c r="D29" s="427">
        <v>72</v>
      </c>
      <c r="E29" s="914" t="s">
        <v>15</v>
      </c>
      <c r="F29" s="84" t="s">
        <v>27</v>
      </c>
      <c r="G29" s="85">
        <f t="shared" si="0"/>
        <v>56</v>
      </c>
      <c r="H29" s="86">
        <f t="shared" si="1"/>
        <v>0</v>
      </c>
      <c r="I29" s="85">
        <v>1</v>
      </c>
      <c r="J29" s="85">
        <v>0</v>
      </c>
      <c r="K29" s="85">
        <v>0</v>
      </c>
      <c r="L29" s="85">
        <v>0</v>
      </c>
      <c r="M29" s="87">
        <f>(J29+J30+I30+I29+H29+H30+G30+G29+L29+K29)-D29</f>
        <v>-15</v>
      </c>
      <c r="N29" s="941" t="s">
        <v>29</v>
      </c>
      <c r="O29" s="187">
        <f>SUMIFS([1]خرداد!$AF$2:$AF$805,[1]خرداد!$O$2:$O$805,7601,[1]خرداد!$D$2:$D$805,$F$29,[1]خرداد!$AC$2:$AC$805,O3)</f>
        <v>10</v>
      </c>
      <c r="P29" s="188">
        <f>SUMIFS([1]خرداد!$AF$2:$AF$805,[1]خرداد!$O$2:$O$805,7601,[1]خرداد!$D$2:$D$805,$F$29,[1]خرداد!$AC$2:$AC$805,P3)</f>
        <v>12</v>
      </c>
      <c r="Q29" s="188">
        <f>SUMIFS([1]خرداد!$AF$2:$AF$805,[1]خرداد!$O$2:$O$805,7601,[1]خرداد!$D$2:$D$805,$F$29,[1]خرداد!$AC$2:$AC$805,Q3)</f>
        <v>0</v>
      </c>
      <c r="R29" s="188">
        <f>SUMIFS([1]خرداد!$AF$2:$AF$805,[1]خرداد!$O$2:$O$805,7601,[1]خرداد!$D$2:$D$805,$F$29,[1]خرداد!$AC$2:$AC$805,R3)</f>
        <v>10</v>
      </c>
      <c r="S29" s="188">
        <f>SUMIFS([1]خرداد!$AF$2:$AF$805,[1]خرداد!$O$2:$O$805,7601,[1]خرداد!$D$2:$D$805,$F$29,[1]خرداد!$AC$2:$AC$805,S3)</f>
        <v>12</v>
      </c>
      <c r="T29" s="188">
        <f>SUMIFS([1]خرداد!$AF$2:$AF$805,[1]خرداد!$O$2:$O$805,7601,[1]خرداد!$D$2:$D$805,$F$29,[1]خرداد!$AC$2:$AC$805,T3)</f>
        <v>12</v>
      </c>
      <c r="U29" s="189">
        <f>SUMIFS([1]خرداد!$AF$2:$AF$805,[1]خرداد!$O$2:$O$805,7601,[1]خرداد!$D$2:$D$805,$F$29,[1]خرداد!$AC$2:$AC$805,U3)</f>
        <v>0</v>
      </c>
    </row>
    <row r="30" spans="1:21" ht="43.5" customHeight="1" thickBot="1" x14ac:dyDescent="0.3">
      <c r="A30" s="940"/>
      <c r="B30" s="123"/>
      <c r="C30" s="428"/>
      <c r="D30" s="428"/>
      <c r="E30" s="915"/>
      <c r="F30" s="124"/>
      <c r="G30" s="93">
        <f t="shared" si="0"/>
        <v>0</v>
      </c>
      <c r="H30" s="92">
        <f t="shared" si="1"/>
        <v>0</v>
      </c>
      <c r="I30" s="125">
        <v>0</v>
      </c>
      <c r="J30" s="125">
        <v>0</v>
      </c>
      <c r="K30" s="126">
        <v>0</v>
      </c>
      <c r="L30" s="126">
        <v>0</v>
      </c>
      <c r="M30" s="127"/>
      <c r="N30" s="917"/>
      <c r="O30" s="190">
        <f>SUMIFS([1]اردیبهشت!$AD$2:$AD$805,[1]اردیبهشت!$N$2:$N$805,$C$29,[1]اردیبهشت!$D$2:$D$805,$F$30,[1]اردیبهشت!$AA$2:$AA$805,O3)</f>
        <v>0</v>
      </c>
      <c r="P30" s="191">
        <f>SUMIFS([1]اردیبهشت!$AD$2:$AD$600,[1]اردیبهشت!$N$2:$N$600,$C$29,[1]اردیبهشت!$D$2:$D$600,$F$30,[1]اردیبهشت!$AA$2:$AA$600,P3)</f>
        <v>0</v>
      </c>
      <c r="Q30" s="191">
        <f>SUMIFS([1]اردیبهشت!$AD$2:$AD$600,[1]اردیبهشت!$N$2:$N$600,$C$29,[1]اردیبهشت!$D$2:$D$600,$F$30,[1]اردیبهشت!$AA$2:$AA$600,Q3)</f>
        <v>0</v>
      </c>
      <c r="R30" s="191">
        <f>SUMIFS([1]اردیبهشت!$AD$2:$AD$600,[1]اردیبهشت!$N$2:$N$600,$C$29,[1]اردیبهشت!$D$2:$D$600,$F$30,[1]اردیبهشت!$AA$2:$AA$600,R3)</f>
        <v>0</v>
      </c>
      <c r="S30" s="191">
        <f>SUMIFS([1]اردیبهشت!$AD$2:$AD$600,[1]اردیبهشت!$N$2:$N$600,$C$29,[1]اردیبهشت!$D$2:$D$600,$F$30,[1]اردیبهشت!$AA$2:$AA$600,S3)</f>
        <v>0</v>
      </c>
      <c r="T30" s="191">
        <f>SUMIFS([1]اردیبهشت!$AD$2:$AD$600,[1]اردیبهشت!$N$2:$N$600,$C$29,[1]اردیبهشت!$D$2:$D$600,$F$30,[1]اردیبهشت!$AA$2:$AA$600,T3)</f>
        <v>0</v>
      </c>
      <c r="U30" s="114">
        <f>SUMIFS([1]خرداد!$AF$2:$AF$700,[1]خرداد!$O$2:$O$700,7101,[1]خرداد!$D$2:$D$700,$F$4,[1]خرداد!$AC$2:$AC$700,U29)</f>
        <v>0</v>
      </c>
    </row>
    <row r="31" spans="1:21" ht="43.5" customHeight="1" x14ac:dyDescent="0.25">
      <c r="A31" s="912">
        <v>15</v>
      </c>
      <c r="B31" s="83" t="s">
        <v>26</v>
      </c>
      <c r="C31" s="427">
        <v>7602</v>
      </c>
      <c r="D31" s="427">
        <v>72</v>
      </c>
      <c r="E31" s="914" t="s">
        <v>15</v>
      </c>
      <c r="F31" s="84" t="s">
        <v>27</v>
      </c>
      <c r="G31" s="9">
        <f t="shared" si="0"/>
        <v>48</v>
      </c>
      <c r="H31" s="46">
        <f t="shared" si="1"/>
        <v>0</v>
      </c>
      <c r="I31" s="85">
        <v>1</v>
      </c>
      <c r="J31" s="85">
        <v>0</v>
      </c>
      <c r="K31" s="85">
        <v>0</v>
      </c>
      <c r="L31" s="85">
        <v>0</v>
      </c>
      <c r="M31" s="87">
        <f>(J31+J32+I32+I31+H31+H32+G32+G31)-D31</f>
        <v>-23</v>
      </c>
      <c r="N31" s="916" t="s">
        <v>29</v>
      </c>
      <c r="O31" s="165">
        <f>SUMIFS([1]خرداد!$AF$2:$AF$805,[1]خرداد!$O$2:$O$805,7602,[1]خرداد!$D$2:$D$805,$F$31,[1]خرداد!$AC$2:$AC$805,O3)</f>
        <v>12</v>
      </c>
      <c r="P31" s="169">
        <f>SUMIFS([1]خرداد!$AF$2:$AF$805,[1]خرداد!$O$2:$O$805,7602,[1]خرداد!$D$2:$D$805,$F$31,[1]خرداد!$AC$2:$AC$805,P3)</f>
        <v>12</v>
      </c>
      <c r="Q31" s="169">
        <f>SUMIFS([1]خرداد!$AF$2:$AF$805,[1]خرداد!$O$2:$O$805,7602,[1]خرداد!$D$2:$D$805,$F$31,[1]خرداد!$AC$2:$AC$805,Q3)</f>
        <v>0</v>
      </c>
      <c r="R31" s="169">
        <f>SUMIFS([1]خرداد!$AF$2:$AF$805,[1]خرداد!$O$2:$O$805,7602,[1]خرداد!$D$2:$D$805,$F$31,[1]خرداد!$AC$2:$AC$805,R3)</f>
        <v>8</v>
      </c>
      <c r="S31" s="169">
        <f>SUMIFS([1]خرداد!$AF$2:$AF$805,[1]خرداد!$O$2:$O$805,7602,[1]خرداد!$D$2:$D$805,$F$31,[1]خرداد!$AC$2:$AC$805,S3)</f>
        <v>12</v>
      </c>
      <c r="T31" s="169">
        <f>SUMIFS([1]خرداد!$AF$2:$AF$805,[1]خرداد!$O$2:$O$805,7602,[1]خرداد!$D$2:$D$805,$F$31,[1]خرداد!$AC$2:$AC$805,T3)</f>
        <v>4</v>
      </c>
      <c r="U31" s="170">
        <f>SUMIFS([1]خرداد!$AF$2:$AF$805,[1]خرداد!$O$2:$O$805,7602,[1]خرداد!$D$2:$D$805,$F$31,[1]خرداد!$AC$2:$AC$805,U3)</f>
        <v>0</v>
      </c>
    </row>
    <row r="32" spans="1:21" ht="43.5" customHeight="1" thickBot="1" x14ac:dyDescent="0.3">
      <c r="A32" s="913"/>
      <c r="B32" s="123"/>
      <c r="C32" s="428"/>
      <c r="D32" s="428"/>
      <c r="E32" s="915"/>
      <c r="F32" s="124"/>
      <c r="G32" s="6">
        <f t="shared" si="0"/>
        <v>0</v>
      </c>
      <c r="H32" s="64">
        <f t="shared" si="1"/>
        <v>0</v>
      </c>
      <c r="I32" s="125">
        <v>0</v>
      </c>
      <c r="J32" s="125">
        <v>0</v>
      </c>
      <c r="K32" s="126">
        <v>0</v>
      </c>
      <c r="L32" s="126">
        <v>0</v>
      </c>
      <c r="M32" s="127"/>
      <c r="N32" s="917"/>
      <c r="O32" s="167">
        <f>SUMIFS([1]اردیبهشت!$AD$2:$AD$805,[1]اردیبهشت!$N$2:$N$805,$C$31,[1]اردیبهشت!$D$2:$D$805,$F$32,[1]اردیبهشت!$AA$2:$AA$805,O3)</f>
        <v>0</v>
      </c>
      <c r="P32" s="175">
        <f>SUMIFS([1]اردیبهشت!$AD$2:$AD$600,[1]اردیبهشت!$N$2:$N$600,$C$31,[1]اردیبهشت!$D$2:$D$600,$F$32,[1]اردیبهشت!$AA$2:$AA$600,P3)</f>
        <v>0</v>
      </c>
      <c r="Q32" s="175">
        <f>SUMIFS([1]اردیبهشت!$AD$2:$AD$600,[1]اردیبهشت!$N$2:$N$600,$C$31,[1]اردیبهشت!$D$2:$D$600,$F$32,[1]اردیبهشت!$AA$2:$AA$600,Q3)</f>
        <v>0</v>
      </c>
      <c r="R32" s="175">
        <f>SUMIFS([1]اردیبهشت!$AD$2:$AD$600,[1]اردیبهشت!$N$2:$N$600,$C$31,[1]اردیبهشت!$D$2:$D$600,$F$32,[1]اردیبهشت!$AA$2:$AA$600,R3)</f>
        <v>0</v>
      </c>
      <c r="S32" s="175">
        <f>SUMIFS([1]اردیبهشت!$AD$2:$AD$600,[1]اردیبهشت!$N$2:$N$600,$C$31,[1]اردیبهشت!$D$2:$D$600,$F$32,[1]اردیبهشت!$AA$2:$AA$600,S3)</f>
        <v>0</v>
      </c>
      <c r="T32" s="175">
        <f>SUMIFS([1]اردیبهشت!$AD$2:$AD$600,[1]اردیبهشت!$N$2:$N$600,$C$31,[1]اردیبهشت!$D$2:$D$600,$F$32,[1]اردیبهشت!$AA$2:$AA$600,T3)</f>
        <v>0</v>
      </c>
      <c r="U32" s="114">
        <f>SUMIFS([1]خرداد!$AF$2:$AF$700,[1]خرداد!$O$2:$O$700,7101,[1]خرداد!$D$2:$D$700,$F$4,[1]خرداد!$AC$2:$AC$700,U31)</f>
        <v>0</v>
      </c>
    </row>
    <row r="33" spans="1:21" ht="42.75" customHeight="1" x14ac:dyDescent="0.25">
      <c r="A33" s="912">
        <v>16</v>
      </c>
      <c r="B33" s="432" t="s">
        <v>26</v>
      </c>
      <c r="C33" s="434">
        <v>7603</v>
      </c>
      <c r="D33" s="434">
        <v>72</v>
      </c>
      <c r="E33" s="943" t="s">
        <v>15</v>
      </c>
      <c r="F33" s="84" t="s">
        <v>27</v>
      </c>
      <c r="G33" s="9">
        <f t="shared" si="0"/>
        <v>38</v>
      </c>
      <c r="H33" s="46">
        <f t="shared" si="1"/>
        <v>0</v>
      </c>
      <c r="I33" s="9">
        <v>1</v>
      </c>
      <c r="J33" s="9">
        <v>0</v>
      </c>
      <c r="K33" s="9">
        <v>0</v>
      </c>
      <c r="L33" s="9">
        <v>0</v>
      </c>
      <c r="M33" s="23">
        <f>(J33+J34+I34+I33+H33+H34+G34+G33+L33+L34)-D33</f>
        <v>-33</v>
      </c>
      <c r="N33" s="945" t="s">
        <v>29</v>
      </c>
      <c r="O33" s="165">
        <f>SUMIFS([1]خرداد!$AF$2:$AF$805,[1]خرداد!$O$2:$O$805,7603,[1]خرداد!$D$2:$D$805,$F$33,[1]خرداد!$AC$2:$AC$805,O3)</f>
        <v>2</v>
      </c>
      <c r="P33" s="169">
        <f>SUMIFS([1]خرداد!$AF$2:$AF$805,[1]خرداد!$O$2:$O$805,7603,[1]خرداد!$D$2:$D$805,$F$33,[1]خرداد!$AC$2:$AC$805,P3)</f>
        <v>9</v>
      </c>
      <c r="Q33" s="169">
        <f>SUMIFS([1]خرداد!$AF$2:$AF$805,[1]خرداد!$O$2:$O$805,7603,[1]خرداد!$D$2:$D$805,$F$33,[1]خرداد!$AC$2:$AC$805,Q3)</f>
        <v>0</v>
      </c>
      <c r="R33" s="169">
        <f>SUMIFS([1]خرداد!$AF$2:$AF$805,[1]خرداد!$O$2:$O$805,7603,[1]خرداد!$D$2:$D$805,$F$33,[1]خرداد!$AC$2:$AC$805,R3)</f>
        <v>10</v>
      </c>
      <c r="S33" s="169">
        <f>SUMIFS([1]خرداد!$AF$2:$AF$805,[1]خرداد!$O$2:$O$805,7603,[1]خرداد!$D$2:$D$805,$F$33,[1]خرداد!$AC$2:$AC$805,S3)</f>
        <v>9</v>
      </c>
      <c r="T33" s="169">
        <f>SUMIFS([1]خرداد!$AF$2:$AF$805,[1]خرداد!$O$2:$O$805,7603,[1]خرداد!$D$2:$D$805,$F$33,[1]خرداد!$AC$2:$AC$805,T3)</f>
        <v>8</v>
      </c>
      <c r="U33" s="170">
        <f>SUMIFS([1]خرداد!$AF$2:$AF$805,[1]خرداد!$O$2:$O$805,7603,[1]خرداد!$D$2:$D$805,$F$33,[1]خرداد!$AC$2:$AC$805,U3)</f>
        <v>0</v>
      </c>
    </row>
    <row r="34" spans="1:21" ht="42.75" customHeight="1" thickBot="1" x14ac:dyDescent="0.3">
      <c r="A34" s="942"/>
      <c r="B34" s="433"/>
      <c r="C34" s="437"/>
      <c r="D34" s="437"/>
      <c r="E34" s="944"/>
      <c r="F34" s="5"/>
      <c r="G34" s="1">
        <f t="shared" si="0"/>
        <v>0</v>
      </c>
      <c r="H34" s="49">
        <f t="shared" si="1"/>
        <v>0</v>
      </c>
      <c r="I34" s="7">
        <v>0</v>
      </c>
      <c r="J34" s="7">
        <v>0</v>
      </c>
      <c r="K34" s="6">
        <v>0</v>
      </c>
      <c r="L34" s="6">
        <v>0</v>
      </c>
      <c r="M34" s="8"/>
      <c r="N34" s="946"/>
      <c r="O34" s="171">
        <f>SUMIFS([1]اردیبهشت!$AD$2:$AD$805,[1]اردیبهشت!$N$2:$N$805,$C$33,[1]اردیبهشت!$D$2:$D$805,$F$34,[1]اردیبهشت!$AA$2:$AA$805,O3)</f>
        <v>0</v>
      </c>
      <c r="P34" s="172">
        <f>SUMIFS([1]اردیبهشت!$AD$2:$AD$600,[1]اردیبهشت!$N$2:$N$600,$C$33,[1]اردیبهشت!$D$2:$D$600,$F$34,[1]اردیبهشت!$AA$2:$AA$600,P3)</f>
        <v>0</v>
      </c>
      <c r="Q34" s="172">
        <f>SUMIFS([1]اردیبهشت!$AD$2:$AD$600,[1]اردیبهشت!$N$2:$N$600,$C$33,[1]اردیبهشت!$D$2:$D$600,$F$34,[1]اردیبهشت!$AA$2:$AA$600,Q3)</f>
        <v>0</v>
      </c>
      <c r="R34" s="172">
        <f>SUMIFS([1]اردیبهشت!$AD$2:$AD$600,[1]اردیبهشت!$N$2:$N$600,$C$33,[1]اردیبهشت!$D$2:$D$600,$F$34,[1]اردیبهشت!$AA$2:$AA$600,R3)</f>
        <v>0</v>
      </c>
      <c r="S34" s="172">
        <f>SUMIFS([1]اردیبهشت!$AD$2:$AD$600,[1]اردیبهشت!$N$2:$N$600,$C$33,[1]اردیبهشت!$D$2:$D$600,$F$34,[1]اردیبهشت!$AA$2:$AA$600,S3)</f>
        <v>0</v>
      </c>
      <c r="T34" s="172">
        <f>SUMIFS([1]اردیبهشت!$AD$2:$AD$600,[1]اردیبهشت!$N$2:$N$600,$C$33,[1]اردیبهشت!$D$2:$D$600,$F$34,[1]اردیبهشت!$AA$2:$AA$600,T3)</f>
        <v>0</v>
      </c>
      <c r="U34" s="109">
        <f>SUMIFS([1]خرداد!$AF$2:$AF$700,[1]خرداد!$O$2:$O$700,7101,[1]خرداد!$D$2:$D$700,$F$4,[1]خرداد!$AC$2:$AC$700,U33)</f>
        <v>0</v>
      </c>
    </row>
    <row r="35" spans="1:21" ht="42.75" customHeight="1" x14ac:dyDescent="0.25">
      <c r="A35" s="912">
        <v>17</v>
      </c>
      <c r="B35" s="81" t="s">
        <v>26</v>
      </c>
      <c r="C35" s="90">
        <v>7604</v>
      </c>
      <c r="D35" s="439">
        <v>72</v>
      </c>
      <c r="E35" s="947" t="s">
        <v>19</v>
      </c>
      <c r="F35" s="79"/>
      <c r="G35" s="9" t="s">
        <v>83</v>
      </c>
      <c r="H35" s="46">
        <f t="shared" si="1"/>
        <v>0</v>
      </c>
      <c r="I35" s="80">
        <v>0</v>
      </c>
      <c r="J35" s="80">
        <v>72</v>
      </c>
      <c r="K35" s="80">
        <v>0</v>
      </c>
      <c r="L35" s="80">
        <v>0</v>
      </c>
      <c r="M35" s="60"/>
      <c r="N35" s="949" t="s">
        <v>28</v>
      </c>
      <c r="O35" s="390"/>
      <c r="P35" s="204"/>
      <c r="Q35" s="204"/>
      <c r="R35" s="204"/>
      <c r="S35" s="204"/>
      <c r="T35" s="204"/>
      <c r="U35" s="116"/>
    </row>
    <row r="36" spans="1:21" ht="42.75" customHeight="1" thickBot="1" x14ac:dyDescent="0.3">
      <c r="A36" s="913"/>
      <c r="B36" s="445"/>
      <c r="C36" s="309"/>
      <c r="D36" s="436"/>
      <c r="E36" s="948"/>
      <c r="F36" s="24"/>
      <c r="G36" s="1">
        <f t="shared" si="0"/>
        <v>0</v>
      </c>
      <c r="H36" s="49">
        <f t="shared" si="1"/>
        <v>0</v>
      </c>
      <c r="I36" s="25">
        <v>0</v>
      </c>
      <c r="J36" s="25">
        <v>0</v>
      </c>
      <c r="K36" s="4">
        <v>0</v>
      </c>
      <c r="L36" s="4">
        <v>0</v>
      </c>
      <c r="M36" s="60"/>
      <c r="N36" s="950"/>
      <c r="O36" s="391"/>
      <c r="P36" s="194"/>
      <c r="Q36" s="194"/>
      <c r="R36" s="194"/>
      <c r="S36" s="194"/>
      <c r="T36" s="194"/>
      <c r="U36" s="117"/>
    </row>
    <row r="37" spans="1:21" ht="42.75" customHeight="1" x14ac:dyDescent="0.25">
      <c r="A37" s="954">
        <v>18</v>
      </c>
      <c r="B37" s="83" t="s">
        <v>26</v>
      </c>
      <c r="C37" s="427">
        <v>7605</v>
      </c>
      <c r="D37" s="427">
        <v>72</v>
      </c>
      <c r="E37" s="914" t="s">
        <v>15</v>
      </c>
      <c r="F37" s="84" t="s">
        <v>27</v>
      </c>
      <c r="G37" s="85">
        <f t="shared" si="0"/>
        <v>46</v>
      </c>
      <c r="H37" s="86">
        <f t="shared" si="1"/>
        <v>0</v>
      </c>
      <c r="I37" s="85">
        <v>0</v>
      </c>
      <c r="J37" s="85">
        <v>0</v>
      </c>
      <c r="K37" s="85">
        <v>0</v>
      </c>
      <c r="L37" s="153">
        <v>0</v>
      </c>
      <c r="M37" s="87">
        <f>(G37+H37+I37+J37+K37+L37)-D37</f>
        <v>-26</v>
      </c>
      <c r="N37" s="955" t="s">
        <v>28</v>
      </c>
      <c r="O37" s="187">
        <f>SUMIFS([1]خرداد!$AF$2:$AF$805,[1]خرداد!$O$2:$O$805,7605,[1]خرداد!$D$2:$D$805,$F$37,[1]خرداد!$AC$2:$AC$805,O3)</f>
        <v>4</v>
      </c>
      <c r="P37" s="188">
        <f>SUMIFS([1]خرداد!$AF$2:$AF$805,[1]خرداد!$O$2:$O$805,7605,[1]خرداد!$D$2:$D$805,$F$37,[1]خرداد!$AC$2:$AC$805,P3)</f>
        <v>12</v>
      </c>
      <c r="Q37" s="188">
        <f>SUMIFS([1]خرداد!$AF$2:$AF$805,[1]خرداد!$O$2:$O$805,7605,[1]خرداد!$D$2:$D$805,$F$37,[1]خرداد!$AC$2:$AC$805,Q3)</f>
        <v>0</v>
      </c>
      <c r="R37" s="188">
        <f>SUMIFS([1]خرداد!$AF$2:$AF$805,[1]خرداد!$O$2:$O$805,7605,[1]خرداد!$D$2:$D$805,$F$37,[1]خرداد!$AC$2:$AC$805,R3)</f>
        <v>10</v>
      </c>
      <c r="S37" s="188">
        <f>SUMIFS([1]خرداد!$AF$2:$AF$805,[1]خرداد!$O$2:$O$805,7605,[1]خرداد!$D$2:$D$805,$F$37,[1]خرداد!$AC$2:$AC$805,S3)</f>
        <v>12</v>
      </c>
      <c r="T37" s="188">
        <f>SUMIFS([1]خرداد!$AF$2:$AF$805,[1]خرداد!$O$2:$O$805,7605,[1]خرداد!$D$2:$D$805,$F$37,[1]خرداد!$AC$2:$AC$805,T3)</f>
        <v>8</v>
      </c>
      <c r="U37" s="189">
        <f>SUMIFS([1]خرداد!$AF$2:$AF$805,[1]خرداد!$O$2:$O$805,7605,[1]خرداد!$D$2:$D$805,$F$37,[1]خرداد!$AC$2:$AC$805,U3)</f>
        <v>0</v>
      </c>
    </row>
    <row r="38" spans="1:21" ht="42.75" customHeight="1" thickBot="1" x14ac:dyDescent="0.3">
      <c r="A38" s="942"/>
      <c r="B38" s="123"/>
      <c r="C38" s="428"/>
      <c r="D38" s="428"/>
      <c r="E38" s="915"/>
      <c r="F38" s="124"/>
      <c r="G38" s="93">
        <f t="shared" si="0"/>
        <v>0</v>
      </c>
      <c r="H38" s="92">
        <f t="shared" si="1"/>
        <v>0</v>
      </c>
      <c r="I38" s="125">
        <v>0</v>
      </c>
      <c r="J38" s="125">
        <v>0</v>
      </c>
      <c r="K38" s="126">
        <v>0</v>
      </c>
      <c r="L38" s="126">
        <v>0</v>
      </c>
      <c r="M38" s="154"/>
      <c r="N38" s="917"/>
      <c r="O38" s="190">
        <f>SUMIFS([1]اردیبهشت!$AD$2:$AD$805,[1]اردیبهشت!$N$2:$N$805,$C$37,[1]اردیبهشت!$D$2:$D$805,$F$38,[1]اردیبهشت!$AA$2:$AA$805,O3)</f>
        <v>0</v>
      </c>
      <c r="P38" s="191">
        <f>SUMIFS([1]اردیبهشت!$AD$2:$AD$600,[1]اردیبهشت!$N$2:$N$600,$C$37,[1]اردیبهشت!$D$2:$D$600,$F$38,[1]اردیبهشت!$AA$2:$AA$600,P3)</f>
        <v>0</v>
      </c>
      <c r="Q38" s="191">
        <f>SUMIFS([1]اردیبهشت!$AD$2:$AD$600,[1]اردیبهشت!$N$2:$N$600,$C$37,[1]اردیبهشت!$D$2:$D$600,$F$38,[1]اردیبهشت!$AA$2:$AA$600,Q3)</f>
        <v>0</v>
      </c>
      <c r="R38" s="191">
        <f>SUMIFS([1]اردیبهشت!$AD$2:$AD$600,[1]اردیبهشت!$N$2:$N$600,$C$37,[1]اردیبهشت!$D$2:$D$600,$F$38,[1]اردیبهشت!$AA$2:$AA$600,R3)</f>
        <v>0</v>
      </c>
      <c r="S38" s="191">
        <f>SUMIFS([1]اردیبهشت!$AD$2:$AD$600,[1]اردیبهشت!$N$2:$N$600,$C$37,[1]اردیبهشت!$D$2:$D$600,$F$38,[1]اردیبهشت!$AA$2:$AA$600,S3)</f>
        <v>0</v>
      </c>
      <c r="T38" s="191">
        <f>SUMIFS([1]اردیبهشت!$AD$2:$AD$600,[1]اردیبهشت!$N$2:$N$600,$C$37,[1]اردیبهشت!$D$2:$D$600,$F$38,[1]اردیبهشت!$AA$2:$AA$600,T3)</f>
        <v>0</v>
      </c>
      <c r="U38" s="115">
        <f>SUMIFS([1]اردیبهشت!$AD$2:$AD$600,[1]اردیبهشت!$N$2:$N$600,$C$37,[1]اردیبهشت!$D$2:$D$600,$F$38,[1]اردیبهشت!$AA$2:$AA$600,U3)</f>
        <v>0</v>
      </c>
    </row>
    <row r="39" spans="1:21" ht="39" customHeight="1" x14ac:dyDescent="0.25">
      <c r="A39" s="446"/>
      <c r="B39" s="307"/>
      <c r="C39" s="434"/>
      <c r="D39" s="434"/>
      <c r="E39" s="932" t="s">
        <v>15</v>
      </c>
      <c r="F39" s="84" t="s">
        <v>27</v>
      </c>
      <c r="G39" s="9">
        <f t="shared" si="0"/>
        <v>7</v>
      </c>
      <c r="H39" s="46">
        <f t="shared" si="1"/>
        <v>0</v>
      </c>
      <c r="I39" s="9">
        <v>0</v>
      </c>
      <c r="J39" s="9">
        <v>0</v>
      </c>
      <c r="K39" s="9">
        <v>0</v>
      </c>
      <c r="L39" s="9">
        <v>0</v>
      </c>
      <c r="M39" s="28"/>
      <c r="N39" s="945" t="s">
        <v>13</v>
      </c>
      <c r="O39" s="165">
        <f>SUMIFS([1]خرداد!$AF$2:$AF$805,[1]خرداد!$O$2:$O$805,7701,[1]خرداد!$D$2:$D$805,$F$39,[1]خرداد!$AC$2:$AC$805,O3)</f>
        <v>0</v>
      </c>
      <c r="P39" s="169">
        <f>SUMIFS([1]خرداد!$AF$2:$AF$805,[1]خرداد!$O$2:$O$805,7701,[1]خرداد!$D$2:$D$805,$F$39,[1]خرداد!$AC$2:$AC$805,P3)</f>
        <v>0</v>
      </c>
      <c r="Q39" s="169">
        <f>SUMIFS([1]خرداد!$AF$2:$AF$805,[1]خرداد!$O$2:$O$805,7701,[1]خرداد!$D$2:$D$805,$F$39,[1]خرداد!$AC$2:$AC$805,Q3)</f>
        <v>0</v>
      </c>
      <c r="R39" s="169">
        <f>SUMIFS([1]خرداد!$AF$2:$AF$805,[1]خرداد!$O$2:$O$805,7701,[1]خرداد!$D$2:$D$805,$F$39,[1]خرداد!$AC$2:$AC$805,R3)</f>
        <v>0</v>
      </c>
      <c r="S39" s="169">
        <f>SUMIFS([1]خرداد!$AF$2:$AF$805,[1]خرداد!$O$2:$O$805,7701,[1]خرداد!$D$2:$D$805,$F$39,[1]خرداد!$AC$2:$AC$805,S3)</f>
        <v>7</v>
      </c>
      <c r="T39" s="169">
        <f>SUMIFS([1]خرداد!$AF$2:$AF$805,[1]خرداد!$O$2:$O$805,7701,[1]خرداد!$D$2:$D$805,$F$39,[1]خرداد!$AC$2:$AC$805,T3)</f>
        <v>0</v>
      </c>
      <c r="U39" s="170">
        <f>SUMIFS([1]خرداد!$AF$2:$AF$805,[1]خرداد!$O$2:$O$805,7701,[1]خرداد!$D$2:$D$805,$F$39,[1]خرداد!$AC$2:$AC$805,U3)</f>
        <v>0</v>
      </c>
    </row>
    <row r="40" spans="1:21" ht="39" customHeight="1" x14ac:dyDescent="0.25">
      <c r="A40" s="447">
        <v>19</v>
      </c>
      <c r="B40" s="308" t="s">
        <v>30</v>
      </c>
      <c r="C40" s="435">
        <v>7701</v>
      </c>
      <c r="D40" s="435">
        <v>62.5</v>
      </c>
      <c r="E40" s="933"/>
      <c r="F40" s="29"/>
      <c r="G40" s="3">
        <f t="shared" si="0"/>
        <v>0</v>
      </c>
      <c r="H40" s="47">
        <f t="shared" si="1"/>
        <v>0</v>
      </c>
      <c r="I40" s="3">
        <v>0</v>
      </c>
      <c r="J40" s="25">
        <v>0</v>
      </c>
      <c r="K40" s="25">
        <v>0</v>
      </c>
      <c r="L40" s="70">
        <v>0</v>
      </c>
      <c r="M40" s="4">
        <f>(J39+J40+J41+I41+I40+I39+H39+H40+H41+G41+G40+G39)-D40</f>
        <v>-55.5</v>
      </c>
      <c r="N40" s="956"/>
      <c r="O40" s="166">
        <f>SUMIFS([1]اردیبهشت!$AD$2:$AD$805,[1]اردیبهشت!$N$2:$N$805,$C$40,[1]اردیبهشت!$D$2:$D$805,$F$40,[1]اردیبهشت!$AA$2:$AA$805,O3)</f>
        <v>0</v>
      </c>
      <c r="P40" s="168">
        <f>SUMIFS([1]اردیبهشت!$AD$2:$AD$805,[1]اردیبهشت!$N$2:$N$805,$C$40,[1]اردیبهشت!$D$2:$D$805,$F$40,[1]اردیبهشت!$AA$2:$AA$805,P3)</f>
        <v>0</v>
      </c>
      <c r="Q40" s="168">
        <f>SUMIFS([1]اردیبهشت!$AD$2:$AD$805,[1]اردیبهشت!$N$2:$N$805,$C$40,[1]اردیبهشت!$D$2:$D$805,$F$40,[1]اردیبهشت!$AA$2:$AA$805,Q3)</f>
        <v>0</v>
      </c>
      <c r="R40" s="168">
        <f>SUMIFS([1]اردیبهشت!$AD$2:$AD$805,[1]اردیبهشت!$N$2:$N$805,$C$40,[1]اردیبهشت!$D$2:$D$805,$F$40,[1]اردیبهشت!$AA$2:$AA$805,R3)</f>
        <v>0</v>
      </c>
      <c r="S40" s="168">
        <f>SUMIFS([1]اردیبهشت!$AD$2:$AD$805,[1]اردیبهشت!$N$2:$N$805,$C$40,[1]اردیبهشت!$D$2:$D$805,$F$40,[1]اردیبهشت!$AA$2:$AA$805,S3)</f>
        <v>0</v>
      </c>
      <c r="T40" s="168">
        <f>SUMIFS([1]اردیبهشت!$AD$2:$AD$805,[1]اردیبهشت!$N$2:$N$805,$C$40,[1]اردیبهشت!$D$2:$D$805,$F$40,[1]اردیبهشت!$AA$2:$AA$805,T3)</f>
        <v>0</v>
      </c>
      <c r="U40" s="108">
        <f>SUMIFS([1]اردیبهشت!$AD$2:$AD$600,[1]اردیبهشت!$N$2:$N$600,$C$40,[1]اردیبهشت!$D$2:$D$600,$F$40,[1]اردیبهشت!$AA$2:$AA$600,U3)</f>
        <v>0</v>
      </c>
    </row>
    <row r="41" spans="1:21" ht="39" customHeight="1" thickBot="1" x14ac:dyDescent="0.3">
      <c r="A41" s="448"/>
      <c r="B41" s="310"/>
      <c r="C41" s="437"/>
      <c r="D41" s="437"/>
      <c r="E41" s="934"/>
      <c r="F41" s="30"/>
      <c r="G41" s="1">
        <f t="shared" si="0"/>
        <v>0</v>
      </c>
      <c r="H41" s="49">
        <f t="shared" si="1"/>
        <v>0</v>
      </c>
      <c r="I41" s="7">
        <v>0</v>
      </c>
      <c r="J41" s="7">
        <v>0</v>
      </c>
      <c r="K41" s="7">
        <v>0</v>
      </c>
      <c r="L41" s="7">
        <v>0</v>
      </c>
      <c r="M41" s="8"/>
      <c r="N41" s="946"/>
      <c r="O41" s="167">
        <f>SUMIFS([1]اردیبهشت!$AD$2:$AD$805,[1]اردیبهشت!$N$2:$N$805,$C$40,[1]اردیبهشت!$D$2:$D$805,$F$41,[1]اردیبهشت!$AA$2:$AA$805,O3)</f>
        <v>0</v>
      </c>
      <c r="P41" s="175">
        <f>SUMIFS([1]اردیبهشت!$AD$2:$AD$805,[1]اردیبهشت!$N$2:$N$805,$C$40,[1]اردیبهشت!$D$2:$D$805,$F$41,[1]اردیبهشت!$AA$2:$AA$805,P3)</f>
        <v>0</v>
      </c>
      <c r="Q41" s="175">
        <f>SUMIFS([1]اردیبهشت!$AD$2:$AD$805,[1]اردیبهشت!$N$2:$N$805,$C$40,[1]اردیبهشت!$D$2:$D$805,$F$41,[1]اردیبهشت!$AA$2:$AA$805,Q3)</f>
        <v>0</v>
      </c>
      <c r="R41" s="175">
        <f>SUMIFS([1]اردیبهشت!$AD$2:$AD$805,[1]اردیبهشت!$N$2:$N$805,$C$40,[1]اردیبهشت!$D$2:$D$805,$F$41,[1]اردیبهشت!$AA$2:$AA$805,R3)</f>
        <v>0</v>
      </c>
      <c r="S41" s="175">
        <f>SUMIFS([1]اردیبهشت!$AD$2:$AD$805,[1]اردیبهشت!$N$2:$N$805,$C$40,[1]اردیبهشت!$D$2:$D$805,$F$41,[1]اردیبهشت!$AA$2:$AA$805,S3)</f>
        <v>0</v>
      </c>
      <c r="T41" s="175">
        <f>SUMIFS([1]اردیبهشت!$AD$2:$AD$805,[1]اردیبهشت!$N$2:$N$805,$C$40,[1]اردیبهشت!$D$2:$D$805,$F$41,[1]اردیبهشت!$AA$2:$AA$805,T3)</f>
        <v>0</v>
      </c>
      <c r="U41" s="114">
        <f>SUMIFS([1]اردیبهشت!$AD$2:$AD$600,[1]اردیبهشت!$N$2:$N$600,$C$40,[1]اردیبهشت!$D$2:$D$600,$F$41,[1]اردیبهشت!$AA$2:$AA$600,U3)</f>
        <v>0</v>
      </c>
    </row>
    <row r="42" spans="1:21" ht="39" customHeight="1" thickBot="1" x14ac:dyDescent="0.3">
      <c r="A42" s="448">
        <v>20</v>
      </c>
      <c r="B42" s="216" t="s">
        <v>63</v>
      </c>
      <c r="C42" s="438">
        <v>8001</v>
      </c>
      <c r="D42" s="438">
        <v>62.5</v>
      </c>
      <c r="E42" s="438" t="s">
        <v>15</v>
      </c>
      <c r="F42" s="29" t="s">
        <v>54</v>
      </c>
      <c r="G42" s="9">
        <f t="shared" si="0"/>
        <v>9</v>
      </c>
      <c r="H42" s="46">
        <f t="shared" si="1"/>
        <v>0</v>
      </c>
      <c r="I42" s="4">
        <v>0</v>
      </c>
      <c r="J42" s="4">
        <v>0</v>
      </c>
      <c r="K42" s="4">
        <v>0</v>
      </c>
      <c r="L42" s="4">
        <v>0</v>
      </c>
      <c r="M42" s="4">
        <f>SUM(G42:J42)-62</f>
        <v>-53</v>
      </c>
      <c r="N42" s="449" t="s">
        <v>31</v>
      </c>
      <c r="O42" s="179">
        <f>SUMIFS([1]خرداد!$AF$2:$AF$805,[1]خرداد!$O$2:$O$805,8001,[1]خرداد!$D$2:$D$805,"*",[1]خرداد!$AC$2:$AC$805,O3)</f>
        <v>3</v>
      </c>
      <c r="P42" s="186">
        <f>SUMIFS([1]خرداد!$AF$2:$AF$805,[1]خرداد!$O$2:$O$805,8001,[1]خرداد!$D$2:$D$805,$F$42,[1]خرداد!$AC$2:$AC$805,P3)</f>
        <v>2</v>
      </c>
      <c r="Q42" s="186">
        <f>SUMIFS([1]خرداد!$AF$2:$AF$805,[1]خرداد!$O$2:$O$805,8001,[1]خرداد!$D$2:$D$805,$F$42,[1]خرداد!$AC$2:$AC$805,Q3)</f>
        <v>0</v>
      </c>
      <c r="R42" s="186">
        <f>SUMIFS([1]خرداد!$AF$2:$AF$805,[1]خرداد!$O$2:$O$805,8001,[1]خرداد!$D$2:$D$805,$F$42,[1]خرداد!$AC$2:$AC$805,R3)</f>
        <v>2</v>
      </c>
      <c r="S42" s="186">
        <f>SUMIFS([1]خرداد!$AF$2:$AF$805,[1]خرداد!$O$2:$O$805,8001,[1]خرداد!$D$2:$D$805,$F$42,[1]خرداد!$AC$2:$AC$805,S3)</f>
        <v>0</v>
      </c>
      <c r="T42" s="186">
        <f>SUMIFS([1]خرداد!$AF$2:$AF$805,[1]خرداد!$O$2:$O$805,8001,[1]خرداد!$D$2:$D$805,$F$42,[1]خرداد!$AC$2:$AC$805,T3)</f>
        <v>2</v>
      </c>
      <c r="U42" s="423">
        <f>SUMIFS([1]خرداد!$AF$2:$AF$805,[1]خرداد!$O$2:$O$805,8001,[1]خرداد!$D$2:$D$805,$F$42,[1]خرداد!$AC$2:$AC$805,U3)</f>
        <v>0</v>
      </c>
    </row>
    <row r="43" spans="1:21" ht="38.25" customHeight="1" thickBot="1" x14ac:dyDescent="0.3">
      <c r="A43" s="45">
        <v>21</v>
      </c>
      <c r="B43" s="12" t="s">
        <v>32</v>
      </c>
      <c r="C43" s="13">
        <v>8002</v>
      </c>
      <c r="D43" s="13">
        <v>44</v>
      </c>
      <c r="E43" s="13" t="s">
        <v>15</v>
      </c>
      <c r="F43" s="31" t="s">
        <v>23</v>
      </c>
      <c r="G43" s="14">
        <f t="shared" si="0"/>
        <v>45</v>
      </c>
      <c r="H43" s="48">
        <f t="shared" si="1"/>
        <v>0</v>
      </c>
      <c r="I43" s="14">
        <v>0</v>
      </c>
      <c r="J43" s="14">
        <v>0</v>
      </c>
      <c r="K43" s="14">
        <v>0</v>
      </c>
      <c r="L43" s="14">
        <v>0</v>
      </c>
      <c r="M43" s="14">
        <f>SUM(G43:L43)-(D43)</f>
        <v>1</v>
      </c>
      <c r="N43" s="17" t="s">
        <v>29</v>
      </c>
      <c r="O43" s="179">
        <f>SUMIFS([1]خرداد!$AF$2:$AF$805,[1]خرداد!$O$2:$O$805,8002,[1]خرداد!$D$2:$D$805,$F$43,[1]خرداد!$AC$2:$AC$805,O3)</f>
        <v>7.5</v>
      </c>
      <c r="P43" s="186">
        <f>SUMIFS([1]خرداد!$AF$2:$AF$805,[1]خرداد!$O$2:$O$805,8002,[1]خرداد!$D$2:$D$805,$F$43,[1]خرداد!$AC$2:$AC$805,P3)</f>
        <v>7.5</v>
      </c>
      <c r="Q43" s="186">
        <f>SUMIFS([1]خرداد!$AF$2:$AF$805,[1]خرداد!$O$2:$O$805,8002,[1]خرداد!$D$2:$D$805,$F$43,[1]خرداد!$AC$2:$AC$805,Q3)</f>
        <v>7.5</v>
      </c>
      <c r="R43" s="186">
        <f>SUMIFS([1]خرداد!$AF$2:$AF$805,[1]خرداد!$O$2:$O$805,8002,[1]خرداد!$D$2:$D$805,$F$43,[1]خرداد!$AC$2:$AC$805,R3)</f>
        <v>7.5</v>
      </c>
      <c r="S43" s="186">
        <f>SUMIFS([1]خرداد!$AF$2:$AF$805,[1]خرداد!$O$2:$O$805,8002,[1]خرداد!$D$2:$D$805,$F$43,[1]خرداد!$AC$2:$AC$805,S3)</f>
        <v>7.5</v>
      </c>
      <c r="T43" s="186">
        <f>SUMIFS([1]خرداد!$AF$2:$AF$805,[1]خرداد!$O$2:$O$805,8002,[1]خرداد!$D$2:$D$805,$F$43,[1]خرداد!$AC$2:$AC$805,T3)</f>
        <v>7.5</v>
      </c>
      <c r="U43" s="423">
        <f>SUMIFS([1]خرداد!$AF$2:$AF$805,[1]خرداد!$O$2:$O$805,8002,[1]خرداد!$D$2:$D$805,$F$43,[1]خرداد!$AC$2:$AC$805,U3)</f>
        <v>0</v>
      </c>
    </row>
    <row r="44" spans="1:21" ht="36" customHeight="1" x14ac:dyDescent="0.25">
      <c r="A44" s="957">
        <v>22</v>
      </c>
      <c r="B44" s="961" t="s">
        <v>33</v>
      </c>
      <c r="C44" s="943" t="s">
        <v>33</v>
      </c>
      <c r="D44" s="932">
        <v>62.5</v>
      </c>
      <c r="E44" s="1002"/>
      <c r="F44" s="32" t="s">
        <v>16</v>
      </c>
      <c r="G44" s="9">
        <f t="shared" si="0"/>
        <v>37</v>
      </c>
      <c r="H44" s="46">
        <f t="shared" si="1"/>
        <v>3.5</v>
      </c>
      <c r="I44" s="9">
        <v>0</v>
      </c>
      <c r="J44" s="9">
        <v>0</v>
      </c>
      <c r="K44" s="9">
        <v>0</v>
      </c>
      <c r="L44" s="9">
        <v>0</v>
      </c>
      <c r="M44" s="9">
        <f>(SUM(G44:L44))-D44</f>
        <v>-22</v>
      </c>
      <c r="N44" s="33" t="s">
        <v>29</v>
      </c>
      <c r="O44" s="165">
        <f>SUMIFS([1]خرداد!$AF$2:$AF$805,[1]خرداد!$O$2:$O$805,"مونتاژ",[1]خرداد!$D$2:$D$805,$F$44,[1]خرداد!$AC$2:$AC$805,O3)</f>
        <v>4</v>
      </c>
      <c r="P44" s="169">
        <f>SUMIFS([1]خرداد!$AF$2:$AF$805,[1]خرداد!$O$2:$O$805,"مونتاژ",[1]خرداد!$D$2:$D$805,$F$44,[1]خرداد!$AC$2:$AC$805,P3)</f>
        <v>8</v>
      </c>
      <c r="Q44" s="169">
        <f>SUMIFS([1]خرداد!$AF$2:$AF$805,[1]خرداد!$O$2:$O$805,"مونتاژ",[1]خرداد!$D$2:$D$805,$F$44,[1]خرداد!$AC$2:$AC$805,Q3)</f>
        <v>8</v>
      </c>
      <c r="R44" s="169">
        <f>SUMIFS([1]خرداد!$AF$2:$AF$805,[1]خرداد!$O$2:$O$805,"مونتاژ",[1]خرداد!$D$2:$D$805,$F$44,[1]خرداد!$AC$2:$AC$805,R3)</f>
        <v>5</v>
      </c>
      <c r="S44" s="169">
        <f>SUMIFS([1]خرداد!$AF$2:$AF$805,[1]خرداد!$O$2:$O$805,"مونتاژ",[1]خرداد!$D$2:$D$805,$F$44,[1]خرداد!$AC$2:$AC$805,S3)</f>
        <v>9</v>
      </c>
      <c r="T44" s="169">
        <f>SUMIFS([1]خرداد!$AF$2:$AF$805,[1]خرداد!$O$2:$O$805,"مونتاژ",[1]خرداد!$D$2:$D$805,$F$44,[1]خرداد!$AC$2:$AC$805,T3)</f>
        <v>3</v>
      </c>
      <c r="U44" s="170">
        <f>SUMIFS([1]خرداد!$AF$2:$AF$805,[1]خرداد!$O$2:$O$805,"مونتاژ",[1]خرداد!$D$2:$D$805,$F$44,[1]خرداد!$AC$2:$AC$805,U3)</f>
        <v>3.5</v>
      </c>
    </row>
    <row r="45" spans="1:21" ht="36" customHeight="1" x14ac:dyDescent="0.25">
      <c r="A45" s="958"/>
      <c r="B45" s="962"/>
      <c r="C45" s="965"/>
      <c r="D45" s="933"/>
      <c r="E45" s="965"/>
      <c r="F45" s="29" t="s">
        <v>17</v>
      </c>
      <c r="G45" s="3">
        <f t="shared" si="0"/>
        <v>9</v>
      </c>
      <c r="H45" s="47">
        <f t="shared" si="1"/>
        <v>0</v>
      </c>
      <c r="I45" s="3">
        <v>0</v>
      </c>
      <c r="J45" s="3">
        <v>0</v>
      </c>
      <c r="K45" s="3">
        <v>0</v>
      </c>
      <c r="L45" s="3">
        <v>0</v>
      </c>
      <c r="M45" s="3">
        <f>(SUM(G45:L45))-D44</f>
        <v>-53.5</v>
      </c>
      <c r="N45" s="58"/>
      <c r="O45" s="166">
        <f>SUMIFS([1]خرداد!$AF$2:$AF$805,[1]خرداد!$O$2:$O$805,"مونتاژ",[1]خرداد!$D$2:$D$805,$F$45,[1]خرداد!$AC$2:$AC$805,O3)</f>
        <v>3</v>
      </c>
      <c r="P45" s="168">
        <f>SUMIFS([1]خرداد!$AF$2:$AF$805,[1]خرداد!$O$2:$O$805,"مونتاژ",[1]خرداد!$D$2:$D$805,$F$45,[1]خرداد!$AC$2:$AC$805,P3)</f>
        <v>6</v>
      </c>
      <c r="Q45" s="168">
        <f>SUMIFS([1]خرداد!$AF$2:$AF$805,[1]خرداد!$O$2:$O$805,"مونتاژ",[1]خرداد!$D$2:$D$805,$F$45,[1]خرداد!$AC$2:$AC$805,Q3)</f>
        <v>0</v>
      </c>
      <c r="R45" s="168">
        <f>SUMIFS([1]خرداد!$AF$2:$AF$805,[1]خرداد!$O$2:$O$805,"مونتاژ",[1]خرداد!$D$2:$D$805,$F$45,[1]خرداد!$AC$2:$AC$805,R3)</f>
        <v>0</v>
      </c>
      <c r="S45" s="168">
        <f>SUMIFS([1]خرداد!$AF$2:$AF$805,[1]خرداد!$O$2:$O$805,"مونتاژ",[1]خرداد!$D$2:$D$805,$F$45,[1]خرداد!$AC$2:$AC$805,S3)</f>
        <v>0</v>
      </c>
      <c r="T45" s="168">
        <f>SUMIFS([1]خرداد!$AF$2:$AF$805,[1]خرداد!$O$2:$O$805,"مونتاژ",[1]خرداد!$D$2:$D$805,$F$45,[1]خرداد!$AC$2:$AC$805,T3)</f>
        <v>0</v>
      </c>
      <c r="U45" s="424">
        <f>SUMIFS([1]خرداد!$AF$2:$AF$805,[1]خرداد!$O$2:$O$805,"مونتاژ",[1]خرداد!$D$2:$D$805,$F$45,[1]خرداد!$AC$2:$AC$805,U3)</f>
        <v>0</v>
      </c>
    </row>
    <row r="46" spans="1:21" ht="36" customHeight="1" x14ac:dyDescent="0.25">
      <c r="A46" s="959"/>
      <c r="B46" s="963"/>
      <c r="C46" s="966"/>
      <c r="D46" s="933"/>
      <c r="E46" s="966"/>
      <c r="F46" s="29" t="s">
        <v>54</v>
      </c>
      <c r="G46" s="3">
        <f t="shared" si="0"/>
        <v>36</v>
      </c>
      <c r="H46" s="47">
        <f t="shared" si="1"/>
        <v>0</v>
      </c>
      <c r="I46" s="3">
        <v>2</v>
      </c>
      <c r="J46" s="3">
        <v>0</v>
      </c>
      <c r="K46" s="3">
        <v>0</v>
      </c>
      <c r="L46" s="3">
        <v>0</v>
      </c>
      <c r="M46" s="3">
        <f>(SUM(G46:L46))-62</f>
        <v>-24</v>
      </c>
      <c r="N46" s="62" t="s">
        <v>29</v>
      </c>
      <c r="O46" s="166">
        <f>SUMIFS([1]خرداد!$AF$2:$AF$805,[1]خرداد!$O$2:$O$805,"مونتاژ",[1]خرداد!$D$2:$D$805,$F$46,[1]خرداد!$AC$2:$AC$805,O3)</f>
        <v>8</v>
      </c>
      <c r="P46" s="168">
        <f>SUMIFS([1]خرداد!$AF$2:$AF$805,[1]خرداد!$O$2:$O$805,"مونتاژ",[1]خرداد!$D$2:$D$805,$F$46,[1]خرداد!$AC$2:$AC$805,P3)</f>
        <v>7</v>
      </c>
      <c r="Q46" s="168">
        <f>SUMIFS([1]خرداد!$AF$2:$AF$805,[1]خرداد!$O$2:$O$805,"مونتاژ",[1]خرداد!$D$2:$D$805,$F$46,[1]خرداد!$AC$2:$AC$805,Q3)</f>
        <v>6</v>
      </c>
      <c r="R46" s="168">
        <f>SUMIFS([1]خرداد!$AF$2:$AF$805,[1]خرداد!$O$2:$O$805,"مونتاژ",[1]خرداد!$D$2:$D$805,$F$46,[1]خرداد!$AC$2:$AC$805,R3)</f>
        <v>4</v>
      </c>
      <c r="S46" s="168">
        <f>SUMIFS([1]خرداد!$AF$2:$AF$805,[1]خرداد!$O$2:$O$805,"مونتاژ",[1]خرداد!$D$2:$D$805,$F$46,[1]خرداد!$AC$2:$AC$805,S3)</f>
        <v>9</v>
      </c>
      <c r="T46" s="168">
        <f>SUMIFS([1]خرداد!$AF$2:$AF$805,[1]خرداد!$O$2:$O$805,"مونتاژ",[1]خرداد!$D$2:$D$805,$F$46,[1]خرداد!$AC$2:$AC$805,T3)</f>
        <v>2</v>
      </c>
      <c r="U46" s="424">
        <f>SUMIFS([1]خرداد!$AF$2:$AF$805,[1]خرداد!$O$2:$O$805,"مونتاژ",[1]خرداد!$D$2:$D$805,$F$46,[1]خرداد!$AC$2:$AC$805,U3)</f>
        <v>0</v>
      </c>
    </row>
    <row r="47" spans="1:21" ht="36" customHeight="1" thickBot="1" x14ac:dyDescent="0.3">
      <c r="A47" s="960"/>
      <c r="B47" s="964"/>
      <c r="C47" s="944"/>
      <c r="D47" s="934"/>
      <c r="E47" s="944"/>
      <c r="F47" s="30" t="s">
        <v>55</v>
      </c>
      <c r="G47" s="6">
        <f t="shared" si="0"/>
        <v>34</v>
      </c>
      <c r="H47" s="64">
        <f t="shared" si="1"/>
        <v>0</v>
      </c>
      <c r="I47" s="7">
        <v>0</v>
      </c>
      <c r="J47" s="7">
        <v>0</v>
      </c>
      <c r="K47" s="7">
        <v>0</v>
      </c>
      <c r="L47" s="7">
        <v>0</v>
      </c>
      <c r="M47" s="7">
        <f>SUM(G47:J47)-62</f>
        <v>-28</v>
      </c>
      <c r="N47" s="34"/>
      <c r="O47" s="167">
        <f>SUMIFS([1]خرداد!$AF$2:$AF$805,[1]خرداد!$O$2:$O$805,"مونتاژ",[1]خرداد!$D$2:$D$805,$F$47,[1]خرداد!$AC$2:$AC$805,O3)</f>
        <v>9</v>
      </c>
      <c r="P47" s="175">
        <f>SUMIFS([1]خرداد!$AF$2:$AF$805,[1]خرداد!$O$2:$O$805,"مونتاژ",[1]خرداد!$D$2:$D$805,$F$47,[1]خرداد!$AC$2:$AC$805,P3)</f>
        <v>3.5</v>
      </c>
      <c r="Q47" s="175">
        <f>SUMIFS([1]خرداد!$AF$2:$AF$805,[1]خرداد!$O$2:$O$805,"مونتاژ",[1]خرداد!$D$2:$D$805,$F$47,[1]خرداد!$AC$2:$AC$805,Q3)</f>
        <v>5</v>
      </c>
      <c r="R47" s="175">
        <f>SUMIFS([1]خرداد!$AF$2:$AF$805,[1]خرداد!$O$2:$O$805,"مونتاژ",[1]خرداد!$D$2:$D$805,$F$47,[1]خرداد!$AC$2:$AC$805,R3)</f>
        <v>7.5</v>
      </c>
      <c r="S47" s="175">
        <f>SUMIFS([1]خرداد!$AF$2:$AF$805,[1]خرداد!$O$2:$O$805,"مونتاژ",[1]خرداد!$D$2:$D$805,$F$47,[1]خرداد!$AC$2:$AC$805,S3)</f>
        <v>9</v>
      </c>
      <c r="T47" s="175">
        <f>SUMIFS([1]خرداد!$AF$2:$AF$805,[1]خرداد!$O$2:$O$805,"مونتاژ",[1]خرداد!$D$2:$D$805,$F$47,[1]خرداد!$AC$2:$AC$805,T3)</f>
        <v>0</v>
      </c>
      <c r="U47" s="497">
        <f>SUMIFS([1]خرداد!$AF$2:$AF$805,[1]خرداد!$O$2:$O$805,"مونتاژ",[1]خرداد!$D$2:$D$805,$F$47,[1]خرداد!$AC$2:$AC$805,U3)</f>
        <v>0</v>
      </c>
    </row>
    <row r="48" spans="1:21" ht="36" customHeight="1" x14ac:dyDescent="0.25">
      <c r="A48" s="967">
        <v>23</v>
      </c>
      <c r="B48" s="961" t="s">
        <v>33</v>
      </c>
      <c r="C48" s="943" t="s">
        <v>34</v>
      </c>
      <c r="D48" s="932">
        <v>62.5</v>
      </c>
      <c r="E48" s="932"/>
      <c r="F48" s="32" t="s">
        <v>16</v>
      </c>
      <c r="G48" s="9">
        <f t="shared" si="0"/>
        <v>2</v>
      </c>
      <c r="H48" s="46">
        <f t="shared" si="1"/>
        <v>0</v>
      </c>
      <c r="I48" s="9">
        <v>0</v>
      </c>
      <c r="J48" s="9">
        <v>0</v>
      </c>
      <c r="K48" s="9">
        <v>0</v>
      </c>
      <c r="L48" s="9">
        <v>0</v>
      </c>
      <c r="M48" s="9">
        <f>SUM(G48:L48)-62</f>
        <v>-60</v>
      </c>
      <c r="N48" s="56"/>
      <c r="O48" s="165">
        <f>SUMIFS([1]خرداد!$AF$2:$AF$805,[1]خرداد!$O$2:$O$805,"دمونتاژ",[1]خرداد!$D$2:$D$805,$F$48,[1]خرداد!$AC$2:$AC$805,O3)</f>
        <v>0</v>
      </c>
      <c r="P48" s="169">
        <f>SUMIFS([1]خرداد!$AF$2:$AF$805,[1]خرداد!$O$2:$O$805,"دمونتاژ",[1]خرداد!$D$2:$D$805,$F$48,[1]خرداد!$AC$2:$AC$805,P3)</f>
        <v>2</v>
      </c>
      <c r="Q48" s="169">
        <f>SUMIFS([1]خرداد!$AF$2:$AF$805,[1]خرداد!$O$2:$O$805,"دمونتاژ",[1]خرداد!$D$2:$D$805,$F$48,[1]خرداد!$AC$2:$AC$805,Q3)</f>
        <v>0</v>
      </c>
      <c r="R48" s="169">
        <f>SUMIFS([1]خرداد!$AF$2:$AF$805,[1]خرداد!$O$2:$O$805,"دمونتاژ",[1]خرداد!$D$2:$D$805,$F$48,[1]خرداد!$AC$2:$AC$805,R3)</f>
        <v>0</v>
      </c>
      <c r="S48" s="169">
        <f>SUMIFS([1]خرداد!$AF$2:$AF$805,[1]خرداد!$O$2:$O$805,"دمونتاژ",[1]خرداد!$D$2:$D$805,$F$48,[1]خرداد!$AC$2:$AC$805,S3)</f>
        <v>0</v>
      </c>
      <c r="T48" s="169">
        <f>SUMIFS([1]خرداد!$AF$2:$AF$805,[1]خرداد!$O$2:$O$805,"دمونتاژ",[1]خرداد!$D$2:$D$805,$F$48,[1]خرداد!$AC$2:$AC$805,T3)</f>
        <v>0</v>
      </c>
      <c r="U48" s="170">
        <f>SUMIFS([1]خرداد!$AF$2:$AF$805,[1]خرداد!$O$2:$O$805,"دمونتاژ",[1]خرداد!$D$2:$D$805,$F$48,[1]خرداد!$AC$2:$AC$805,U3)</f>
        <v>0</v>
      </c>
    </row>
    <row r="49" spans="1:21" ht="36" customHeight="1" x14ac:dyDescent="0.25">
      <c r="A49" s="967"/>
      <c r="B49" s="962"/>
      <c r="C49" s="965"/>
      <c r="D49" s="933"/>
      <c r="E49" s="933"/>
      <c r="F49" s="29" t="s">
        <v>55</v>
      </c>
      <c r="G49" s="3">
        <f t="shared" si="0"/>
        <v>2</v>
      </c>
      <c r="H49" s="47">
        <f t="shared" si="1"/>
        <v>0</v>
      </c>
      <c r="I49" s="3">
        <v>0</v>
      </c>
      <c r="J49" s="3">
        <v>0</v>
      </c>
      <c r="K49" s="3">
        <v>0</v>
      </c>
      <c r="L49" s="3">
        <v>0</v>
      </c>
      <c r="M49" s="3">
        <f>SUM(G49:L49)-62</f>
        <v>-60</v>
      </c>
      <c r="N49" s="62"/>
      <c r="O49" s="166">
        <f>SUMIFS([1]خرداد!$AF$2:$AF$805,[1]خرداد!$O$2:$O$805,"دمونتاژ",[1]خرداد!$D$2:$D$805,$F$49,[1]خرداد!$AC$2:$AC$805,O3)</f>
        <v>0</v>
      </c>
      <c r="P49" s="168">
        <f>SUMIFS([1]خرداد!$AF$2:$AF$805,[1]خرداد!$O$2:$O$805,"دمونتاژ",[1]خرداد!$D$2:$D$805,$F$49,[1]خرداد!$AC$2:$AC$805,P3)</f>
        <v>0</v>
      </c>
      <c r="Q49" s="168">
        <f>SUMIFS([1]خرداد!$AF$2:$AF$805,[1]خرداد!$O$2:$O$805,"دمونتاژ",[1]خرداد!$D$2:$D$805,$F$49,[1]خرداد!$AC$2:$AC$805,Q3)</f>
        <v>0</v>
      </c>
      <c r="R49" s="168">
        <f>SUMIFS([1]خرداد!$AF$2:$AF$805,[1]خرداد!$O$2:$O$805,"دمونتاژ",[1]خرداد!$D$2:$D$805,$F$49,[1]خرداد!$AC$2:$AC$805,R3)</f>
        <v>0</v>
      </c>
      <c r="S49" s="168">
        <f>SUMIFS([1]خرداد!$AF$2:$AF$805,[1]خرداد!$O$2:$O$805,"دمونتاژ",[1]خرداد!$D$2:$D$805,$F$49,[1]خرداد!$AC$2:$AC$805,S3)</f>
        <v>0</v>
      </c>
      <c r="T49" s="168">
        <f>SUMIFS([1]خرداد!$AF$2:$AF$805,[1]خرداد!$O$2:$O$805,"دمونتاژ",[1]خرداد!$D$2:$D$805,$F$49,[1]خرداد!$AC$2:$AC$805,T3)</f>
        <v>2</v>
      </c>
      <c r="U49" s="424">
        <f>SUMIFS([1]خرداد!$AF$2:$AF$805,[1]خرداد!$O$2:$O$805,"دمونتاژ",[1]خرداد!$D$2:$D$805,$F$49,[1]خرداد!$AC$2:$AC$805,U3)</f>
        <v>0</v>
      </c>
    </row>
    <row r="50" spans="1:21" ht="36" customHeight="1" x14ac:dyDescent="0.25">
      <c r="A50" s="967"/>
      <c r="B50" s="962"/>
      <c r="C50" s="965"/>
      <c r="D50" s="933"/>
      <c r="E50" s="933"/>
      <c r="F50" s="29" t="s">
        <v>54</v>
      </c>
      <c r="G50" s="3">
        <f t="shared" si="0"/>
        <v>9</v>
      </c>
      <c r="H50" s="47">
        <f t="shared" si="1"/>
        <v>0</v>
      </c>
      <c r="I50" s="3">
        <v>0</v>
      </c>
      <c r="J50" s="3">
        <v>0</v>
      </c>
      <c r="K50" s="3">
        <v>0</v>
      </c>
      <c r="L50" s="3">
        <v>0</v>
      </c>
      <c r="M50" s="3">
        <f>SUM(G50:L50)-62</f>
        <v>-53</v>
      </c>
      <c r="N50" s="62"/>
      <c r="O50" s="166">
        <f>SUMIFS([1]خرداد!$AF$2:$AF$805,[1]خرداد!$O$2:$O$805,"دمونتاژ",[1]خرداد!$D$2:$D$805,$F$50,[1]خرداد!$AC$2:$AC$805,O3)</f>
        <v>0</v>
      </c>
      <c r="P50" s="168">
        <f>SUMIFS([1]خرداد!$AF$2:$AF$805,[1]خرداد!$O$2:$O$805,"دمونتاژ",[1]خرداد!$D$2:$D$805,$F$50,[1]خرداد!$AC$2:$AC$805,P3)</f>
        <v>0</v>
      </c>
      <c r="Q50" s="168">
        <f>SUMIFS([1]خرداد!$AF$2:$AF$805,[1]خرداد!$O$2:$O$805,"دمونتاژ",[1]خرداد!$D$2:$D$805,$F$50,[1]خرداد!$AC$2:$AC$805,Q3)</f>
        <v>2</v>
      </c>
      <c r="R50" s="168">
        <f>SUMIFS([1]خرداد!$AF$2:$AF$805,[1]خرداد!$O$2:$O$805,"دمونتاژ",[1]خرداد!$D$2:$D$805,$F$50,[1]خرداد!$AC$2:$AC$805,R3)</f>
        <v>4</v>
      </c>
      <c r="S50" s="168">
        <f>SUMIFS([1]خرداد!$AF$2:$AF$805,[1]خرداد!$O$2:$O$805,"دمونتاژ",[1]خرداد!$D$2:$D$805,$F$50,[1]خرداد!$AC$2:$AC$805,S3)</f>
        <v>0</v>
      </c>
      <c r="T50" s="168">
        <f>SUMIFS([1]خرداد!$AF$2:$AF$805,[1]خرداد!$O$2:$O$805,"دمونتاژ",[1]خرداد!$D$2:$D$805,$F$50,[1]خرداد!$AC$2:$AC$805,T3)</f>
        <v>3</v>
      </c>
      <c r="U50" s="424">
        <f>SUMIFS([1]خرداد!$AF$2:$AF$805,[1]خرداد!$O$2:$O$805,"دمونتاژ",[1]خرداد!$D$2:$D$805,$F$50,[1]خرداد!$AC$2:$AC$805,U3)</f>
        <v>0</v>
      </c>
    </row>
    <row r="51" spans="1:21" ht="36" customHeight="1" thickBot="1" x14ac:dyDescent="0.3">
      <c r="A51" s="967"/>
      <c r="B51" s="963"/>
      <c r="C51" s="966"/>
      <c r="D51" s="934"/>
      <c r="E51" s="934"/>
      <c r="F51" s="436"/>
      <c r="G51" s="4">
        <f t="shared" si="0"/>
        <v>0</v>
      </c>
      <c r="H51" s="49">
        <f t="shared" si="1"/>
        <v>0</v>
      </c>
      <c r="I51" s="25">
        <v>0</v>
      </c>
      <c r="J51" s="25">
        <v>0</v>
      </c>
      <c r="K51" s="25">
        <v>0</v>
      </c>
      <c r="L51" s="25">
        <v>0</v>
      </c>
      <c r="M51" s="25">
        <f>SUM(G51:L51)-62</f>
        <v>-62</v>
      </c>
      <c r="N51" s="58"/>
      <c r="O51" s="171">
        <f>SUMIFS([1]اردیبهشت!$AD$2:$AD$805,[1]اردیبهشت!$N$2:$N$805,"دمونتاژ",[1]اردیبهشت!$D$2:$D$805,$F$51,[1]اردیبهشت!$AA$2:$AA$805,O3)</f>
        <v>0</v>
      </c>
      <c r="P51" s="172">
        <f>SUMIFS([1]اردیبهشت!$AD$2:$AD$805,[1]اردیبهشت!$N$2:$N$805,"دمونتاژ",[1]اردیبهشت!$D$2:$D$805,$F$51,[1]اردیبهشت!$AA$2:$AA$805,P3)</f>
        <v>0</v>
      </c>
      <c r="Q51" s="172">
        <f>SUMIFS([1]اردیبهشت!$AD$2:$AD$805,[1]اردیبهشت!$N$2:$N$805,"دمونتاژ",[1]اردیبهشت!$D$2:$D$805,$F$51,[1]اردیبهشت!$AA$2:$AA$805,Q3)</f>
        <v>0</v>
      </c>
      <c r="R51" s="172">
        <f>SUMIFS([1]اردیبهشت!$AD$2:$AD$805,[1]اردیبهشت!$N$2:$N$805,"دمونتاژ",[1]اردیبهشت!$D$2:$D$805,$F$51,[1]اردیبهشت!$AA$2:$AA$805,R3)</f>
        <v>0</v>
      </c>
      <c r="S51" s="172">
        <f>SUMIFS([1]اردیبهشت!$AD$2:$AD$805,[1]اردیبهشت!$N$2:$N$805,"دمونتاژ",[1]اردیبهشت!$D$2:$D$805,$F$51,[1]اردیبهشت!$AA$2:$AA$805,S3)</f>
        <v>0</v>
      </c>
      <c r="T51" s="172">
        <f>SUMIFS([1]اردیبهشت!$AD$2:$AD$805,[1]اردیبهشت!$N$2:$N$805,"دمونتاژ",[1]اردیبهشت!$D$2:$D$805,$F$51,[1]اردیبهشت!$AA$2:$AA$805,T3)</f>
        <v>0</v>
      </c>
      <c r="U51" s="109">
        <f>SUMIFS([1]اردیبهشت!$AD$2:$AD$600,[1]اردیبهشت!$N$2:$N$600,"دمونتاژ",[1]اردیبهشت!$D$2:$D$600,$F$51,[1]اردیبهشت!$AA$2:$AA$600,U3)</f>
        <v>0</v>
      </c>
    </row>
    <row r="52" spans="1:21" ht="42.75" customHeight="1" thickBot="1" x14ac:dyDescent="0.3">
      <c r="A52" s="951" t="s">
        <v>49</v>
      </c>
      <c r="B52" s="952"/>
      <c r="C52" s="952"/>
      <c r="D52" s="952"/>
      <c r="E52" s="952"/>
      <c r="F52" s="953"/>
      <c r="G52" s="148">
        <f t="shared" ref="G52:L52" si="2">SUM(G4:G51)</f>
        <v>808.75</v>
      </c>
      <c r="H52" s="148">
        <f t="shared" si="2"/>
        <v>12.5</v>
      </c>
      <c r="I52" s="148">
        <f t="shared" si="2"/>
        <v>19.5</v>
      </c>
      <c r="J52" s="148">
        <f t="shared" si="2"/>
        <v>134</v>
      </c>
      <c r="K52" s="148">
        <f t="shared" si="2"/>
        <v>0</v>
      </c>
      <c r="L52" s="148">
        <f t="shared" si="2"/>
        <v>0</v>
      </c>
      <c r="M52" s="149">
        <f>SUMIFS(M4:M51,F4:F51,"*")</f>
        <v>-661.75</v>
      </c>
      <c r="N52" s="306"/>
      <c r="O52" s="302">
        <f>SUM(O4:O51)</f>
        <v>144.33333333333334</v>
      </c>
      <c r="P52" s="198">
        <f t="shared" ref="P52:U52" si="3">SUM(P4:P51)</f>
        <v>160.33333333333331</v>
      </c>
      <c r="Q52" s="198">
        <f t="shared" si="3"/>
        <v>94</v>
      </c>
      <c r="R52" s="198">
        <f t="shared" si="3"/>
        <v>139.83333333333331</v>
      </c>
      <c r="S52" s="198">
        <f t="shared" si="3"/>
        <v>160.5</v>
      </c>
      <c r="T52" s="198">
        <f t="shared" si="3"/>
        <v>109.75</v>
      </c>
      <c r="U52" s="150">
        <f t="shared" si="3"/>
        <v>12.5</v>
      </c>
    </row>
  </sheetData>
  <mergeCells count="41">
    <mergeCell ref="E16:E18"/>
    <mergeCell ref="N16:N18"/>
    <mergeCell ref="A1:L2"/>
    <mergeCell ref="O1:U2"/>
    <mergeCell ref="E4:E6"/>
    <mergeCell ref="N4:N6"/>
    <mergeCell ref="E7:E9"/>
    <mergeCell ref="E20:E22"/>
    <mergeCell ref="N20:N22"/>
    <mergeCell ref="E23:E25"/>
    <mergeCell ref="N23:N25"/>
    <mergeCell ref="E26:E28"/>
    <mergeCell ref="N26:N28"/>
    <mergeCell ref="A29:A30"/>
    <mergeCell ref="E29:E30"/>
    <mergeCell ref="N29:N30"/>
    <mergeCell ref="A31:A32"/>
    <mergeCell ref="E31:E32"/>
    <mergeCell ref="N31:N32"/>
    <mergeCell ref="A33:A34"/>
    <mergeCell ref="E33:E34"/>
    <mergeCell ref="N33:N34"/>
    <mergeCell ref="A35:A36"/>
    <mergeCell ref="E35:E36"/>
    <mergeCell ref="N35:N36"/>
    <mergeCell ref="A52:F52"/>
    <mergeCell ref="A37:A38"/>
    <mergeCell ref="E37:E38"/>
    <mergeCell ref="N37:N38"/>
    <mergeCell ref="E39:E41"/>
    <mergeCell ref="N39:N41"/>
    <mergeCell ref="A44:A47"/>
    <mergeCell ref="B44:B47"/>
    <mergeCell ref="C44:C47"/>
    <mergeCell ref="D44:D47"/>
    <mergeCell ref="E44:E47"/>
    <mergeCell ref="A48:A51"/>
    <mergeCell ref="B48:B51"/>
    <mergeCell ref="C48:C51"/>
    <mergeCell ref="D48:D51"/>
    <mergeCell ref="E48:E51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 M8" formulaRange="1"/>
  </ignoredErrors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1774-FEA9-4AE4-9247-3B52CE4D9006}">
  <sheetPr>
    <pageSetUpPr fitToPage="1"/>
  </sheetPr>
  <dimension ref="A1:U52"/>
  <sheetViews>
    <sheetView rightToLeft="1" view="pageLayout" topLeftCell="A44" zoomScaleNormal="100" workbookViewId="0">
      <selection activeCell="B44" sqref="B44:B51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18" width="6.42578125" style="52" hidden="1" customWidth="1"/>
    <col min="19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14</v>
      </c>
      <c r="O2" s="926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291" t="s">
        <v>145</v>
      </c>
      <c r="P3" s="291" t="s">
        <v>146</v>
      </c>
      <c r="Q3" s="291" t="s">
        <v>147</v>
      </c>
      <c r="R3" s="291" t="s">
        <v>148</v>
      </c>
      <c r="S3" s="392" t="s">
        <v>149</v>
      </c>
      <c r="T3" s="392" t="s">
        <v>150</v>
      </c>
      <c r="U3" s="392" t="s">
        <v>151</v>
      </c>
    </row>
    <row r="4" spans="1:21" ht="33.75" customHeight="1" x14ac:dyDescent="0.25">
      <c r="A4" s="479"/>
      <c r="B4" s="487"/>
      <c r="C4" s="307"/>
      <c r="D4" s="39"/>
      <c r="E4" s="932" t="s">
        <v>15</v>
      </c>
      <c r="F4" s="476" t="s">
        <v>55</v>
      </c>
      <c r="G4" s="498">
        <f>SUM(O4:T4)</f>
        <v>13.5</v>
      </c>
      <c r="H4" s="46">
        <f>U4</f>
        <v>0</v>
      </c>
      <c r="I4" s="498">
        <v>0</v>
      </c>
      <c r="J4" s="498">
        <v>0</v>
      </c>
      <c r="K4" s="498">
        <v>19</v>
      </c>
      <c r="L4" s="498">
        <v>0</v>
      </c>
      <c r="M4" s="28"/>
      <c r="N4" s="945" t="s">
        <v>13</v>
      </c>
      <c r="O4" s="165">
        <f>SUMIFS([1]خرداد!$AF$2:$AF$805,[1]خرداد!$O$2:$O$805,7101,[1]خرداد!$D$2:$D$805,$F$4,[1]خرداد!$AC$2:$AC$805,O3)</f>
        <v>4</v>
      </c>
      <c r="P4" s="169">
        <f>SUMIFS([1]خرداد!$AF$2:$AF$805,[1]خرداد!$O$2:$O$805,7101,[1]خرداد!$D$2:$D$805,$F$4,[1]خرداد!$AC$2:$AC$805,P3)</f>
        <v>0</v>
      </c>
      <c r="Q4" s="169">
        <f>SUMIFS([1]تیر!$AF$2:$AF$805,[1]تیر!$O$2:$O$805,7101,[1]تیر!$D$2:$D$805,$F$4,[1]تیر!$AC$2:$AC$805,Q3)</f>
        <v>5.5</v>
      </c>
      <c r="R4" s="169">
        <f>SUMIFS([1]تیر!$AF$2:$AF$805,[1]تیر!$O$2:$O$805,7101,[1]تیر!$D$2:$D$805,$F$4,[1]تیر!$AC$2:$AC$805,R3)</f>
        <v>4</v>
      </c>
      <c r="S4" s="98">
        <f>SUMIFS([1]تیر!$AF$2:$AF$805,[1]تیر!$O$2:$O$805,7101,[1]تیر!$D$2:$D$805,$F$4,[1]تیر!$AC$2:$AC$805,S3)</f>
        <v>0</v>
      </c>
      <c r="T4" s="98">
        <f>SUMIFS([1]تیر!$AF$2:$AF$805,[1]تیر!$O$2:$O$805,7101,[1]تیر!$D$2:$D$805,$F$4,[1]تیر!$AC$2:$AC$805,T3)</f>
        <v>0</v>
      </c>
      <c r="U4" s="98">
        <f>SUMIFS([1]تیر!$AF$2:$AF$805,[1]تیر!$O$2:$O$805,7101,[1]تیر!$D$2:$D$805,$F$4,[1]تیر!$AC$2:$AC$805,U3)</f>
        <v>0</v>
      </c>
    </row>
    <row r="5" spans="1:21" ht="33.75" customHeight="1" x14ac:dyDescent="0.25">
      <c r="A5" s="480">
        <v>1</v>
      </c>
      <c r="B5" s="488" t="s">
        <v>14</v>
      </c>
      <c r="C5" s="308">
        <v>7101</v>
      </c>
      <c r="D5" s="2">
        <v>62.5</v>
      </c>
      <c r="E5" s="933"/>
      <c r="F5" s="484"/>
      <c r="G5" s="3">
        <f t="shared" ref="G5:G51" si="0">SUM(O5:T5)</f>
        <v>0</v>
      </c>
      <c r="H5" s="47">
        <f t="shared" ref="H5:H51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-30</v>
      </c>
      <c r="N5" s="929"/>
      <c r="O5" s="166">
        <f>SUMIFS([1]خرداد!$AF$2:$AF$805,[1]خرداد!$O$2:$O$805,7101,[1]خرداد!$D$2:$D$805,$F$5,[1]خرداد!$AC$2:$AC$805,O3)</f>
        <v>0</v>
      </c>
      <c r="P5" s="168">
        <f>SUMIFS([1]خرداد!$AF$2:$AF$805,[1]خرداد!$O$2:$O$805,7101,[1]خرداد!$D$2:$D$805,$F$5,[1]خرداد!$AC$2:$AC$805,P3)</f>
        <v>0</v>
      </c>
      <c r="Q5" s="168">
        <f>SUMIFS([1]خرداد!$AF$2:$AF$805,[1]خرداد!$O$2:$O$805,7101,[1]خرداد!$D$2:$D$805,$F$5,[1]خرداد!$AC$2:$AC$805,Q3)</f>
        <v>0</v>
      </c>
      <c r="R5" s="168">
        <f>SUMIFS([1]خرداد!$AF$2:$AF$805,[1]خرداد!$O$2:$O$805,7101,[1]خرداد!$D$2:$D$805,$F$5,[1]خرداد!$AC$2:$AC$805,R3)</f>
        <v>0</v>
      </c>
      <c r="S5" s="96">
        <f>SUMIFS([1]خرداد!$AF$2:$AF$805,[1]خرداد!$O$2:$O$805,7101,[1]خرداد!$D$2:$D$805,$F$5,[1]خرداد!$AC$2:$AC$805,S3)</f>
        <v>0</v>
      </c>
      <c r="T5" s="96">
        <f>SUMIFS([1]خرداد!$AF$2:$AF$805,[1]خرداد!$O$2:$O$805,7101,[1]خرداد!$D$2:$D$805,$F$5,[1]خرداد!$AC$2:$AC$805,T3)</f>
        <v>0</v>
      </c>
      <c r="U5" s="108">
        <f>SUMIFS([1]خرداد!$AF$2:$AF$805,[1]خرداد!$O$2:$O$805,7101,[1]خرداد!$D$2:$D$805,$F$5,[1]خرداد!$AC$2:$AC$805,U3)</f>
        <v>0</v>
      </c>
    </row>
    <row r="6" spans="1:21" ht="33.75" customHeight="1" thickBot="1" x14ac:dyDescent="0.3">
      <c r="A6" s="481"/>
      <c r="B6" s="88"/>
      <c r="C6" s="310"/>
      <c r="D6" s="477"/>
      <c r="E6" s="934"/>
      <c r="F6" s="5"/>
      <c r="G6" s="6">
        <f t="shared" si="0"/>
        <v>0</v>
      </c>
      <c r="H6" s="64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171">
        <f>SUMIFS([1]اردیبهشت!$AD$2:$AD$600,[1]اردیبهشت!$N$2:$N$600,7101,[1]اردیبهشت!$D$2:$D$600,$F$6,[1]اردیبهشت!$AA$2:$AA$600,O3)</f>
        <v>0</v>
      </c>
      <c r="P6" s="172">
        <f>SUMIFS([1]اردیبهشت!$AD$2:$AD$600,[1]اردیبهشت!$N$2:$N$600,7101,[1]اردیبهشت!$D$2:$D$600,$F$6,[1]اردیبهشت!$AA$2:$AA$600,P3)</f>
        <v>0</v>
      </c>
      <c r="Q6" s="172">
        <f>SUMIFS([1]اردیبهشت!$AD$2:$AD$600,[1]اردیبهشت!$N$2:$N$600,7101,[1]اردیبهشت!$D$2:$D$600,$F$6,[1]اردیبهشت!$AA$2:$AA$600,Q3)</f>
        <v>0</v>
      </c>
      <c r="R6" s="172">
        <f>SUMIFS([1]اردیبهشت!$AD$2:$AD$600,[1]اردیبهشت!$N$2:$N$600,7101,[1]اردیبهشت!$D$2:$D$600,$F$6,[1]اردیبهشت!$AA$2:$AA$600,R3)</f>
        <v>0</v>
      </c>
      <c r="S6" s="103">
        <f>SUMIFS([1]اردیبهشت!$AD$2:$AD$600,[1]اردیبهشت!$N$2:$N$600,7101,[1]اردیبهشت!$D$2:$D$600,$F$6,[1]اردیبهشت!$AA$2:$AA$600,S3)</f>
        <v>0</v>
      </c>
      <c r="T6" s="103">
        <f>SUMIFS([1]اردیبهشت!$AD$2:$AD$600,[1]اردیبهشت!$N$2:$N$600,7101,[1]اردیبهشت!$D$2:$D$600,$F$6,[1]اردیبهشت!$AA$2:$AA$600,T3)</f>
        <v>0</v>
      </c>
      <c r="U6" s="109">
        <f>SUMIFS([1]اردیبهشت!$AD$2:$AD$600,[1]اردیبهشت!$N$2:$N$600,7101,[1]اردیبهشت!$D$2:$D$600,$F$6,[1]اردیبهشت!$AA$2:$AA$600,U3)</f>
        <v>0</v>
      </c>
    </row>
    <row r="7" spans="1:21" ht="33.75" customHeight="1" x14ac:dyDescent="0.25">
      <c r="A7" s="493"/>
      <c r="B7" s="216"/>
      <c r="C7" s="224"/>
      <c r="D7" s="486"/>
      <c r="E7" s="932" t="s">
        <v>15</v>
      </c>
      <c r="F7" s="20" t="s">
        <v>20</v>
      </c>
      <c r="G7" s="1">
        <f t="shared" si="0"/>
        <v>39</v>
      </c>
      <c r="H7" s="49">
        <f t="shared" si="1"/>
        <v>0</v>
      </c>
      <c r="I7" s="1">
        <v>4</v>
      </c>
      <c r="J7" s="1">
        <v>0</v>
      </c>
      <c r="K7" s="1">
        <v>19</v>
      </c>
      <c r="L7" s="1">
        <v>0</v>
      </c>
      <c r="M7" s="69"/>
      <c r="N7" s="471"/>
      <c r="O7" s="173">
        <f>SUMIFS([1]خرداد!$AF$2:$AF$805,[1]خرداد!$O$2:$O$805,7102,[1]خرداد!$D$2:$D$805,$F$7,[1]خرداد!$AC$2:$AC$805,O3)</f>
        <v>11</v>
      </c>
      <c r="P7" s="174">
        <f>SUMIFS([1]خرداد!$AF$2:$AF$805,[1]خرداد!$O$2:$O$805,7102,[1]خرداد!$D$2:$D$805,$F$7,[1]خرداد!$AC$2:$AC$805,P3)</f>
        <v>11</v>
      </c>
      <c r="Q7" s="174">
        <f>SUMIFS([1]تیر!$AF$2:$AF$805,[1]تیر!$O$2:$O$805,7102,[1]تیر!$D$2:$D$805,$F$7,[1]تیر!$AC$2:$AC$805,Q3)</f>
        <v>11</v>
      </c>
      <c r="R7" s="174">
        <f>SUMIFS([1]تیر!$AF$2:$AF$805,[1]تیر!$O$2:$O$805,7102,[1]تیر!$D$2:$D$805,$F$7,[1]تیر!$AC$2:$AC$805,R3)</f>
        <v>6</v>
      </c>
      <c r="S7" s="537">
        <f>SUMIFS([1]تیر!$AF$2:$AF$805,[1]تیر!$O$2:$O$805,7102,[1]تیر!$D$2:$D$805,$F$7,[1]تیر!$AC$2:$AC$805,S3)</f>
        <v>0</v>
      </c>
      <c r="T7" s="537">
        <f>SUMIFS([1]تیر!$AF$2:$AF$805,[1]تیر!$O$2:$O$805,7102,[1]تیر!$D$2:$D$805,$F$7,[1]تیر!$AC$2:$AC$805,T3)</f>
        <v>0</v>
      </c>
      <c r="U7" s="537">
        <f>SUMIFS([1]تیر!$AF$2:$AF$805,[1]تیر!$O$2:$O$805,7102,[1]تیر!$D$2:$D$805,$F$7,[1]تیر!$AC$2:$AC$805,U3)</f>
        <v>0</v>
      </c>
    </row>
    <row r="8" spans="1:21" ht="33.75" customHeight="1" x14ac:dyDescent="0.25">
      <c r="A8" s="493">
        <v>2</v>
      </c>
      <c r="B8" s="216" t="s">
        <v>14</v>
      </c>
      <c r="C8" s="308">
        <v>7102</v>
      </c>
      <c r="D8" s="2">
        <v>62.5</v>
      </c>
      <c r="E8" s="933"/>
      <c r="F8" s="486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-0.5</v>
      </c>
      <c r="N8" s="472" t="s">
        <v>29</v>
      </c>
      <c r="O8" s="166">
        <f>SUMIFS([1]اردیبهشت!$AD$2:$AD$600,[1]اردیبهشت!$N$2:$N$600,7102,[1]اردیبهشت!$D$2:$D$600,$F$8,[1]اردیبهشت!$AA$2:$AA$600,O3)</f>
        <v>0</v>
      </c>
      <c r="P8" s="168">
        <f>SUMIFS([1]اردیبهشت!$AD$2:$AD$600,[1]اردیبهشت!$N$2:$N$600,7102,[1]اردیبهشت!$D$2:$D$600,$F$8,[1]اردیبهشت!$AA$2:$AA$600,P3)</f>
        <v>0</v>
      </c>
      <c r="Q8" s="168">
        <f>SUMIFS([1]اردیبهشت!$AD$2:$AD$600,[1]اردیبهشت!$N$2:$N$600,7102,[1]اردیبهشت!$D$2:$D$600,$F$8,[1]اردیبهشت!$AA$2:$AA$600,Q3)</f>
        <v>0</v>
      </c>
      <c r="R8" s="168">
        <f>SUMIFS([1]اردیبهشت!$AD$2:$AD$600,[1]اردیبهشت!$N$2:$N$600,7102,[1]اردیبهشت!$D$2:$D$600,$F$8,[1]اردیبهشت!$AA$2:$AA$600,R3)</f>
        <v>0</v>
      </c>
      <c r="S8" s="96">
        <f>SUMIFS([1]اردیبهشت!$AD$2:$AD$600,[1]اردیبهشت!$N$2:$N$600,7102,[1]اردیبهشت!$D$2:$D$600,$F$8,[1]اردیبهشت!$AA$2:$AA$600,S3)</f>
        <v>0</v>
      </c>
      <c r="T8" s="96">
        <f>SUMIFS([1]اردیبهشت!$AD$2:$AD$600,[1]اردیبهشت!$N$2:$N$600,7102,[1]اردیبهشت!$D$2:$D$600,$F$8,[1]اردیبهشت!$AA$2:$AA$600,T3)</f>
        <v>0</v>
      </c>
      <c r="U8" s="108">
        <f>SUMIFS([1]اردیبهشت!$AD$2:$AD$600,[1]اردیبهشت!$N$2:$N$600,7102,[1]اردیبهشت!$D$2:$D$600,$F$8,[1]اردیبهشت!$AA$2:$AA$600,U3)</f>
        <v>0</v>
      </c>
    </row>
    <row r="9" spans="1:21" ht="33.75" customHeight="1" thickBot="1" x14ac:dyDescent="0.3">
      <c r="A9" s="494"/>
      <c r="B9" s="43"/>
      <c r="C9" s="310"/>
      <c r="D9" s="477"/>
      <c r="E9" s="934"/>
      <c r="F9" s="5"/>
      <c r="G9" s="1">
        <f t="shared" si="0"/>
        <v>0</v>
      </c>
      <c r="H9" s="49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473"/>
      <c r="O9" s="167">
        <f>SUMIFS([1]اردیبهشت!$AD$2:$AD$600,[1]اردیبهشت!$N$2:$N$600,7102,[1]اردیبهشت!$D$2:$D$600,$F$9,[1]اردیبهشت!$AA$2:$AA$600,O3)</f>
        <v>0</v>
      </c>
      <c r="P9" s="175">
        <f>SUMIFS([1]اردیبهشت!$AD$2:$AD$600,[1]اردیبهشت!$N$2:$N$600,7102,[1]اردیبهشت!$D$2:$D$600,$F$9,[1]اردیبهشت!$AA$2:$AA$600,P3)</f>
        <v>0</v>
      </c>
      <c r="Q9" s="175">
        <f>SUMIFS([1]اردیبهشت!$AD$2:$AD$600,[1]اردیبهشت!$N$2:$N$600,7102,[1]اردیبهشت!$D$2:$D$600,$F$9,[1]اردیبهشت!$AA$2:$AA$600,Q3)</f>
        <v>0</v>
      </c>
      <c r="R9" s="175">
        <f>SUMIFS([1]اردیبهشت!$AD$2:$AD$600,[1]اردیبهشت!$N$2:$N$600,7102,[1]اردیبهشت!$D$2:$D$600,$F$9,[1]اردیبهشت!$AA$2:$AA$600,R3)</f>
        <v>0</v>
      </c>
      <c r="S9" s="97">
        <f>SUMIFS([1]اردیبهشت!$AD$2:$AD$600,[1]اردیبهشت!$N$2:$N$600,7102,[1]اردیبهشت!$D$2:$D$600,$F$9,[1]اردیبهشت!$AA$2:$AA$600,S3)</f>
        <v>0</v>
      </c>
      <c r="T9" s="97">
        <f>SUMIFS([1]اردیبهشت!$AD$2:$AD$600,[1]اردیبهشت!$N$2:$N$600,7102,[1]اردیبهشت!$D$2:$D$600,$F$9,[1]اردیبهشت!$AA$2:$AA$600,T3)</f>
        <v>0</v>
      </c>
      <c r="U9" s="114">
        <f>SUMIFS([1]اردیبهشت!$AD$2:$AD$600,[1]اردیبهشت!$N$2:$N$600,7102,[1]اردیبهشت!$D$2:$D$600,$F$9,[1]اردیبهشت!$AA$2:$AA$600,U3)</f>
        <v>0</v>
      </c>
    </row>
    <row r="10" spans="1:21" ht="36" customHeight="1" thickBot="1" x14ac:dyDescent="0.3">
      <c r="A10" s="494">
        <v>3</v>
      </c>
      <c r="B10" s="216" t="s">
        <v>14</v>
      </c>
      <c r="C10" s="474">
        <v>7103</v>
      </c>
      <c r="D10" s="2">
        <v>44</v>
      </c>
      <c r="E10" s="474" t="s">
        <v>15</v>
      </c>
      <c r="F10" s="474" t="s">
        <v>12</v>
      </c>
      <c r="G10" s="498">
        <f t="shared" si="0"/>
        <v>21.499999999999996</v>
      </c>
      <c r="H10" s="46">
        <f t="shared" si="1"/>
        <v>0</v>
      </c>
      <c r="I10" s="4">
        <v>0</v>
      </c>
      <c r="J10" s="4">
        <v>0</v>
      </c>
      <c r="K10" s="4">
        <v>19</v>
      </c>
      <c r="L10" s="4">
        <v>0</v>
      </c>
      <c r="M10" s="4">
        <f>SUM(G10:L10)-64</f>
        <v>-23.5</v>
      </c>
      <c r="N10" s="472" t="s">
        <v>40</v>
      </c>
      <c r="O10" s="176">
        <f>SUMIFS([1]خرداد!$AF$2:$AF$805,[1]خرداد!$O$2:$O$805,7103,[1]خرداد!$D$2:$D$805,$F$10,[1]خرداد!$AC$2:$AC$805,O3)</f>
        <v>4.333333333333333</v>
      </c>
      <c r="P10" s="177">
        <f>SUMIFS([1]خرداد!$AF$2:$AF$805,[1]خرداد!$O$2:$O$805,7103,[1]خرداد!$D$2:$D$805,$F$10,[1]خرداد!$AC$2:$AC$805,P3)</f>
        <v>5</v>
      </c>
      <c r="Q10" s="177">
        <f>SUMIFS([1]تیر!$AF$2:$AF$805,[1]تیر!$O$2:$O$805,7103,[1]تیر!$D$2:$D$805,$F$10,[1]تیر!$AC$2:$AC$805,Q3)</f>
        <v>6.333333333333333</v>
      </c>
      <c r="R10" s="177">
        <f>SUMIFS([1]تیر!$AF$2:$AF$805,[1]تیر!$O$2:$O$805,7103,[1]تیر!$D$2:$D$805,$F$10,[1]تیر!$AC$2:$AC$805,R3)</f>
        <v>5.833333333333333</v>
      </c>
      <c r="S10" s="99">
        <f>SUMIFS([1]تیر!$AF$2:$AF$805,[1]تیر!$O$2:$O$805,7103,[1]تیر!$D$2:$D$805,$F$10,[1]تیر!$AC$2:$AC$805,S3)</f>
        <v>0</v>
      </c>
      <c r="T10" s="99">
        <f>SUMIFS([1]تیر!$AF$2:$AF$805,[1]تیر!$O$2:$O$805,7103,[1]تیر!$D$2:$D$805,$F$10,[1]تیر!$AC$2:$AC$805,T3)</f>
        <v>0</v>
      </c>
      <c r="U10" s="99">
        <f>SUMIFS([1]تیر!$AF$2:$AF$805,[1]تیر!$O$2:$O$805,7103,[1]تیر!$D$2:$D$805,$F$10,[1]تیر!$AC$2:$AC$805,U3)</f>
        <v>0</v>
      </c>
    </row>
    <row r="11" spans="1:21" ht="36" customHeight="1" thickBot="1" x14ac:dyDescent="0.3">
      <c r="A11" s="493">
        <v>4</v>
      </c>
      <c r="B11" s="489" t="s">
        <v>18</v>
      </c>
      <c r="C11" s="490">
        <v>7201</v>
      </c>
      <c r="D11" s="490">
        <v>62.5</v>
      </c>
      <c r="E11" s="490" t="s">
        <v>19</v>
      </c>
      <c r="F11" s="140"/>
      <c r="G11" s="21">
        <f t="shared" si="0"/>
        <v>0</v>
      </c>
      <c r="H11" s="63">
        <f t="shared" si="1"/>
        <v>0</v>
      </c>
      <c r="I11" s="141">
        <v>0</v>
      </c>
      <c r="J11" s="141">
        <v>62</v>
      </c>
      <c r="K11" s="141">
        <v>0</v>
      </c>
      <c r="L11" s="141">
        <v>0</v>
      </c>
      <c r="M11" s="141">
        <f>SUM(G11:J11)-62</f>
        <v>0</v>
      </c>
      <c r="N11" s="142" t="s">
        <v>41</v>
      </c>
      <c r="O11" s="296"/>
      <c r="P11" s="201"/>
      <c r="Q11" s="201"/>
      <c r="R11" s="201"/>
      <c r="S11" s="100"/>
      <c r="T11" s="100"/>
      <c r="U11" s="111"/>
    </row>
    <row r="12" spans="1:21" ht="36" customHeight="1" thickBot="1" x14ac:dyDescent="0.3">
      <c r="A12" s="45">
        <v>5</v>
      </c>
      <c r="B12" s="12" t="s">
        <v>18</v>
      </c>
      <c r="C12" s="13">
        <v>7202</v>
      </c>
      <c r="D12" s="13">
        <v>62.5</v>
      </c>
      <c r="E12" s="13" t="s">
        <v>15</v>
      </c>
      <c r="F12" s="16" t="s">
        <v>46</v>
      </c>
      <c r="G12" s="14">
        <f t="shared" si="0"/>
        <v>22</v>
      </c>
      <c r="H12" s="48">
        <v>0</v>
      </c>
      <c r="I12" s="14">
        <v>0</v>
      </c>
      <c r="J12" s="14">
        <v>0</v>
      </c>
      <c r="K12" s="14">
        <v>19</v>
      </c>
      <c r="L12" s="14">
        <v>0</v>
      </c>
      <c r="M12" s="14">
        <f>SUM(G12:L12)-62</f>
        <v>-21</v>
      </c>
      <c r="N12" s="271"/>
      <c r="O12" s="181">
        <f>SUMIFS([1]خرداد!$AF$2:$AF$805,[1]خرداد!$O$2:$O$805,7202,[1]خرداد!$D$2:$D$805,$F$12,[1]خرداد!$AC$2:$AC$805,O3)</f>
        <v>11</v>
      </c>
      <c r="P12" s="182">
        <f>SUMIFS([1]خرداد!$AF$2:$AF$805,[1]خرداد!$O$2:$O$805,7202,[1]خرداد!$D$2:$D$805,$F$12,[1]خرداد!$AC$2:$AC$805,P3)</f>
        <v>11</v>
      </c>
      <c r="Q12" s="182">
        <f>SUMIFS([1]تیر!$AF$2:$AF$805,[1]تیر!$O$2:$O$805,7202,[1]تیر!$D$2:$D$805,$F$12,[1]تیر!$AC$2:$AC$805,Q3)</f>
        <v>0</v>
      </c>
      <c r="R12" s="182">
        <f>SUMIFS([1]تیر!$AF$2:$AF$805,[1]تیر!$O$2:$O$805,7202,[1]تیر!$D$2:$D$805,$F$12,[1]تیر!$AC$2:$AC$805,R3)</f>
        <v>0</v>
      </c>
      <c r="S12" s="211">
        <f>SUMIFS([1]تیر!$AF$2:$AF$805,[1]تیر!$O$2:$O$805,7202,[1]تیر!$D$2:$D$805,$F$12,[1]تیر!$AC$2:$AC$805,S3)</f>
        <v>0</v>
      </c>
      <c r="T12" s="211">
        <f>SUMIFS([1]تیر!$AF$2:$AF$805,[1]تیر!$O$2:$O$805,7202,[1]تیر!$D$2:$D$805,$F$12,[1]تیر!$AC$2:$AC$805,T3)</f>
        <v>0</v>
      </c>
      <c r="U12" s="211">
        <f>SUMIFS([1]تیر!$AF$2:$AF$805,[1]تیر!$O$2:$O$805,7202,[1]تیر!$D$2:$D$805,$F$12,[1]تیر!$AC$2:$AC$805,U3)</f>
        <v>0</v>
      </c>
    </row>
    <row r="13" spans="1:21" ht="36" customHeight="1" thickBot="1" x14ac:dyDescent="0.3">
      <c r="A13" s="492">
        <v>6</v>
      </c>
      <c r="B13" s="488" t="s">
        <v>18</v>
      </c>
      <c r="C13" s="474">
        <v>7203</v>
      </c>
      <c r="D13" s="474">
        <v>62.5</v>
      </c>
      <c r="E13" s="474" t="s">
        <v>15</v>
      </c>
      <c r="F13" s="16" t="s">
        <v>45</v>
      </c>
      <c r="G13" s="4">
        <f t="shared" si="0"/>
        <v>42.5</v>
      </c>
      <c r="H13" s="67">
        <v>0</v>
      </c>
      <c r="I13" s="4">
        <v>0</v>
      </c>
      <c r="J13" s="4">
        <v>0</v>
      </c>
      <c r="K13" s="4">
        <v>19</v>
      </c>
      <c r="L13" s="4">
        <v>0</v>
      </c>
      <c r="M13" s="4">
        <f>(G13+H13+I13+J13+K13)-D13</f>
        <v>-1</v>
      </c>
      <c r="N13" s="472"/>
      <c r="O13" s="353">
        <f>SUMIFS([1]خرداد!$AF$2:$AF$805,[1]خرداد!$O$2:$O$805,7203,[1]خرداد!$D$2:$D$805,$F$13,[1]خرداد!$AC$2:$AC$805,O3)</f>
        <v>11</v>
      </c>
      <c r="P13" s="353">
        <f>SUMIFS([1]خرداد!$AF$2:$AF$805,[1]خرداد!$O$2:$O$805,7203,[1]خرداد!$D$2:$D$805,$F$13,[1]خرداد!$AC$2:$AC$805,P3)</f>
        <v>11</v>
      </c>
      <c r="Q13" s="353">
        <f>SUMIFS([1]تیر!$AF$2:$AF$805,[1]تیر!$O$2:$O$805,7203,[1]تیر!$D$2:$D$805,$F$13,[1]تیر!$AC$2:$AC$805,Q3)</f>
        <v>11</v>
      </c>
      <c r="R13" s="353">
        <f>SUMIFS([1]تیر!$AF$2:$AF$805,[1]تیر!$O$2:$O$805,7203,[1]تیر!$D$2:$D$805,$F$13,[1]تیر!$AC$2:$AC$805,R3)</f>
        <v>9.5</v>
      </c>
      <c r="S13" s="455">
        <f>SUMIFS([1]تیر!$AF$2:$AF$805,[1]تیر!$O$2:$O$805,7203,[1]تیر!$D$2:$D$805,$F$13,[1]تیر!$AC$2:$AC$805,S3)</f>
        <v>0</v>
      </c>
      <c r="T13" s="455">
        <f>SUMIFS([1]تیر!$AF$2:$AF$805,[1]تیر!$O$2:$O$805,7203,[1]تیر!$D$2:$D$805,$F$13,[1]تیر!$AC$2:$AC$805,T3)</f>
        <v>0</v>
      </c>
      <c r="U13" s="455">
        <f>SUMIFS([1]تیر!$AF$2:$AF$805,[1]تیر!$O$2:$O$805,7203,[1]تیر!$D$2:$D$805,$F$13,[1]تیر!$AC$2:$AC$805,U3)</f>
        <v>0</v>
      </c>
    </row>
    <row r="14" spans="1:21" ht="36" customHeight="1" thickBot="1" x14ac:dyDescent="0.3">
      <c r="A14" s="45">
        <v>7</v>
      </c>
      <c r="B14" s="12" t="s">
        <v>18</v>
      </c>
      <c r="C14" s="13">
        <v>7204</v>
      </c>
      <c r="D14" s="13">
        <v>62.5</v>
      </c>
      <c r="E14" s="13" t="s">
        <v>15</v>
      </c>
      <c r="F14" s="16" t="s">
        <v>144</v>
      </c>
      <c r="G14" s="14">
        <f t="shared" si="0"/>
        <v>40.833333333333336</v>
      </c>
      <c r="H14" s="48">
        <f t="shared" si="1"/>
        <v>0</v>
      </c>
      <c r="I14" s="14">
        <v>2</v>
      </c>
      <c r="J14" s="14">
        <v>0</v>
      </c>
      <c r="K14" s="14">
        <v>19</v>
      </c>
      <c r="L14" s="14">
        <v>0</v>
      </c>
      <c r="M14" s="14">
        <f>SUM(G14:J14)-62</f>
        <v>-19.166666666666664</v>
      </c>
      <c r="N14" s="61" t="s">
        <v>29</v>
      </c>
      <c r="O14" s="295">
        <f>SUMIFS([1]خرداد!$AF$2:$AF$805,[1]خرداد!$O$2:$O$805,7204,[1]خرداد!$D$2:$D$805,$F$14,[1]خرداد!$AC$2:$AC$805,O3)</f>
        <v>11</v>
      </c>
      <c r="P14" s="295">
        <f>SUMIFS([1]خرداد!$AF$2:$AF$805,[1]خرداد!$O$2:$O$805,7204,[1]خرداد!$D$2:$D$805,$F$14,[1]خرداد!$AC$2:$AC$805,P3)</f>
        <v>11</v>
      </c>
      <c r="Q14" s="295">
        <f>SUMIFS([1]تیر!$AF$2:$AF$805,[1]تیر!$O$2:$O$805,7204,[1]تیر!$D$2:$D$805,$F$14,[1]تیر!$AC$2:$AC$805,Q3)</f>
        <v>10.333333333333334</v>
      </c>
      <c r="R14" s="295">
        <f>SUMIFS([1]تیر!$AF$2:$AF$805,[1]تیر!$O$2:$O$805,7204,[1]تیر!$D$2:$D$805,$F$14,[1]تیر!$AC$2:$AC$805,R3)</f>
        <v>8.5</v>
      </c>
      <c r="S14" s="456">
        <f>SUMIFS([1]تیر!$AF$2:$AF$805,[1]تیر!$O$2:$O$805,7204,[1]تیر!$D$2:$D$805,$F$14,[1]تیر!$AC$2:$AC$805,S3)</f>
        <v>0</v>
      </c>
      <c r="T14" s="456">
        <f>SUMIFS([1]تیر!$AF$2:$AF$805,[1]تیر!$O$2:$O$805,7204,[1]تیر!$D$2:$D$805,$F$14,[1]تیر!$AC$2:$AC$805,T3)</f>
        <v>0</v>
      </c>
      <c r="U14" s="456">
        <f>SUMIFS([1]تیر!$AF$2:$AF$805,[1]تیر!$O$2:$O$805,7204,[1]تیر!$D$2:$D$805,$F$14,[1]تیر!$AC$2:$AC$805,U3)</f>
        <v>0</v>
      </c>
    </row>
    <row r="15" spans="1:21" ht="36" customHeight="1" thickBot="1" x14ac:dyDescent="0.3">
      <c r="A15" s="45">
        <v>8</v>
      </c>
      <c r="B15" s="12" t="s">
        <v>21</v>
      </c>
      <c r="C15" s="13">
        <v>7301</v>
      </c>
      <c r="D15" s="13">
        <v>62.5</v>
      </c>
      <c r="E15" s="13" t="s">
        <v>15</v>
      </c>
      <c r="F15" s="19" t="s">
        <v>22</v>
      </c>
      <c r="G15" s="14">
        <f t="shared" si="0"/>
        <v>38.083333333333336</v>
      </c>
      <c r="H15" s="48">
        <f t="shared" si="1"/>
        <v>0</v>
      </c>
      <c r="I15" s="14">
        <v>14</v>
      </c>
      <c r="J15" s="14">
        <v>0</v>
      </c>
      <c r="K15" s="14">
        <v>19</v>
      </c>
      <c r="L15" s="14">
        <v>0</v>
      </c>
      <c r="M15" s="14">
        <f>SUM(G15:L15)-D15</f>
        <v>8.5833333333333428</v>
      </c>
      <c r="N15" s="15" t="s">
        <v>29</v>
      </c>
      <c r="O15" s="354">
        <f>SUMIFS([1]خرداد!$AF$2:$AF$805,[1]خرداد!$O$2:$O$805,7301,[1]خرداد!$D$2:$D$805,$F$15,[1]خرداد!$AC$2:$AC$805,O3)</f>
        <v>10.75</v>
      </c>
      <c r="P15" s="354">
        <f>SUMIFS([1]خرداد!$AF$2:$AF$805,[1]خرداد!$O$2:$O$805,7301,[1]خرداد!$D$2:$D$805,$F$15,[1]خرداد!$AC$2:$AC$805,P3)</f>
        <v>11</v>
      </c>
      <c r="Q15" s="354">
        <f>SUMIFS([1]تیر!$AF$2:$AF$805,[1]تیر!$O$2:$O$805,7301,[1]تیر!$D$2:$D$805,$F$15,[1]تیر!$AC$2:$AC$805,Q3)</f>
        <v>11.333333333333334</v>
      </c>
      <c r="R15" s="354">
        <f>SUMIFS([1]تیر!$AF$2:$AF$805,[1]تیر!$O$2:$O$805,7301,[1]تیر!$D$2:$D$805,$F$15,[1]تیر!$AC$2:$AC$805,R3)</f>
        <v>5</v>
      </c>
      <c r="S15" s="394">
        <f>SUMIFS([1]تیر!$AF$2:$AF$805,[1]تیر!$O$2:$O$805,7301,[1]تیر!$D$2:$D$805,$F$15,[1]تیر!$AC$2:$AC$805,S3)</f>
        <v>0</v>
      </c>
      <c r="T15" s="394">
        <f>SUMIFS([1]تیر!$AF$2:$AF$805,[1]تیر!$O$2:$O$805,7301,[1]تیر!$D$2:$D$805,$F$15,[1]تیر!$AC$2:$AC$805,T3)</f>
        <v>0</v>
      </c>
      <c r="U15" s="394">
        <f>SUMIFS([1]تیر!$AF$2:$AF$805,[1]تیر!$O$2:$O$805,7301,[1]تیر!$D$2:$D$805,$F$15,[1]تیر!$AC$2:$AC$805,U3)</f>
        <v>0</v>
      </c>
    </row>
    <row r="16" spans="1:21" ht="36" customHeight="1" x14ac:dyDescent="0.25">
      <c r="A16" s="493"/>
      <c r="B16" s="216"/>
      <c r="C16" s="224"/>
      <c r="D16" s="486"/>
      <c r="E16" s="932" t="s">
        <v>15</v>
      </c>
      <c r="F16" s="22" t="s">
        <v>17</v>
      </c>
      <c r="G16" s="1">
        <f t="shared" si="0"/>
        <v>38</v>
      </c>
      <c r="H16" s="49">
        <f>U16</f>
        <v>0</v>
      </c>
      <c r="I16" s="1">
        <v>2</v>
      </c>
      <c r="J16" s="1">
        <v>0</v>
      </c>
      <c r="K16" s="1">
        <v>19</v>
      </c>
      <c r="L16" s="1">
        <v>0</v>
      </c>
      <c r="M16" s="4"/>
      <c r="N16" s="928" t="s">
        <v>44</v>
      </c>
      <c r="O16" s="165">
        <f>SUMIFS([1]خرداد!$AF$2:$AF$805,[1]خرداد!$O$2:$O$805,7302,[1]خرداد!$D$2:$D$805,$F$16,[1]خرداد!$AC$2:$AC$805,O3)</f>
        <v>11</v>
      </c>
      <c r="P16" s="169">
        <f>SUMIFS([1]خرداد!$AF$2:$AF$805,[1]خرداد!$O$2:$O$805,7302,[1]خرداد!$D$2:$D$805,$F$16,[1]خرداد!$AC$2:$AC$805,P3)</f>
        <v>11</v>
      </c>
      <c r="Q16" s="169">
        <f>SUMIFS([1]تیر!$AF$2:$AF$805,[1]تیر!$O$2:$O$805,7302,[1]تیر!$D$2:$D$805,$F$16,[1]تیر!$AC$2:$AC$805,Q3)</f>
        <v>11</v>
      </c>
      <c r="R16" s="169">
        <f>SUMIFS([1]تیر!$AF$2:$AF$805,[1]تیر!$O$2:$O$805,7302,[1]تیر!$D$2:$D$805,$F$16,[1]تیر!$AC$2:$AC$805,R3)</f>
        <v>5</v>
      </c>
      <c r="S16" s="98">
        <f>SUMIFS([1]تیر!$AF$2:$AF$805,[1]تیر!$O$2:$O$805,7302,[1]تیر!$D$2:$D$805,$F$16,[1]تیر!$AC$2:$AC$805,S3)</f>
        <v>0</v>
      </c>
      <c r="T16" s="98">
        <f>SUMIFS([1]تیر!$AF$2:$AF$805,[1]تیر!$O$2:$O$805,7302,[1]تیر!$D$2:$D$805,$F$16,[1]تیر!$AC$2:$AC$805,T3)</f>
        <v>0</v>
      </c>
      <c r="U16" s="98">
        <f>SUMIFS([1]تیر!$AF$2:$AF$805,[1]تیر!$O$2:$O$805,7302,[1]تیر!$D$2:$D$805,$F$16,[1]تیر!$AC$2:$AC$805,U3)</f>
        <v>0</v>
      </c>
    </row>
    <row r="17" spans="1:21" ht="36" customHeight="1" x14ac:dyDescent="0.25">
      <c r="A17" s="493">
        <v>9</v>
      </c>
      <c r="B17" s="216" t="s">
        <v>21</v>
      </c>
      <c r="C17" s="308">
        <v>7302</v>
      </c>
      <c r="D17" s="474">
        <v>62.5</v>
      </c>
      <c r="E17" s="933"/>
      <c r="F17" s="22"/>
      <c r="G17" s="3">
        <f t="shared" si="0"/>
        <v>0</v>
      </c>
      <c r="H17" s="47">
        <f t="shared" si="1"/>
        <v>0</v>
      </c>
      <c r="I17" s="3">
        <v>0</v>
      </c>
      <c r="J17" s="3">
        <v>0</v>
      </c>
      <c r="K17" s="3">
        <v>0</v>
      </c>
      <c r="L17" s="3">
        <v>0</v>
      </c>
      <c r="M17" s="4">
        <f>SUM(G16:L18)-D17</f>
        <v>-3.5</v>
      </c>
      <c r="N17" s="929"/>
      <c r="O17" s="173">
        <f>SUMIFS([1]اردیبهشت!$AD$2:$AD$805,[1]اردیبهشت!$N$2:$N$805,$C$17,[1]اردیبهشت!$D$2:$D$805,$F$17,[1]اردیبهشت!$AA$2:$AA$805,O3)</f>
        <v>0</v>
      </c>
      <c r="P17" s="174">
        <f>SUMIFS([1]اردیبهشت!$AD$2:$AD$805,[1]اردیبهشت!$N$2:$N$805,$C$17,[1]اردیبهشت!$D$2:$D$805,$F$17,[1]اردیبهشت!$AA$2:$AA$805,P3)</f>
        <v>0</v>
      </c>
      <c r="Q17" s="174">
        <f>SUMIFS([1]اردیبهشت!$AD$2:$AD$805,[1]اردیبهشت!$N$2:$N$805,$C$17,[1]اردیبهشت!$D$2:$D$805,$F$17,[1]اردیبهشت!$AA$2:$AA$805,Q3)</f>
        <v>0</v>
      </c>
      <c r="R17" s="174">
        <f>SUMIFS([1]اردیبهشت!$AD$2:$AD$805,[1]اردیبهشت!$N$2:$N$805,$C$17,[1]اردیبهشت!$D$2:$D$805,$F$17,[1]اردیبهشت!$AA$2:$AA$805,R3)</f>
        <v>0</v>
      </c>
      <c r="S17" s="537">
        <f>SUMIFS([1]اردیبهشت!$AD$2:$AD$805,[1]اردیبهشت!$N$2:$N$805,$C$17,[1]اردیبهشت!$D$2:$D$805,$F$17,[1]اردیبهشت!$AA$2:$AA$805,S3)</f>
        <v>0</v>
      </c>
      <c r="T17" s="537">
        <f>SUMIFS([1]اردیبهشت!$AD$2:$AD$805,[1]اردیبهشت!$N$2:$N$805,$C$17,[1]اردیبهشت!$D$2:$D$805,$F$17,[1]اردیبهشت!$AA$2:$AA$805,T3)</f>
        <v>0</v>
      </c>
      <c r="U17" s="110">
        <f>SUMIFS([1]خرداد!$AF$2:$AF$700,[1]خرداد!$O$2:$O$700,7101,[1]خرداد!$D$2:$D$700,$F$4,[1]خرداد!$AC$2:$AC$700,U16)</f>
        <v>0</v>
      </c>
    </row>
    <row r="18" spans="1:21" ht="36" customHeight="1" thickBot="1" x14ac:dyDescent="0.3">
      <c r="A18" s="494"/>
      <c r="B18" s="43"/>
      <c r="C18" s="310"/>
      <c r="D18" s="477"/>
      <c r="E18" s="934"/>
      <c r="F18" s="5"/>
      <c r="G18" s="1">
        <f t="shared" si="0"/>
        <v>0</v>
      </c>
      <c r="H18" s="49">
        <f t="shared" si="1"/>
        <v>0</v>
      </c>
      <c r="I18" s="7">
        <v>0</v>
      </c>
      <c r="J18" s="7">
        <v>0</v>
      </c>
      <c r="K18" s="6">
        <v>0</v>
      </c>
      <c r="L18" s="6">
        <v>0</v>
      </c>
      <c r="M18" s="6"/>
      <c r="N18" s="930"/>
      <c r="O18" s="167">
        <f>SUMIFS([1]اردیبهشت!$AD$2:$AD$805,[1]اردیبهشت!$N$2:$N$805,$C$17,[1]اردیبهشت!$D$2:$D$805,$F$17,[1]اردیبهشت!$AA$2:$AA$805,O4)</f>
        <v>0</v>
      </c>
      <c r="P18" s="175">
        <f>SUMIFS([1]اردیبهشت!$AD$2:$AD$805,[1]اردیبهشت!$N$2:$N$805,$C$17,[1]اردیبهشت!$D$2:$D$805,$F$17,[1]اردیبهشت!$AA$2:$AA$805,P4)</f>
        <v>0</v>
      </c>
      <c r="Q18" s="175">
        <f>SUMIFS([1]اردیبهشت!$AD$2:$AD$805,[1]اردیبهشت!$N$2:$N$805,$C$17,[1]اردیبهشت!$D$2:$D$805,$F$17,[1]اردیبهشت!$AA$2:$AA$805,Q4)</f>
        <v>0</v>
      </c>
      <c r="R18" s="175">
        <f>SUMIFS([1]اردیبهشت!$AD$2:$AD$805,[1]اردیبهشت!$N$2:$N$805,$C$17,[1]اردیبهشت!$D$2:$D$805,$F$17,[1]اردیبهشت!$AA$2:$AA$805,R4)</f>
        <v>0</v>
      </c>
      <c r="S18" s="97">
        <f>SUMIFS([1]اردیبهشت!$AD$2:$AD$805,[1]اردیبهشت!$N$2:$N$805,$C$17,[1]اردیبهشت!$D$2:$D$805,$F$17,[1]اردیبهشت!$AA$2:$AA$805,S4)</f>
        <v>0</v>
      </c>
      <c r="T18" s="97">
        <f>SUMIFS([1]اردیبهشت!$AD$2:$AD$805,[1]اردیبهشت!$N$2:$N$805,$C$17,[1]اردیبهشت!$D$2:$D$805,$F$17,[1]اردیبهشت!$AA$2:$AA$805,T4)</f>
        <v>0</v>
      </c>
      <c r="U18" s="114">
        <f>SUMIFS([1]خرداد!$AF$2:$AF$700,[1]خرداد!$O$2:$O$700,7101,[1]خرداد!$D$2:$D$700,$F$4,[1]خرداد!$AC$2:$AC$700,U17)</f>
        <v>0</v>
      </c>
    </row>
    <row r="19" spans="1:21" ht="36" customHeight="1" thickBot="1" x14ac:dyDescent="0.3">
      <c r="A19" s="147">
        <v>10</v>
      </c>
      <c r="B19" s="491" t="s">
        <v>21</v>
      </c>
      <c r="C19" s="475">
        <v>7303</v>
      </c>
      <c r="D19" s="475">
        <v>44</v>
      </c>
      <c r="E19" s="475" t="s">
        <v>19</v>
      </c>
      <c r="F19" s="144" t="s">
        <v>23</v>
      </c>
      <c r="G19" s="85">
        <f t="shared" si="0"/>
        <v>0</v>
      </c>
      <c r="H19" s="86">
        <f t="shared" si="1"/>
        <v>0</v>
      </c>
      <c r="I19" s="89">
        <v>0</v>
      </c>
      <c r="J19" s="89">
        <v>0</v>
      </c>
      <c r="K19" s="89">
        <v>0</v>
      </c>
      <c r="L19" s="89">
        <v>0</v>
      </c>
      <c r="M19" s="89">
        <f>SUM(G19:L19)-44</f>
        <v>-44</v>
      </c>
      <c r="N19" s="305" t="s">
        <v>13</v>
      </c>
      <c r="O19" s="179">
        <f>SUMIFS([1]خرداد!$AF$2:$AF$805,[1]خرداد!$O$2:$O$805,7303,[1]خرداد!$D$2:$D$805,$F$19,[1]خرداد!$AC$2:$AC$805,O3)</f>
        <v>0</v>
      </c>
      <c r="P19" s="186">
        <f>SUMIFS([1]خرداد!$AF$2:$AF$805,[1]خرداد!$O$2:$O$805,7303,[1]خرداد!$D$2:$D$805,$F$19,[1]خرداد!$AC$2:$AC$805,P3)</f>
        <v>0</v>
      </c>
      <c r="Q19" s="186">
        <f>SUMIFS([1]خرداد!$AF$2:$AF$805,[1]خرداد!$O$2:$O$805,7303,[1]خرداد!$D$2:$D$805,$F$19,[1]خرداد!$AC$2:$AC$805,Q3)</f>
        <v>0</v>
      </c>
      <c r="R19" s="186">
        <f>SUMIFS([1]خرداد!$AF$2:$AF$805,[1]خرداد!$O$2:$O$805,7303,[1]خرداد!$D$2:$D$805,$F$19,[1]خرداد!$AC$2:$AC$805,R3)</f>
        <v>0</v>
      </c>
      <c r="S19" s="106">
        <f>SUMIFS([1]خرداد!$AF$2:$AF$805,[1]خرداد!$O$2:$O$805,7303,[1]خرداد!$D$2:$D$805,$F$19,[1]خرداد!$AC$2:$AC$805,S3)</f>
        <v>0</v>
      </c>
      <c r="T19" s="106">
        <f>SUMIFS([1]خرداد!$AF$2:$AF$805,[1]خرداد!$O$2:$O$805,7303,[1]خرداد!$D$2:$D$805,$F$19,[1]خرداد!$AC$2:$AC$805,T3)</f>
        <v>0</v>
      </c>
      <c r="U19" s="118">
        <f>SUMIFS([1]خرداد!$AF$2:$AF$805,[1]خرداد!$O$2:$O$805,7303,[1]خرداد!$D$2:$D$805,$F$19,[1]خرداد!$AC$2:$AC$805,U3)</f>
        <v>0</v>
      </c>
    </row>
    <row r="20" spans="1:21" ht="32.25" customHeight="1" x14ac:dyDescent="0.25">
      <c r="A20" s="492"/>
      <c r="B20" s="42"/>
      <c r="C20" s="307"/>
      <c r="D20" s="476"/>
      <c r="E20" s="932" t="s">
        <v>15</v>
      </c>
      <c r="F20" s="20" t="s">
        <v>16</v>
      </c>
      <c r="G20" s="498">
        <f t="shared" si="0"/>
        <v>9.5</v>
      </c>
      <c r="H20" s="46">
        <f t="shared" si="1"/>
        <v>0</v>
      </c>
      <c r="I20" s="498">
        <v>0</v>
      </c>
      <c r="J20" s="498">
        <v>0</v>
      </c>
      <c r="K20" s="498">
        <v>19</v>
      </c>
      <c r="L20" s="498">
        <v>0</v>
      </c>
      <c r="M20" s="21"/>
      <c r="N20" s="931" t="s">
        <v>53</v>
      </c>
      <c r="O20" s="165">
        <f>SUMIFS([1]خرداد!$AF$2:$AF$805,[1]خرداد!$O$2:$O$805,7401,[1]خرداد!$D$2:$D$805,$F$20,[1]خرداد!$AC$2:$AC$805,O3)</f>
        <v>2.5</v>
      </c>
      <c r="P20" s="169">
        <f>SUMIFS([1]خرداد!$AF$2:$AF$805,[1]خرداد!$O$2:$O$805,7401,[1]خرداد!$D$2:$D$805,$F$20,[1]خرداد!$AC$2:$AC$805,P3)</f>
        <v>4</v>
      </c>
      <c r="Q20" s="169">
        <f>SUMIFS([1]تیر!$AF$2:$AF$805,[1]تیر!$O$2:$O$805,7401,[1]تیر!$D$2:$D$805,$F$20,[1]تیر!$AC$2:$AC$805,Q3)</f>
        <v>3</v>
      </c>
      <c r="R20" s="169">
        <f>SUMIFS([1]تیر!$AF$2:$AF$805,[1]تیر!$O$2:$O$805,7401,[1]تیر!$D$2:$D$805,$F$20,[1]تیر!$AC$2:$AC$805,R3)</f>
        <v>0</v>
      </c>
      <c r="S20" s="98">
        <f>SUMIFS([1]تیر!$AF$2:$AF$805,[1]تیر!$O$2:$O$805,7401,[1]تیر!$D$2:$D$805,$F$20,[1]تیر!$AC$2:$AC$805,S3)</f>
        <v>0</v>
      </c>
      <c r="T20" s="98">
        <f>SUMIFS([1]تیر!$AF$2:$AF$805,[1]تیر!$O$2:$O$805,7401,[1]تیر!$D$2:$D$805,$F$20,[1]تیر!$AC$2:$AC$805,T3)</f>
        <v>0</v>
      </c>
      <c r="U20" s="98">
        <f>SUMIFS([1]تیر!$AF$2:$AF$805,[1]تیر!$O$2:$O$805,7401,[1]تیر!$D$2:$D$805,$F$20,[1]تیر!$AC$2:$AC$805,U3)</f>
        <v>0</v>
      </c>
    </row>
    <row r="21" spans="1:21" ht="32.25" customHeight="1" x14ac:dyDescent="0.25">
      <c r="A21" s="493">
        <v>11</v>
      </c>
      <c r="B21" s="216" t="s">
        <v>24</v>
      </c>
      <c r="C21" s="308">
        <v>7401</v>
      </c>
      <c r="D21" s="474">
        <v>62.5</v>
      </c>
      <c r="E21" s="933"/>
      <c r="F21" s="22" t="s">
        <v>55</v>
      </c>
      <c r="G21" s="3">
        <f t="shared" si="0"/>
        <v>8.5</v>
      </c>
      <c r="H21" s="47">
        <f t="shared" si="1"/>
        <v>0</v>
      </c>
      <c r="I21" s="3">
        <v>0</v>
      </c>
      <c r="J21" s="3">
        <v>0</v>
      </c>
      <c r="K21" s="3">
        <v>0</v>
      </c>
      <c r="L21" s="3">
        <v>0</v>
      </c>
      <c r="M21" s="1">
        <f>SUM(G20:L22)-D21</f>
        <v>-25.5</v>
      </c>
      <c r="N21" s="929"/>
      <c r="O21" s="166">
        <f>SUMIFS([1]خرداد!$AF$2:$AF$805,[1]خرداد!$O$2:$O$805,7401,[1]خرداد!$D$2:$D$805,$F$21,[1]خرداد!$AC$2:$AC$805,O3)</f>
        <v>7</v>
      </c>
      <c r="P21" s="293">
        <f>SUMIFS([1]خرداد!$AF$2:$AF$805,[1]خرداد!$O$2:$O$805,7401,[1]خرداد!$D$2:$D$805,$F$21,[1]خرداد!$AC$2:$AC$805,P3)</f>
        <v>0</v>
      </c>
      <c r="Q21" s="168">
        <f>SUMIFS([1]تیر!$AF$2:$AF$805,[1]تیر!$O$2:$O$805,7401,[1]تیر!$D$2:$D$805,$F$21,[1]تیر!$AC$2:$AC$805,Q3)</f>
        <v>0</v>
      </c>
      <c r="R21" s="168">
        <f>SUMIFS([1]تیر!$AF$2:$AF$805,[1]تیر!$O$2:$O$805,7401,[1]تیر!$D$2:$D$805,$F$21,[1]تیر!$AC$2:$AC$805,R3)</f>
        <v>1.5</v>
      </c>
      <c r="S21" s="96">
        <f>SUMIFS([1]تیر!$AF$2:$AF$805,[1]تیر!$O$2:$O$805,7401,[1]تیر!$D$2:$D$805,$F$21,[1]تیر!$AC$2:$AC$805,S3)</f>
        <v>0</v>
      </c>
      <c r="T21" s="96">
        <f>SUMIFS([1]تیر!$AF$2:$AF$805,[1]تیر!$O$2:$O$805,7401,[1]تیر!$D$2:$D$805,$F$21,[1]تیر!$AC$2:$AC$805,T3)</f>
        <v>0</v>
      </c>
      <c r="U21" s="96">
        <f>SUMIFS([1]تیر!$AF$2:$AF$805,[1]تیر!$O$2:$O$805,7401,[1]تیر!$D$2:$D$805,$F$21,[1]تیر!$AC$2:$AC$805,U3)</f>
        <v>0</v>
      </c>
    </row>
    <row r="22" spans="1:21" ht="32.25" customHeight="1" thickBot="1" x14ac:dyDescent="0.3">
      <c r="A22" s="494"/>
      <c r="B22" s="43" t="s">
        <v>24</v>
      </c>
      <c r="C22" s="310"/>
      <c r="D22" s="474"/>
      <c r="E22" s="934"/>
      <c r="F22" s="5"/>
      <c r="G22" s="1">
        <f t="shared" si="0"/>
        <v>0</v>
      </c>
      <c r="H22" s="49">
        <f t="shared" si="1"/>
        <v>0</v>
      </c>
      <c r="I22" s="7">
        <v>0</v>
      </c>
      <c r="J22" s="7">
        <v>0</v>
      </c>
      <c r="K22" s="6">
        <v>0</v>
      </c>
      <c r="L22" s="6">
        <v>0</v>
      </c>
      <c r="M22" s="6"/>
      <c r="N22" s="930"/>
      <c r="O22" s="167">
        <f>SUMIFS([1]اردیبهشت!$AD$2:$AD$805,[1]اردیبهشت!$N$2:$N$805,$C$22,[1]اردیبهشت!$D$2:$D$805,$F$22,[1]اردیبهشت!$AA$2:$AA$805,O3)</f>
        <v>0</v>
      </c>
      <c r="P22" s="175">
        <f>SUMIFS([1]اردیبهشت!$AD$2:$AD$805,[1]اردیبهشت!$N$2:$N$805,$C$22,[1]اردیبهشت!$D$2:$D$805,$F$22,[1]اردیبهشت!$AA$2:$AA$805,P3)</f>
        <v>0</v>
      </c>
      <c r="Q22" s="175">
        <f>SUMIFS([1]اردیبهشت!$AD$2:$AD$805,[1]اردیبهشت!$N$2:$N$805,$C$22,[1]اردیبهشت!$D$2:$D$805,$F$22,[1]اردیبهشت!$AA$2:$AA$805,Q3)</f>
        <v>0</v>
      </c>
      <c r="R22" s="175">
        <f>SUMIFS([1]اردیبهشت!$AD$2:$AD$805,[1]اردیبهشت!$N$2:$N$805,$C$22,[1]اردیبهشت!$D$2:$D$805,$F$22,[1]اردیبهشت!$AA$2:$AA$805,R3)</f>
        <v>0</v>
      </c>
      <c r="S22" s="97">
        <f>SUMIFS([1]اردیبهشت!$AD$2:$AD$805,[1]اردیبهشت!$N$2:$N$805,$C$22,[1]اردیبهشت!$D$2:$D$805,$F$22,[1]اردیبهشت!$AA$2:$AA$805,S3)</f>
        <v>0</v>
      </c>
      <c r="T22" s="97">
        <f>SUMIFS([1]اردیبهشت!$AD$2:$AD$805,[1]اردیبهشت!$N$2:$N$805,$C$22,[1]اردیبهشت!$D$2:$D$805,$F$22,[1]اردیبهشت!$AA$2:$AA$805,T3)</f>
        <v>0</v>
      </c>
      <c r="U22" s="114">
        <f>SUMIFS([1]خرداد!$AF$2:$AF$700,[1]خرداد!$O$2:$O$700,7101,[1]خرداد!$D$2:$D$700,$F$4,[1]خرداد!$AC$2:$AC$700,U21)</f>
        <v>0</v>
      </c>
    </row>
    <row r="23" spans="1:21" ht="36" customHeight="1" x14ac:dyDescent="0.25">
      <c r="A23" s="492"/>
      <c r="B23" s="307"/>
      <c r="C23" s="476"/>
      <c r="D23" s="476"/>
      <c r="E23" s="932" t="s">
        <v>19</v>
      </c>
      <c r="F23" s="20"/>
      <c r="G23" s="498">
        <f t="shared" si="0"/>
        <v>0</v>
      </c>
      <c r="H23" s="46">
        <f t="shared" si="1"/>
        <v>0</v>
      </c>
      <c r="I23" s="498">
        <v>0</v>
      </c>
      <c r="J23" s="498">
        <v>0</v>
      </c>
      <c r="K23" s="498">
        <v>0</v>
      </c>
      <c r="L23" s="498">
        <v>0</v>
      </c>
      <c r="M23" s="21"/>
      <c r="N23" s="931" t="s">
        <v>28</v>
      </c>
      <c r="O23" s="165">
        <f>SUMIFS([1]اردیبهشت!$AD$2:$AD$805,[1]اردیبهشت!$N$2:$N$805,$C$23,[1]اردیبهشت!$D$2:$D$805,$F$23,[1]اردیبهشت!$AA$2:$AA$805,O3)</f>
        <v>0</v>
      </c>
      <c r="P23" s="169">
        <f>SUMIFS([1]اردیبهشت!$AD$2:$AD$805,[1]اردیبهشت!$N$2:$N$805,$C$23,[1]اردیبهشت!$D$2:$D$805,$F$23,[1]اردیبهشت!$AA$2:$AA$805,P3)</f>
        <v>0</v>
      </c>
      <c r="Q23" s="169">
        <f>SUMIFS([1]اردیبهشت!$AD$2:$AD$805,[1]اردیبهشت!$N$2:$N$805,$C$23,[1]اردیبهشت!$D$2:$D$805,$F$23,[1]اردیبهشت!$AA$2:$AA$805,Q3)</f>
        <v>0</v>
      </c>
      <c r="R23" s="169">
        <f>SUMIFS([1]اردیبهشت!$AD$2:$AD$805,[1]اردیبهشت!$N$2:$N$805,$C$23,[1]اردیبهشت!$D$2:$D$805,$F$23,[1]اردیبهشت!$AA$2:$AA$805,R3)</f>
        <v>0</v>
      </c>
      <c r="S23" s="98">
        <f>SUMIFS([1]اردیبهشت!$AD$2:$AD$805,[1]اردیبهشت!$N$2:$N$805,$C$23,[1]اردیبهشت!$D$2:$D$805,$F$23,[1]اردیبهشت!$AA$2:$AA$805,S3)</f>
        <v>0</v>
      </c>
      <c r="T23" s="98">
        <f>SUMIFS([1]اردیبهشت!$AD$2:$AD$805,[1]اردیبهشت!$N$2:$N$805,$C$23,[1]اردیبهشت!$D$2:$D$805,$F$23,[1]اردیبهشت!$AA$2:$AA$805,T3)</f>
        <v>0</v>
      </c>
      <c r="U23" s="107">
        <f>SUMIFS([1]خرداد!$AF$2:$AF$700,[1]خرداد!$O$2:$O$700,7101,[1]خرداد!$D$2:$D$700,$F$4,[1]خرداد!$AC$2:$AC$700,U22)</f>
        <v>0</v>
      </c>
    </row>
    <row r="24" spans="1:21" ht="36" customHeight="1" x14ac:dyDescent="0.25">
      <c r="A24" s="493">
        <v>12</v>
      </c>
      <c r="B24" s="308" t="s">
        <v>25</v>
      </c>
      <c r="C24" s="484">
        <v>7501</v>
      </c>
      <c r="D24" s="474">
        <v>62.5</v>
      </c>
      <c r="E24" s="933"/>
      <c r="F24" s="22" t="s">
        <v>36</v>
      </c>
      <c r="G24" s="3">
        <f t="shared" si="0"/>
        <v>9</v>
      </c>
      <c r="H24" s="47">
        <f t="shared" si="1"/>
        <v>0</v>
      </c>
      <c r="I24" s="3">
        <v>0</v>
      </c>
      <c r="J24" s="3">
        <v>0</v>
      </c>
      <c r="K24" s="3">
        <v>19</v>
      </c>
      <c r="L24" s="3">
        <v>0</v>
      </c>
      <c r="M24" s="1">
        <f>SUM(G23:L25)-D24</f>
        <v>-34.5</v>
      </c>
      <c r="N24" s="929"/>
      <c r="O24" s="166">
        <f>SUMIFS([1]خرداد!$AF$2:$AF$805,[1]خرداد!$O$2:$O$805,7501,[1]خرداد!$D$2:$D$805,$F$24,[1]خرداد!$AC$2:$AC$805,O3)</f>
        <v>0</v>
      </c>
      <c r="P24" s="293">
        <f>SUMIFS([1]خرداد!$AF$2:$AF$805,[1]خرداد!$O$2:$O$805,7501,[1]خرداد!$D$2:$D$805,$F$24,[1]خرداد!$AC$2:$AC$805,P3)</f>
        <v>0</v>
      </c>
      <c r="Q24" s="168">
        <f>SUMIFS([1]تیر!$AF$2:$AF$805,[1]تیر!$O$2:$O$805,7501,[1]تیر!$D$2:$D$805,$F$24,[1]تیر!$AC$2:$AC$805,Q3)</f>
        <v>2</v>
      </c>
      <c r="R24" s="168">
        <f>SUMIFS([1]تیر!$AF$2:$AF$805,[1]تیر!$O$2:$O$805,7501,[1]تیر!$D$2:$D$805,$F$24,[1]تیر!$AC$2:$AC$805,R3)</f>
        <v>7</v>
      </c>
      <c r="S24" s="96">
        <f>SUMIFS([1]تیر!$AF$2:$AF$805,[1]تیر!$O$2:$O$805,7501,[1]تیر!$D$2:$D$805,$F$24,[1]تیر!$AC$2:$AC$805,S3)</f>
        <v>0</v>
      </c>
      <c r="T24" s="96">
        <f>SUMIFS([1]تیر!$AF$2:$AF$805,[1]تیر!$O$2:$O$805,7501,[1]تیر!$D$2:$D$805,$F$24,[1]تیر!$AC$2:$AC$805,T3)</f>
        <v>0</v>
      </c>
      <c r="U24" s="96">
        <f>SUMIFS([1]تیر!$AF$2:$AF$805,[1]تیر!$O$2:$O$805,7501,[1]تیر!$D$2:$D$805,$F$24,[1]تیر!$AC$2:$AC$805,U3)</f>
        <v>0</v>
      </c>
    </row>
    <row r="25" spans="1:21" ht="36" customHeight="1" thickBot="1" x14ac:dyDescent="0.3">
      <c r="A25" s="494"/>
      <c r="B25" s="310"/>
      <c r="C25" s="477"/>
      <c r="D25" s="477"/>
      <c r="E25" s="934"/>
      <c r="F25" s="5"/>
      <c r="G25" s="6">
        <f t="shared" si="0"/>
        <v>0</v>
      </c>
      <c r="H25" s="64">
        <f t="shared" si="1"/>
        <v>0</v>
      </c>
      <c r="I25" s="7">
        <v>0</v>
      </c>
      <c r="J25" s="7">
        <v>0</v>
      </c>
      <c r="K25" s="6">
        <v>0</v>
      </c>
      <c r="L25" s="6">
        <v>0</v>
      </c>
      <c r="M25" s="6"/>
      <c r="N25" s="930"/>
      <c r="O25" s="171">
        <f>SUMIFS([1]اردیبهشت!$AD$2:$AD$805,[1]اردیبهشت!$N$2:$N$805,$C$24,[1]اردیبهشت!$D$2:$D$805,$F$25,[1]اردیبهشت!$AA$2:$AA$805,O3)</f>
        <v>0</v>
      </c>
      <c r="P25" s="172">
        <f>SUMIFS([1]اردیبهشت!$AD$2:$AD$805,[1]اردیبهشت!$N$2:$N$805,$C$24,[1]اردیبهشت!$D$2:$D$805,$F$25,[1]اردیبهشت!$AA$2:$AA$805,P3)</f>
        <v>0</v>
      </c>
      <c r="Q25" s="172">
        <f>SUMIFS([1]اردیبهشت!$AD$2:$AD$805,[1]اردیبهشت!$N$2:$N$805,$C$24,[1]اردیبهشت!$D$2:$D$805,$F$25,[1]اردیبهشت!$AA$2:$AA$805,Q3)</f>
        <v>0</v>
      </c>
      <c r="R25" s="172">
        <f>SUMIFS([1]اردیبهشت!$AD$2:$AD$805,[1]اردیبهشت!$N$2:$N$805,$C$24,[1]اردیبهشت!$D$2:$D$805,$F$25,[1]اردیبهشت!$AA$2:$AA$805,R3)</f>
        <v>0</v>
      </c>
      <c r="S25" s="103">
        <f>SUMIFS([1]اردیبهشت!$AD$2:$AD$805,[1]اردیبهشت!$N$2:$N$805,$C$24,[1]اردیبهشت!$D$2:$D$805,$F$25,[1]اردیبهشت!$AA$2:$AA$805,S3)</f>
        <v>0</v>
      </c>
      <c r="T25" s="103">
        <f>SUMIFS([1]اردیبهشت!$AD$2:$AD$805,[1]اردیبهشت!$N$2:$N$805,$C$24,[1]اردیبهشت!$D$2:$D$805,$F$25,[1]اردیبهشت!$AA$2:$AA$805,T3)</f>
        <v>0</v>
      </c>
      <c r="U25" s="109">
        <f>SUMIFS([1]خرداد!$AF$2:$AF$700,[1]خرداد!$O$2:$O$700,7101,[1]خرداد!$D$2:$D$700,$F$4,[1]خرداد!$AC$2:$AC$700,U24)</f>
        <v>0</v>
      </c>
    </row>
    <row r="26" spans="1:21" ht="43.5" customHeight="1" x14ac:dyDescent="0.25">
      <c r="A26" s="493"/>
      <c r="B26" s="224"/>
      <c r="C26" s="486"/>
      <c r="D26" s="486"/>
      <c r="E26" s="936" t="s">
        <v>50</v>
      </c>
      <c r="F26" s="27" t="s">
        <v>36</v>
      </c>
      <c r="G26" s="1">
        <f t="shared" si="0"/>
        <v>42.5</v>
      </c>
      <c r="H26" s="49">
        <v>0</v>
      </c>
      <c r="I26" s="93">
        <v>0</v>
      </c>
      <c r="J26" s="93">
        <v>0</v>
      </c>
      <c r="K26" s="93">
        <v>19</v>
      </c>
      <c r="L26" s="93">
        <v>0</v>
      </c>
      <c r="M26" s="4"/>
      <c r="N26" s="988" t="s">
        <v>42</v>
      </c>
      <c r="O26" s="173">
        <f>SUMIFS([1]خرداد!$AF$2:$AF$805,[1]خرداد!$O$2:$O$805,7502,[1]خرداد!$D$2:$D$805,$F$26,[1]خرداد!$AC$2:$AC$805,O3)</f>
        <v>11</v>
      </c>
      <c r="P26" s="174">
        <f>SUMIFS([1]خرداد!$AF$2:$AF$805,[1]خرداد!$O$2:$O$805,7502,[1]خرداد!$D$2:$D$805,$F$26,[1]خرداد!$AC$2:$AC$805,P3)</f>
        <v>11</v>
      </c>
      <c r="Q26" s="174">
        <f>SUMIFS([1]تیر!$AF$2:$AF$805,[1]تیر!$O$2:$O$805,7502,[1]تیر!$D$2:$D$805,$F$26,[1]تیر!$AC$2:$AC$805,Q3)</f>
        <v>11</v>
      </c>
      <c r="R26" s="174">
        <f>SUMIFS([1]تیر!$AF$2:$AF$805,[1]تیر!$O$2:$O$805,7502,[1]تیر!$D$2:$D$805,$F$26,[1]تیر!$AC$2:$AC$805,R3)</f>
        <v>9.5</v>
      </c>
      <c r="S26" s="537">
        <f>SUMIFS([1]تیر!$AF$2:$AF$805,[1]تیر!$O$2:$O$805,7502,[1]تیر!$D$2:$D$805,$F$26,[1]تیر!$AC$2:$AC$805,S3)</f>
        <v>0</v>
      </c>
      <c r="T26" s="537">
        <f>SUMIFS([1]تیر!$AF$2:$AF$805,[1]تیر!$O$2:$O$805,7502,[1]تیر!$D$2:$D$805,$F$26,[1]تیر!$AC$2:$AC$805,T3)</f>
        <v>0</v>
      </c>
      <c r="U26" s="537">
        <f>SUMIFS([1]تیر!$AF$2:$AF$805,[1]تیر!$O$2:$O$805,7502,[1]تیر!$D$2:$D$805,$F$26,[1]تیر!$AC$2:$AC$805,U3)</f>
        <v>0</v>
      </c>
    </row>
    <row r="27" spans="1:21" ht="43.5" customHeight="1" x14ac:dyDescent="0.25">
      <c r="A27" s="493">
        <v>13</v>
      </c>
      <c r="B27" s="146" t="s">
        <v>25</v>
      </c>
      <c r="C27" s="95">
        <v>7502</v>
      </c>
      <c r="D27" s="474">
        <v>62.5</v>
      </c>
      <c r="E27" s="936"/>
      <c r="F27" s="22"/>
      <c r="G27" s="3">
        <f t="shared" si="0"/>
        <v>0</v>
      </c>
      <c r="H27" s="47">
        <f t="shared" si="1"/>
        <v>0</v>
      </c>
      <c r="I27" s="3">
        <v>0</v>
      </c>
      <c r="J27" s="3">
        <v>0</v>
      </c>
      <c r="K27" s="3">
        <v>0</v>
      </c>
      <c r="L27" s="3">
        <v>0</v>
      </c>
      <c r="M27" s="4">
        <f>SUM(G26:L28)-D27</f>
        <v>-1</v>
      </c>
      <c r="N27" s="929"/>
      <c r="O27" s="166">
        <f>SUMIFS([1]اردیبهشت!$AD$2:$AD$805,[1]اردیبهشت!$N$2:$N$805,$C$27,[1]اردیبهشت!$D$2:$D$805,$F$27,[1]اردیبهشت!$AA$2:$AA$805,O3)</f>
        <v>0</v>
      </c>
      <c r="P27" s="168">
        <f>SUMIFS([1]اردیبهشت!$AD$2:$AD$805,[1]اردیبهشت!$N$2:$N$805,$C$27,[1]اردیبهشت!$D$2:$D$805,$F$27,[1]اردیبهشت!$AA$2:$AA$805,P3)</f>
        <v>0</v>
      </c>
      <c r="Q27" s="168">
        <f>SUMIFS([1]اردیبهشت!$AD$2:$AD$805,[1]اردیبهشت!$N$2:$N$805,$C$27,[1]اردیبهشت!$D$2:$D$805,$F$27,[1]اردیبهشت!$AA$2:$AA$805,Q3)</f>
        <v>0</v>
      </c>
      <c r="R27" s="168">
        <f>SUMIFS([1]اردیبهشت!$AD$2:$AD$805,[1]اردیبهشت!$N$2:$N$805,$C$27,[1]اردیبهشت!$D$2:$D$805,$F$27,[1]اردیبهشت!$AA$2:$AA$805,R3)</f>
        <v>0</v>
      </c>
      <c r="S27" s="96">
        <f>SUMIFS([1]اردیبهشت!$AD$2:$AD$805,[1]اردیبهشت!$N$2:$N$805,$C$27,[1]اردیبهشت!$D$2:$D$805,$F$27,[1]اردیبهشت!$AA$2:$AA$805,S3)</f>
        <v>0</v>
      </c>
      <c r="T27" s="96">
        <f>SUMIFS([1]اردیبهشت!$AD$2:$AD$805,[1]اردیبهشت!$N$2:$N$805,$C$27,[1]اردیبهشت!$D$2:$D$805,$F$27,[1]اردیبهشت!$AA$2:$AA$805,T3)</f>
        <v>0</v>
      </c>
      <c r="U27" s="108">
        <f>SUMIFS([1]خرداد!$AF$2:$AF$700,[1]خرداد!$O$2:$O$700,7101,[1]خرداد!$D$2:$D$700,$F$4,[1]خرداد!$AC$2:$AC$700,U26)</f>
        <v>0</v>
      </c>
    </row>
    <row r="28" spans="1:21" ht="43.5" customHeight="1" thickBot="1" x14ac:dyDescent="0.3">
      <c r="A28" s="494"/>
      <c r="B28" s="310"/>
      <c r="C28" s="477"/>
      <c r="D28" s="477"/>
      <c r="E28" s="937"/>
      <c r="F28" s="5"/>
      <c r="G28" s="6">
        <f t="shared" si="0"/>
        <v>0</v>
      </c>
      <c r="H28" s="64">
        <f t="shared" si="1"/>
        <v>0</v>
      </c>
      <c r="I28" s="7">
        <v>0</v>
      </c>
      <c r="J28" s="7">
        <v>0</v>
      </c>
      <c r="K28" s="6">
        <v>0</v>
      </c>
      <c r="L28" s="6">
        <v>0</v>
      </c>
      <c r="M28" s="6"/>
      <c r="N28" s="930"/>
      <c r="O28" s="167">
        <f>SUMIFS([1]اردیبهشت!$AD$2:$AD$805,[1]اردیبهشت!$N$2:$N$805,$C$27,[1]اردیبهشت!$D$2:$D$805,$F$28,[1]اردیبهشت!$AA$2:$AA$805,O3)</f>
        <v>0</v>
      </c>
      <c r="P28" s="175">
        <f>SUMIFS([1]اردیبهشت!$AD$2:$AD$805,[1]اردیبهشت!$N$2:$N$805,$C$27,[1]اردیبهشت!$D$2:$D$805,$F$28,[1]اردیبهشت!$AA$2:$AA$805,P3)</f>
        <v>0</v>
      </c>
      <c r="Q28" s="175">
        <f>SUMIFS([1]اردیبهشت!$AD$2:$AD$805,[1]اردیبهشت!$N$2:$N$805,$C$27,[1]اردیبهشت!$D$2:$D$805,$F$28,[1]اردیبهشت!$AA$2:$AA$805,Q3)</f>
        <v>0</v>
      </c>
      <c r="R28" s="175">
        <f>SUMIFS([1]اردیبهشت!$AD$2:$AD$805,[1]اردیبهشت!$N$2:$N$805,$C$27,[1]اردیبهشت!$D$2:$D$805,$F$28,[1]اردیبهشت!$AA$2:$AA$805,R3)</f>
        <v>0</v>
      </c>
      <c r="S28" s="97">
        <f>SUMIFS([1]اردیبهشت!$AD$2:$AD$805,[1]اردیبهشت!$N$2:$N$805,$C$27,[1]اردیبهشت!$D$2:$D$805,$F$28,[1]اردیبهشت!$AA$2:$AA$805,S3)</f>
        <v>0</v>
      </c>
      <c r="T28" s="97">
        <f>SUMIFS([1]اردیبهشت!$AD$2:$AD$805,[1]اردیبهشت!$N$2:$N$805,$C$27,[1]اردیبهشت!$D$2:$D$805,$F$28,[1]اردیبهشت!$AA$2:$AA$805,T3)</f>
        <v>0</v>
      </c>
      <c r="U28" s="114">
        <f>SUMIFS([1]خرداد!$AF$2:$AF$700,[1]خرداد!$O$2:$O$700,7101,[1]خرداد!$D$2:$D$700,$F$4,[1]خرداد!$AC$2:$AC$700,U27)</f>
        <v>0</v>
      </c>
    </row>
    <row r="29" spans="1:21" ht="43.5" customHeight="1" x14ac:dyDescent="0.25">
      <c r="A29" s="939">
        <v>14</v>
      </c>
      <c r="B29" s="83" t="s">
        <v>26</v>
      </c>
      <c r="C29" s="469">
        <v>7601</v>
      </c>
      <c r="D29" s="469">
        <v>72</v>
      </c>
      <c r="E29" s="914" t="s">
        <v>15</v>
      </c>
      <c r="F29" s="84" t="s">
        <v>27</v>
      </c>
      <c r="G29" s="85">
        <f t="shared" si="0"/>
        <v>4</v>
      </c>
      <c r="H29" s="86">
        <f t="shared" si="1"/>
        <v>0</v>
      </c>
      <c r="I29" s="85">
        <v>2</v>
      </c>
      <c r="J29" s="85">
        <v>0</v>
      </c>
      <c r="K29" s="85">
        <v>19</v>
      </c>
      <c r="L29" s="85">
        <v>0</v>
      </c>
      <c r="M29" s="87">
        <f>(J29+J30+I30+I29+H29+H30+G30+G29+L29+K29)-D29</f>
        <v>-47</v>
      </c>
      <c r="N29" s="941" t="s">
        <v>29</v>
      </c>
      <c r="O29" s="187">
        <f>SUMIFS([1]خرداد!$AF$2:$AF$805,[1]خرداد!$O$2:$O$805,7601,[1]خرداد!$D$2:$D$805,$F$29,[1]خرداد!$AC$2:$AC$805,O3)</f>
        <v>0</v>
      </c>
      <c r="P29" s="188">
        <f>SUMIFS([1]خرداد!$AF$2:$AF$805,[1]خرداد!$O$2:$O$805,7601,[1]خرداد!$D$2:$D$805,$F$29,[1]خرداد!$AC$2:$AC$805,P3)</f>
        <v>0</v>
      </c>
      <c r="Q29" s="188">
        <f>SUMIFS([1]تیر!$AF$2:$AF$805,[1]تیر!$O$2:$O$805,7601,[1]تیر!$D$2:$D$805,$F$29,[1]تیر!$AC$2:$AC$805,Q3)</f>
        <v>0</v>
      </c>
      <c r="R29" s="188">
        <f>SUMIFS([1]تیر!$AF$2:$AF$805,[1]تیر!$O$2:$O$805,7601,[1]تیر!$D$2:$D$805,$F$29,[1]تیر!$AC$2:$AC$805,R3)</f>
        <v>4</v>
      </c>
      <c r="S29" s="145">
        <f>SUMIFS([1]تیر!$AF$2:$AF$805,[1]تیر!$O$2:$O$805,7601,[1]تیر!$D$2:$D$805,$F$29,[1]تیر!$AC$2:$AC$805,S3)</f>
        <v>0</v>
      </c>
      <c r="T29" s="145">
        <f>SUMIFS([1]تیر!$AF$2:$AF$805,[1]تیر!$O$2:$O$805,7601,[1]تیر!$D$2:$D$805,$F$29,[1]تیر!$AC$2:$AC$805,T3)</f>
        <v>0</v>
      </c>
      <c r="U29" s="145">
        <f>SUMIFS([1]تیر!$AF$2:$AF$805,[1]تیر!$O$2:$O$805,7601,[1]تیر!$D$2:$D$805,$F$29,[1]تیر!$AC$2:$AC$805,U3)</f>
        <v>0</v>
      </c>
    </row>
    <row r="30" spans="1:21" ht="43.5" customHeight="1" thickBot="1" x14ac:dyDescent="0.3">
      <c r="A30" s="940"/>
      <c r="B30" s="123"/>
      <c r="C30" s="470"/>
      <c r="D30" s="470"/>
      <c r="E30" s="915"/>
      <c r="F30" s="124"/>
      <c r="G30" s="93">
        <f t="shared" si="0"/>
        <v>0</v>
      </c>
      <c r="H30" s="92">
        <f t="shared" si="1"/>
        <v>0</v>
      </c>
      <c r="I30" s="125">
        <v>0</v>
      </c>
      <c r="J30" s="125">
        <v>0</v>
      </c>
      <c r="K30" s="126">
        <v>0</v>
      </c>
      <c r="L30" s="126">
        <v>0</v>
      </c>
      <c r="M30" s="127"/>
      <c r="N30" s="917"/>
      <c r="O30" s="190">
        <f>SUMIFS([1]اردیبهشت!$AD$2:$AD$805,[1]اردیبهشت!$N$2:$N$805,$C$29,[1]اردیبهشت!$D$2:$D$805,$F$30,[1]اردیبهشت!$AA$2:$AA$805,O3)</f>
        <v>0</v>
      </c>
      <c r="P30" s="191">
        <f>SUMIFS([1]اردیبهشت!$AD$2:$AD$600,[1]اردیبهشت!$N$2:$N$600,$C$29,[1]اردیبهشت!$D$2:$D$600,$F$30,[1]اردیبهشت!$AA$2:$AA$600,P3)</f>
        <v>0</v>
      </c>
      <c r="Q30" s="191">
        <f>SUMIFS([1]اردیبهشت!$AD$2:$AD$600,[1]اردیبهشت!$N$2:$N$600,$C$29,[1]اردیبهشت!$D$2:$D$600,$F$30,[1]اردیبهشت!$AA$2:$AA$600,Q3)</f>
        <v>0</v>
      </c>
      <c r="R30" s="191">
        <f>SUMIFS([1]اردیبهشت!$AD$2:$AD$600,[1]اردیبهشت!$N$2:$N$600,$C$29,[1]اردیبهشت!$D$2:$D$600,$F$30,[1]اردیبهشت!$AA$2:$AA$600,R3)</f>
        <v>0</v>
      </c>
      <c r="S30" s="102">
        <f>SUMIFS([1]اردیبهشت!$AD$2:$AD$600,[1]اردیبهشت!$N$2:$N$600,$C$29,[1]اردیبهشت!$D$2:$D$600,$F$30,[1]اردیبهشت!$AA$2:$AA$600,S3)</f>
        <v>0</v>
      </c>
      <c r="T30" s="102">
        <f>SUMIFS([1]اردیبهشت!$AD$2:$AD$600,[1]اردیبهشت!$N$2:$N$600,$C$29,[1]اردیبهشت!$D$2:$D$600,$F$30,[1]اردیبهشت!$AA$2:$AA$600,T3)</f>
        <v>0</v>
      </c>
      <c r="U30" s="114">
        <f>SUMIFS([1]خرداد!$AF$2:$AF$700,[1]خرداد!$O$2:$O$700,7101,[1]خرداد!$D$2:$D$700,$F$4,[1]خرداد!$AC$2:$AC$700,U29)</f>
        <v>0</v>
      </c>
    </row>
    <row r="31" spans="1:21" ht="43.5" customHeight="1" x14ac:dyDescent="0.25">
      <c r="A31" s="912">
        <v>15</v>
      </c>
      <c r="B31" s="83" t="s">
        <v>26</v>
      </c>
      <c r="C31" s="469">
        <v>7602</v>
      </c>
      <c r="D31" s="469">
        <v>72</v>
      </c>
      <c r="E31" s="914" t="s">
        <v>15</v>
      </c>
      <c r="F31" s="84" t="s">
        <v>27</v>
      </c>
      <c r="G31" s="498">
        <f t="shared" si="0"/>
        <v>13</v>
      </c>
      <c r="H31" s="46">
        <f t="shared" si="1"/>
        <v>0</v>
      </c>
      <c r="I31" s="85">
        <v>2</v>
      </c>
      <c r="J31" s="85">
        <v>0</v>
      </c>
      <c r="K31" s="85">
        <v>19</v>
      </c>
      <c r="L31" s="85">
        <v>0</v>
      </c>
      <c r="M31" s="87">
        <f>(J31+J32+I32+I31+H31+H32+G32+G31)-D31</f>
        <v>-57</v>
      </c>
      <c r="N31" s="916" t="s">
        <v>29</v>
      </c>
      <c r="O31" s="165">
        <f>SUMIFS([1]خرداد!$AF$2:$AF$805,[1]خرداد!$O$2:$O$805,7602,[1]خرداد!$D$2:$D$805,$F$31,[1]خرداد!$AC$2:$AC$805,O3)</f>
        <v>4</v>
      </c>
      <c r="P31" s="169">
        <f>SUMIFS([1]خرداد!$AF$2:$AF$805,[1]خرداد!$O$2:$O$805,7602,[1]خرداد!$D$2:$D$805,$F$31,[1]خرداد!$AC$2:$AC$805,P3)</f>
        <v>5</v>
      </c>
      <c r="Q31" s="169">
        <f>SUMIFS([1]تیر!$AF$2:$AF$805,[1]تیر!$O$2:$O$805,7602,[1]تیر!$D$2:$D$805,$F$31,[1]تیر!$AC$2:$AC$805,Q3)</f>
        <v>0</v>
      </c>
      <c r="R31" s="169">
        <f>SUMIFS([1]تیر!$AF$2:$AF$805,[1]تیر!$O$2:$O$805,7602,[1]تیر!$D$2:$D$805,$F$31,[1]تیر!$AC$2:$AC$805,R3)</f>
        <v>4</v>
      </c>
      <c r="S31" s="98">
        <f>SUMIFS([1]تیر!$AF$2:$AF$805,[1]تیر!$O$2:$O$805,7602,[1]تیر!$D$2:$D$805,$F$31,[1]تیر!$AC$2:$AC$805,S3)</f>
        <v>0</v>
      </c>
      <c r="T31" s="98">
        <f>SUMIFS([1]تیر!$AF$2:$AF$805,[1]تیر!$O$2:$O$805,7602,[1]تیر!$D$2:$D$805,$F$31,[1]تیر!$AC$2:$AC$805,T3)</f>
        <v>0</v>
      </c>
      <c r="U31" s="98">
        <f>SUMIFS([1]تیر!$AF$2:$AF$805,[1]تیر!$O$2:$O$805,7602,[1]تیر!$D$2:$D$805,$F$31,[1]تیر!$AC$2:$AC$805,U3)</f>
        <v>0</v>
      </c>
    </row>
    <row r="32" spans="1:21" ht="43.5" customHeight="1" thickBot="1" x14ac:dyDescent="0.3">
      <c r="A32" s="913"/>
      <c r="B32" s="123"/>
      <c r="C32" s="470"/>
      <c r="D32" s="470"/>
      <c r="E32" s="915"/>
      <c r="F32" s="124"/>
      <c r="G32" s="6">
        <f t="shared" si="0"/>
        <v>0</v>
      </c>
      <c r="H32" s="64">
        <f t="shared" si="1"/>
        <v>0</v>
      </c>
      <c r="I32" s="125">
        <v>0</v>
      </c>
      <c r="J32" s="125">
        <v>0</v>
      </c>
      <c r="K32" s="126">
        <v>0</v>
      </c>
      <c r="L32" s="126">
        <v>0</v>
      </c>
      <c r="M32" s="127"/>
      <c r="N32" s="917"/>
      <c r="O32" s="167">
        <f>SUMIFS([1]اردیبهشت!$AD$2:$AD$805,[1]اردیبهشت!$N$2:$N$805,$C$31,[1]اردیبهشت!$D$2:$D$805,$F$32,[1]اردیبهشت!$AA$2:$AA$805,O3)</f>
        <v>0</v>
      </c>
      <c r="P32" s="175">
        <f>SUMIFS([1]اردیبهشت!$AD$2:$AD$600,[1]اردیبهشت!$N$2:$N$600,$C$31,[1]اردیبهشت!$D$2:$D$600,$F$32,[1]اردیبهشت!$AA$2:$AA$600,P3)</f>
        <v>0</v>
      </c>
      <c r="Q32" s="175">
        <f>SUMIFS([1]اردیبهشت!$AD$2:$AD$600,[1]اردیبهشت!$N$2:$N$600,$C$31,[1]اردیبهشت!$D$2:$D$600,$F$32,[1]اردیبهشت!$AA$2:$AA$600,Q3)</f>
        <v>0</v>
      </c>
      <c r="R32" s="175">
        <f>SUMIFS([1]اردیبهشت!$AD$2:$AD$600,[1]اردیبهشت!$N$2:$N$600,$C$31,[1]اردیبهشت!$D$2:$D$600,$F$32,[1]اردیبهشت!$AA$2:$AA$600,R3)</f>
        <v>0</v>
      </c>
      <c r="S32" s="97">
        <f>SUMIFS([1]اردیبهشت!$AD$2:$AD$600,[1]اردیبهشت!$N$2:$N$600,$C$31,[1]اردیبهشت!$D$2:$D$600,$F$32,[1]اردیبهشت!$AA$2:$AA$600,S3)</f>
        <v>0</v>
      </c>
      <c r="T32" s="97">
        <f>SUMIFS([1]اردیبهشت!$AD$2:$AD$600,[1]اردیبهشت!$N$2:$N$600,$C$31,[1]اردیبهشت!$D$2:$D$600,$F$32,[1]اردیبهشت!$AA$2:$AA$600,T3)</f>
        <v>0</v>
      </c>
      <c r="U32" s="114">
        <f>SUMIFS([1]خرداد!$AF$2:$AF$700,[1]خرداد!$O$2:$O$700,7101,[1]خرداد!$D$2:$D$700,$F$4,[1]خرداد!$AC$2:$AC$700,U31)</f>
        <v>0</v>
      </c>
    </row>
    <row r="33" spans="1:21" ht="42.75" customHeight="1" x14ac:dyDescent="0.25">
      <c r="A33" s="912">
        <v>16</v>
      </c>
      <c r="B33" s="482" t="s">
        <v>26</v>
      </c>
      <c r="C33" s="476">
        <v>7603</v>
      </c>
      <c r="D33" s="476">
        <v>72</v>
      </c>
      <c r="E33" s="943" t="s">
        <v>15</v>
      </c>
      <c r="F33" s="84" t="s">
        <v>27</v>
      </c>
      <c r="G33" s="498">
        <f t="shared" si="0"/>
        <v>38</v>
      </c>
      <c r="H33" s="46">
        <f t="shared" si="1"/>
        <v>0</v>
      </c>
      <c r="I33" s="498">
        <v>2</v>
      </c>
      <c r="J33" s="498">
        <v>0</v>
      </c>
      <c r="K33" s="498">
        <v>19</v>
      </c>
      <c r="L33" s="498">
        <v>0</v>
      </c>
      <c r="M33" s="23">
        <f>(J33+J34+I34+I33+H33+H34+G34+G33+L33+L34)-D33</f>
        <v>-32</v>
      </c>
      <c r="N33" s="945" t="s">
        <v>29</v>
      </c>
      <c r="O33" s="165">
        <f>SUMIFS([1]خرداد!$AF$2:$AF$805,[1]خرداد!$O$2:$O$805,7603,[1]خرداد!$D$2:$D$805,$F$33,[1]خرداد!$AC$2:$AC$805,O3)</f>
        <v>12</v>
      </c>
      <c r="P33" s="169">
        <f>SUMIFS([1]خرداد!$AF$2:$AF$805,[1]خرداد!$O$2:$O$805,7603,[1]خرداد!$D$2:$D$805,$F$33,[1]خرداد!$AC$2:$AC$805,P3)</f>
        <v>12</v>
      </c>
      <c r="Q33" s="169">
        <f>SUMIFS([1]تیر!$AF$2:$AF$805,[1]تیر!$O$2:$O$805,7603,[1]تیر!$D$2:$D$805,$F$33,[1]تیر!$AC$2:$AC$805,Q3)</f>
        <v>10</v>
      </c>
      <c r="R33" s="169">
        <f>SUMIFS([1]تیر!$AF$2:$AF$805,[1]تیر!$O$2:$O$805,7603,[1]تیر!$D$2:$D$805,$F$33,[1]تیر!$AC$2:$AC$805,R3)</f>
        <v>4</v>
      </c>
      <c r="S33" s="98">
        <f>SUMIFS([1]تیر!$AF$2:$AF$805,[1]تیر!$O$2:$O$805,7603,[1]تیر!$D$2:$D$805,$F$33,[1]تیر!$AC$2:$AC$805,S3)</f>
        <v>0</v>
      </c>
      <c r="T33" s="98">
        <f>SUMIFS([1]تیر!$AF$2:$AF$805,[1]تیر!$O$2:$O$805,7603,[1]تیر!$D$2:$D$805,$F$33,[1]تیر!$AC$2:$AC$805,T3)</f>
        <v>0</v>
      </c>
      <c r="U33" s="98">
        <f>SUMIFS([1]تیر!$AF$2:$AF$805,[1]تیر!$O$2:$O$805,7603,[1]تیر!$D$2:$D$805,$F$33,[1]تیر!$AC$2:$AC$805,U3)</f>
        <v>0</v>
      </c>
    </row>
    <row r="34" spans="1:21" ht="42.75" customHeight="1" thickBot="1" x14ac:dyDescent="0.3">
      <c r="A34" s="942"/>
      <c r="B34" s="483"/>
      <c r="C34" s="477"/>
      <c r="D34" s="477"/>
      <c r="E34" s="944"/>
      <c r="F34" s="5"/>
      <c r="G34" s="1">
        <f t="shared" si="0"/>
        <v>0</v>
      </c>
      <c r="H34" s="49">
        <f t="shared" si="1"/>
        <v>0</v>
      </c>
      <c r="I34" s="7">
        <v>0</v>
      </c>
      <c r="J34" s="7">
        <v>0</v>
      </c>
      <c r="K34" s="6">
        <v>0</v>
      </c>
      <c r="L34" s="6">
        <v>0</v>
      </c>
      <c r="M34" s="8"/>
      <c r="N34" s="946"/>
      <c r="O34" s="171">
        <f>SUMIFS([1]اردیبهشت!$AD$2:$AD$805,[1]اردیبهشت!$N$2:$N$805,$C$33,[1]اردیبهشت!$D$2:$D$805,$F$34,[1]اردیبهشت!$AA$2:$AA$805,O3)</f>
        <v>0</v>
      </c>
      <c r="P34" s="172">
        <f>SUMIFS([1]اردیبهشت!$AD$2:$AD$600,[1]اردیبهشت!$N$2:$N$600,$C$33,[1]اردیبهشت!$D$2:$D$600,$F$34,[1]اردیبهشت!$AA$2:$AA$600,P3)</f>
        <v>0</v>
      </c>
      <c r="Q34" s="172">
        <f>SUMIFS([1]اردیبهشت!$AD$2:$AD$600,[1]اردیبهشت!$N$2:$N$600,$C$33,[1]اردیبهشت!$D$2:$D$600,$F$34,[1]اردیبهشت!$AA$2:$AA$600,Q3)</f>
        <v>0</v>
      </c>
      <c r="R34" s="172">
        <f>SUMIFS([1]اردیبهشت!$AD$2:$AD$600,[1]اردیبهشت!$N$2:$N$600,$C$33,[1]اردیبهشت!$D$2:$D$600,$F$34,[1]اردیبهشت!$AA$2:$AA$600,R3)</f>
        <v>0</v>
      </c>
      <c r="S34" s="103">
        <f>SUMIFS([1]اردیبهشت!$AD$2:$AD$600,[1]اردیبهشت!$N$2:$N$600,$C$33,[1]اردیبهشت!$D$2:$D$600,$F$34,[1]اردیبهشت!$AA$2:$AA$600,S3)</f>
        <v>0</v>
      </c>
      <c r="T34" s="103">
        <f>SUMIFS([1]اردیبهشت!$AD$2:$AD$600,[1]اردیبهشت!$N$2:$N$600,$C$33,[1]اردیبهشت!$D$2:$D$600,$F$34,[1]اردیبهشت!$AA$2:$AA$600,T3)</f>
        <v>0</v>
      </c>
      <c r="U34" s="109">
        <f>SUMIFS([1]خرداد!$AF$2:$AF$700,[1]خرداد!$O$2:$O$700,7101,[1]خرداد!$D$2:$D$700,$F$4,[1]خرداد!$AC$2:$AC$700,U33)</f>
        <v>0</v>
      </c>
    </row>
    <row r="35" spans="1:21" ht="42.75" customHeight="1" x14ac:dyDescent="0.25">
      <c r="A35" s="912">
        <v>17</v>
      </c>
      <c r="B35" s="81" t="s">
        <v>26</v>
      </c>
      <c r="C35" s="90">
        <v>7604</v>
      </c>
      <c r="D35" s="478">
        <v>72</v>
      </c>
      <c r="E35" s="947" t="s">
        <v>19</v>
      </c>
      <c r="F35" s="79"/>
      <c r="G35" s="498" t="s">
        <v>83</v>
      </c>
      <c r="H35" s="46">
        <f t="shared" si="1"/>
        <v>0</v>
      </c>
      <c r="I35" s="80">
        <v>0</v>
      </c>
      <c r="J35" s="80">
        <v>72</v>
      </c>
      <c r="K35" s="80">
        <v>0</v>
      </c>
      <c r="L35" s="80">
        <v>0</v>
      </c>
      <c r="M35" s="60"/>
      <c r="N35" s="949" t="s">
        <v>28</v>
      </c>
      <c r="O35" s="390"/>
      <c r="P35" s="204"/>
      <c r="Q35" s="204"/>
      <c r="R35" s="204"/>
      <c r="S35" s="104"/>
      <c r="T35" s="104"/>
      <c r="U35" s="116"/>
    </row>
    <row r="36" spans="1:21" ht="42.75" customHeight="1" thickBot="1" x14ac:dyDescent="0.3">
      <c r="A36" s="913"/>
      <c r="B36" s="488"/>
      <c r="C36" s="309"/>
      <c r="D36" s="485"/>
      <c r="E36" s="948"/>
      <c r="F36" s="24"/>
      <c r="G36" s="1">
        <f t="shared" si="0"/>
        <v>0</v>
      </c>
      <c r="H36" s="49">
        <f t="shared" si="1"/>
        <v>0</v>
      </c>
      <c r="I36" s="25">
        <v>0</v>
      </c>
      <c r="J36" s="25">
        <v>0</v>
      </c>
      <c r="K36" s="4">
        <v>0</v>
      </c>
      <c r="L36" s="4">
        <v>0</v>
      </c>
      <c r="M36" s="60"/>
      <c r="N36" s="950"/>
      <c r="O36" s="391"/>
      <c r="P36" s="194"/>
      <c r="Q36" s="194"/>
      <c r="R36" s="194"/>
      <c r="S36" s="105"/>
      <c r="T36" s="105"/>
      <c r="U36" s="117"/>
    </row>
    <row r="37" spans="1:21" ht="42.75" customHeight="1" x14ac:dyDescent="0.25">
      <c r="A37" s="954">
        <v>18</v>
      </c>
      <c r="B37" s="83" t="s">
        <v>26</v>
      </c>
      <c r="C37" s="469">
        <v>7605</v>
      </c>
      <c r="D37" s="469">
        <v>72</v>
      </c>
      <c r="E37" s="914" t="s">
        <v>15</v>
      </c>
      <c r="F37" s="84" t="s">
        <v>27</v>
      </c>
      <c r="G37" s="85">
        <f t="shared" si="0"/>
        <v>13</v>
      </c>
      <c r="H37" s="86">
        <f t="shared" si="1"/>
        <v>0</v>
      </c>
      <c r="I37" s="85">
        <v>2</v>
      </c>
      <c r="J37" s="85">
        <v>0</v>
      </c>
      <c r="K37" s="85">
        <v>19</v>
      </c>
      <c r="L37" s="153">
        <v>0</v>
      </c>
      <c r="M37" s="87">
        <f>(G37+H37+I37+J37+K37+L37)-D37</f>
        <v>-38</v>
      </c>
      <c r="N37" s="955" t="s">
        <v>28</v>
      </c>
      <c r="O37" s="187">
        <f>SUMIFS([1]خرداد!$AF$2:$AF$805,[1]خرداد!$O$2:$O$805,7605,[1]خرداد!$D$2:$D$805,$F$37,[1]خرداد!$AC$2:$AC$805,O3)</f>
        <v>10</v>
      </c>
      <c r="P37" s="188">
        <f>SUMIFS([1]خرداد!$AF$2:$AF$805,[1]خرداد!$O$2:$O$805,7605,[1]خرداد!$D$2:$D$805,$F$37,[1]خرداد!$AC$2:$AC$805,P3)</f>
        <v>3</v>
      </c>
      <c r="Q37" s="188">
        <f>SUMIFS([1]تیر!$AF$2:$AF$805,[1]تیر!$O$2:$O$805,7605,[1]تیر!$D$2:$D$805,$F$37,[1]تیر!$AC$2:$AC$805,Q3)</f>
        <v>0</v>
      </c>
      <c r="R37" s="188">
        <f>SUMIFS([1]تیر!$AF$2:$AF$805,[1]تیر!$O$2:$O$805,7605,[1]تیر!$D$2:$D$805,$F$37,[1]تیر!$AC$2:$AC$805,R3)</f>
        <v>0</v>
      </c>
      <c r="S37" s="145">
        <f>SUMIFS([1]تیر!$AF$2:$AF$805,[1]تیر!$O$2:$O$805,7605,[1]تیر!$D$2:$D$805,$F$37,[1]تیر!$AC$2:$AC$805,S3)</f>
        <v>0</v>
      </c>
      <c r="T37" s="145">
        <f>SUMIFS([1]تیر!$AF$2:$AF$805,[1]تیر!$O$2:$O$805,7605,[1]تیر!$D$2:$D$805,$F$37,[1]تیر!$AC$2:$AC$805,T3)</f>
        <v>0</v>
      </c>
      <c r="U37" s="145">
        <f>SUMIFS([1]تیر!$AF$2:$AF$805,[1]تیر!$O$2:$O$805,7605,[1]تیر!$D$2:$D$805,$F$37,[1]تیر!$AC$2:$AC$805,U3)</f>
        <v>0</v>
      </c>
    </row>
    <row r="38" spans="1:21" ht="42.75" customHeight="1" thickBot="1" x14ac:dyDescent="0.3">
      <c r="A38" s="942"/>
      <c r="B38" s="123"/>
      <c r="C38" s="470"/>
      <c r="D38" s="470"/>
      <c r="E38" s="915"/>
      <c r="F38" s="124"/>
      <c r="G38" s="93">
        <f t="shared" si="0"/>
        <v>0</v>
      </c>
      <c r="H38" s="92">
        <f t="shared" si="1"/>
        <v>0</v>
      </c>
      <c r="I38" s="125">
        <v>0</v>
      </c>
      <c r="J38" s="125">
        <v>0</v>
      </c>
      <c r="K38" s="126">
        <v>0</v>
      </c>
      <c r="L38" s="126">
        <v>0</v>
      </c>
      <c r="M38" s="154"/>
      <c r="N38" s="917"/>
      <c r="O38" s="190">
        <f>SUMIFS([1]اردیبهشت!$AD$2:$AD$805,[1]اردیبهشت!$N$2:$N$805,$C$37,[1]اردیبهشت!$D$2:$D$805,$F$38,[1]اردیبهشت!$AA$2:$AA$805,O3)</f>
        <v>0</v>
      </c>
      <c r="P38" s="191">
        <f>SUMIFS([1]اردیبهشت!$AD$2:$AD$600,[1]اردیبهشت!$N$2:$N$600,$C$37,[1]اردیبهشت!$D$2:$D$600,$F$38,[1]اردیبهشت!$AA$2:$AA$600,P3)</f>
        <v>0</v>
      </c>
      <c r="Q38" s="191">
        <f>SUMIFS([1]اردیبهشت!$AD$2:$AD$600,[1]اردیبهشت!$N$2:$N$600,$C$37,[1]اردیبهشت!$D$2:$D$600,$F$38,[1]اردیبهشت!$AA$2:$AA$600,Q3)</f>
        <v>0</v>
      </c>
      <c r="R38" s="191">
        <f>SUMIFS([1]اردیبهشت!$AD$2:$AD$600,[1]اردیبهشت!$N$2:$N$600,$C$37,[1]اردیبهشت!$D$2:$D$600,$F$38,[1]اردیبهشت!$AA$2:$AA$600,R3)</f>
        <v>0</v>
      </c>
      <c r="S38" s="102">
        <f>SUMIFS([1]اردیبهشت!$AD$2:$AD$600,[1]اردیبهشت!$N$2:$N$600,$C$37,[1]اردیبهشت!$D$2:$D$600,$F$38,[1]اردیبهشت!$AA$2:$AA$600,S3)</f>
        <v>0</v>
      </c>
      <c r="T38" s="102">
        <f>SUMIFS([1]اردیبهشت!$AD$2:$AD$600,[1]اردیبهشت!$N$2:$N$600,$C$37,[1]اردیبهشت!$D$2:$D$600,$F$38,[1]اردیبهشت!$AA$2:$AA$600,T3)</f>
        <v>0</v>
      </c>
      <c r="U38" s="115">
        <f>SUMIFS([1]اردیبهشت!$AD$2:$AD$600,[1]اردیبهشت!$N$2:$N$600,$C$37,[1]اردیبهشت!$D$2:$D$600,$F$38,[1]اردیبهشت!$AA$2:$AA$600,U3)</f>
        <v>0</v>
      </c>
    </row>
    <row r="39" spans="1:21" ht="39" customHeight="1" x14ac:dyDescent="0.25">
      <c r="A39" s="492"/>
      <c r="B39" s="307"/>
      <c r="C39" s="476"/>
      <c r="D39" s="476"/>
      <c r="E39" s="932" t="s">
        <v>15</v>
      </c>
      <c r="F39" s="84" t="s">
        <v>27</v>
      </c>
      <c r="G39" s="498">
        <f t="shared" si="0"/>
        <v>11</v>
      </c>
      <c r="H39" s="46">
        <f t="shared" si="1"/>
        <v>0</v>
      </c>
      <c r="I39" s="498">
        <v>0</v>
      </c>
      <c r="J39" s="498">
        <v>0</v>
      </c>
      <c r="K39" s="498">
        <v>19</v>
      </c>
      <c r="L39" s="498">
        <v>0</v>
      </c>
      <c r="M39" s="28"/>
      <c r="N39" s="945" t="s">
        <v>13</v>
      </c>
      <c r="O39" s="165">
        <f>SUMIFS([1]خرداد!$AF$2:$AF$805,[1]خرداد!$O$2:$O$805,7701,[1]خرداد!$D$2:$D$805,$F$39,[1]خرداد!$AC$2:$AC$805,O3)</f>
        <v>7</v>
      </c>
      <c r="P39" s="169">
        <f>SUMIFS([1]خرداد!$AF$2:$AF$805,[1]خرداد!$O$2:$O$805,7701,[1]خرداد!$D$2:$D$805,$F$39,[1]خرداد!$AC$2:$AC$805,P3)</f>
        <v>4</v>
      </c>
      <c r="Q39" s="169">
        <f>SUMIFS([1]تیر!$AF$2:$AF$805,[1]تیر!$O$2:$O$805,7701,[1]تیر!$D$2:$D$805,$F$39,[1]تیر!$AC$2:$AC$805,Q3)</f>
        <v>0</v>
      </c>
      <c r="R39" s="169">
        <f>SUMIFS([1]تیر!$AF$2:$AF$805,[1]تیر!$O$2:$O$805,7701,[1]تیر!$D$2:$D$805,$F$39,[1]تیر!$AC$2:$AC$805,R3)</f>
        <v>0</v>
      </c>
      <c r="S39" s="98">
        <f>SUMIFS([1]تیر!$AF$2:$AF$805,[1]تیر!$O$2:$O$805,7701,[1]تیر!$D$2:$D$805,$F$39,[1]تیر!$AC$2:$AC$805,S3)</f>
        <v>0</v>
      </c>
      <c r="T39" s="98">
        <f>SUMIFS([1]تیر!$AF$2:$AF$805,[1]تیر!$O$2:$O$805,7701,[1]تیر!$D$2:$D$805,$F$39,[1]تیر!$AC$2:$AC$805,T3)</f>
        <v>0</v>
      </c>
      <c r="U39" s="98">
        <f>SUMIFS([1]تیر!$AF$2:$AF$805,[1]تیر!$O$2:$O$805,7701,[1]تیر!$D$2:$D$805,$F$39,[1]تیر!$AC$2:$AC$805,U3)</f>
        <v>0</v>
      </c>
    </row>
    <row r="40" spans="1:21" ht="39" customHeight="1" x14ac:dyDescent="0.25">
      <c r="A40" s="493">
        <v>19</v>
      </c>
      <c r="B40" s="308" t="s">
        <v>30</v>
      </c>
      <c r="C40" s="484">
        <v>7701</v>
      </c>
      <c r="D40" s="484">
        <v>62.5</v>
      </c>
      <c r="E40" s="933"/>
      <c r="F40" s="29"/>
      <c r="G40" s="3">
        <f t="shared" si="0"/>
        <v>0</v>
      </c>
      <c r="H40" s="47">
        <f t="shared" si="1"/>
        <v>0</v>
      </c>
      <c r="I40" s="3">
        <v>0</v>
      </c>
      <c r="J40" s="25">
        <v>0</v>
      </c>
      <c r="K40" s="25">
        <v>0</v>
      </c>
      <c r="L40" s="70">
        <v>0</v>
      </c>
      <c r="M40" s="4">
        <f>(J39+J40+J41+I41+I40+I39+H39+H40+H41+G41+G40+G39)-D40</f>
        <v>-51.5</v>
      </c>
      <c r="N40" s="956"/>
      <c r="O40" s="166">
        <f>SUMIFS([1]اردیبهشت!$AD$2:$AD$805,[1]اردیبهشت!$N$2:$N$805,$C$40,[1]اردیبهشت!$D$2:$D$805,$F$40,[1]اردیبهشت!$AA$2:$AA$805,O3)</f>
        <v>0</v>
      </c>
      <c r="P40" s="168">
        <f>SUMIFS([1]اردیبهشت!$AD$2:$AD$805,[1]اردیبهشت!$N$2:$N$805,$C$40,[1]اردیبهشت!$D$2:$D$805,$F$40,[1]اردیبهشت!$AA$2:$AA$805,P3)</f>
        <v>0</v>
      </c>
      <c r="Q40" s="168">
        <f>SUMIFS([1]اردیبهشت!$AD$2:$AD$805,[1]اردیبهشت!$N$2:$N$805,$C$40,[1]اردیبهشت!$D$2:$D$805,$F$40,[1]اردیبهشت!$AA$2:$AA$805,Q3)</f>
        <v>0</v>
      </c>
      <c r="R40" s="168">
        <f>SUMIFS([1]اردیبهشت!$AD$2:$AD$805,[1]اردیبهشت!$N$2:$N$805,$C$40,[1]اردیبهشت!$D$2:$D$805,$F$40,[1]اردیبهشت!$AA$2:$AA$805,R3)</f>
        <v>0</v>
      </c>
      <c r="S40" s="96">
        <f>SUMIFS([1]اردیبهشت!$AD$2:$AD$805,[1]اردیبهشت!$N$2:$N$805,$C$40,[1]اردیبهشت!$D$2:$D$805,$F$40,[1]اردیبهشت!$AA$2:$AA$805,S3)</f>
        <v>0</v>
      </c>
      <c r="T40" s="96">
        <f>SUMIFS([1]اردیبهشت!$AD$2:$AD$805,[1]اردیبهشت!$N$2:$N$805,$C$40,[1]اردیبهشت!$D$2:$D$805,$F$40,[1]اردیبهشت!$AA$2:$AA$805,T3)</f>
        <v>0</v>
      </c>
      <c r="U40" s="108">
        <f>SUMIFS([1]اردیبهشت!$AD$2:$AD$600,[1]اردیبهشت!$N$2:$N$600,$C$40,[1]اردیبهشت!$D$2:$D$600,$F$40,[1]اردیبهشت!$AA$2:$AA$600,U3)</f>
        <v>0</v>
      </c>
    </row>
    <row r="41" spans="1:21" ht="39" customHeight="1" thickBot="1" x14ac:dyDescent="0.3">
      <c r="A41" s="494"/>
      <c r="B41" s="310"/>
      <c r="C41" s="477"/>
      <c r="D41" s="477"/>
      <c r="E41" s="934"/>
      <c r="F41" s="30"/>
      <c r="G41" s="1">
        <f t="shared" si="0"/>
        <v>0</v>
      </c>
      <c r="H41" s="49">
        <f t="shared" si="1"/>
        <v>0</v>
      </c>
      <c r="I41" s="7">
        <v>0</v>
      </c>
      <c r="J41" s="7">
        <v>0</v>
      </c>
      <c r="K41" s="7">
        <v>0</v>
      </c>
      <c r="L41" s="7">
        <v>0</v>
      </c>
      <c r="M41" s="8"/>
      <c r="N41" s="946"/>
      <c r="O41" s="167">
        <f>SUMIFS([1]اردیبهشت!$AD$2:$AD$805,[1]اردیبهشت!$N$2:$N$805,$C$40,[1]اردیبهشت!$D$2:$D$805,$F$41,[1]اردیبهشت!$AA$2:$AA$805,O3)</f>
        <v>0</v>
      </c>
      <c r="P41" s="175">
        <f>SUMIFS([1]اردیبهشت!$AD$2:$AD$805,[1]اردیبهشت!$N$2:$N$805,$C$40,[1]اردیبهشت!$D$2:$D$805,$F$41,[1]اردیبهشت!$AA$2:$AA$805,P3)</f>
        <v>0</v>
      </c>
      <c r="Q41" s="175">
        <f>SUMIFS([1]اردیبهشت!$AD$2:$AD$805,[1]اردیبهشت!$N$2:$N$805,$C$40,[1]اردیبهشت!$D$2:$D$805,$F$41,[1]اردیبهشت!$AA$2:$AA$805,Q3)</f>
        <v>0</v>
      </c>
      <c r="R41" s="175">
        <f>SUMIFS([1]اردیبهشت!$AD$2:$AD$805,[1]اردیبهشت!$N$2:$N$805,$C$40,[1]اردیبهشت!$D$2:$D$805,$F$41,[1]اردیبهشت!$AA$2:$AA$805,R3)</f>
        <v>0</v>
      </c>
      <c r="S41" s="97">
        <f>SUMIFS([1]اردیبهشت!$AD$2:$AD$805,[1]اردیبهشت!$N$2:$N$805,$C$40,[1]اردیبهشت!$D$2:$D$805,$F$41,[1]اردیبهشت!$AA$2:$AA$805,S3)</f>
        <v>0</v>
      </c>
      <c r="T41" s="97">
        <f>SUMIFS([1]اردیبهشت!$AD$2:$AD$805,[1]اردیبهشت!$N$2:$N$805,$C$40,[1]اردیبهشت!$D$2:$D$805,$F$41,[1]اردیبهشت!$AA$2:$AA$805,T3)</f>
        <v>0</v>
      </c>
      <c r="U41" s="114">
        <f>SUMIFS([1]اردیبهشت!$AD$2:$AD$600,[1]اردیبهشت!$N$2:$N$600,$C$40,[1]اردیبهشت!$D$2:$D$600,$F$41,[1]اردیبهشت!$AA$2:$AA$600,U3)</f>
        <v>0</v>
      </c>
    </row>
    <row r="42" spans="1:21" ht="39" customHeight="1" thickBot="1" x14ac:dyDescent="0.3">
      <c r="A42" s="494">
        <v>20</v>
      </c>
      <c r="B42" s="216" t="s">
        <v>63</v>
      </c>
      <c r="C42" s="474">
        <v>8001</v>
      </c>
      <c r="D42" s="474">
        <v>62.5</v>
      </c>
      <c r="E42" s="474" t="s">
        <v>15</v>
      </c>
      <c r="F42" s="29" t="s">
        <v>54</v>
      </c>
      <c r="G42" s="498">
        <f t="shared" si="0"/>
        <v>6</v>
      </c>
      <c r="H42" s="46">
        <f t="shared" si="1"/>
        <v>0</v>
      </c>
      <c r="I42" s="4">
        <v>0</v>
      </c>
      <c r="J42" s="4">
        <v>0</v>
      </c>
      <c r="K42" s="4">
        <v>19</v>
      </c>
      <c r="L42" s="4">
        <v>0</v>
      </c>
      <c r="M42" s="4">
        <f>SUM(G42:J42)-62</f>
        <v>-56</v>
      </c>
      <c r="N42" s="495" t="s">
        <v>31</v>
      </c>
      <c r="O42" s="181">
        <f>SUMIFS([1]خرداد!$AF$2:$AF$805,[1]خرداد!$O$2:$O$805,8001,[1]خرداد!$D$2:$D$805,"*",[1]خرداد!$AC$2:$AC$805,O3)</f>
        <v>2</v>
      </c>
      <c r="P42" s="536">
        <f>SUMIFS([1]خرداد!$AF$2:$AF$805,[1]خرداد!$O$2:$O$805,8001,[1]خرداد!$D$2:$D$805,"*",[1]خرداد!$AC$2:$AC$805,P3)</f>
        <v>2</v>
      </c>
      <c r="Q42" s="186">
        <f>SUMIFS([1]تیر!$AF$2:$AF$805,[1]تیر!$O$2:$O$805,8001,[1]تیر!$D$2:$D$805,"*",[1]تیر!$AC$2:$AC$805,Q3)</f>
        <v>2</v>
      </c>
      <c r="R42" s="186">
        <f>SUMIFS([1]تیر!$AF$2:$AF$805,[1]تیر!$O$2:$O$805,8001,[1]تیر!$D$2:$D$805,"*",[1]تیر!$AC$2:$AC$805,R3)</f>
        <v>0</v>
      </c>
      <c r="S42" s="106">
        <f>SUMIFS([1]تیر!$AF$2:$AF$805,[1]تیر!$O$2:$O$805,8001,[1]تیر!$D$2:$D$805,"*",[1]تیر!$AC$2:$AC$805,S3)</f>
        <v>0</v>
      </c>
      <c r="T42" s="106">
        <f>SUMIFS([1]تیر!$AF$2:$AF$805,[1]تیر!$O$2:$O$805,8001,[1]تیر!$D$2:$D$805,"*",[1]تیر!$AC$2:$AC$805,T3)</f>
        <v>0</v>
      </c>
      <c r="U42" s="106">
        <f>SUMIFS([1]تیر!$AF$2:$AF$805,[1]تیر!$O$2:$O$805,8001,[1]تیر!$D$2:$D$805,"*",[1]تیر!$AC$2:$AC$805,U3)</f>
        <v>0</v>
      </c>
    </row>
    <row r="43" spans="1:21" ht="38.25" customHeight="1" thickBot="1" x14ac:dyDescent="0.3">
      <c r="A43" s="45">
        <v>21</v>
      </c>
      <c r="B43" s="12" t="s">
        <v>32</v>
      </c>
      <c r="C43" s="13">
        <v>8002</v>
      </c>
      <c r="D43" s="13">
        <v>44</v>
      </c>
      <c r="E43" s="13" t="s">
        <v>15</v>
      </c>
      <c r="F43" s="31" t="s">
        <v>23</v>
      </c>
      <c r="G43" s="14">
        <f t="shared" si="0"/>
        <v>7.5</v>
      </c>
      <c r="H43" s="48">
        <f t="shared" si="1"/>
        <v>0</v>
      </c>
      <c r="I43" s="14">
        <v>0</v>
      </c>
      <c r="J43" s="14">
        <v>0</v>
      </c>
      <c r="K43" s="14">
        <v>19</v>
      </c>
      <c r="L43" s="14">
        <v>0</v>
      </c>
      <c r="M43" s="14">
        <f>SUM(G43:L43)-(D43)</f>
        <v>-17.5</v>
      </c>
      <c r="N43" s="17" t="s">
        <v>29</v>
      </c>
      <c r="O43" s="179">
        <f>SUMIFS([1]خرداد!$AF$2:$AF$805,[1]خرداد!$O$2:$O$805,8002,[1]خرداد!$D$2:$D$805,$F$43,[1]خرداد!$AC$2:$AC$805,O3)</f>
        <v>7.5</v>
      </c>
      <c r="P43" s="186">
        <f>SUMIFS([1]خرداد!$AF$2:$AF$805,[1]خرداد!$O$2:$O$805,8002,[1]خرداد!$D$2:$D$805,$F$43,[1]خرداد!$AC$2:$AC$805,P3)</f>
        <v>0</v>
      </c>
      <c r="Q43" s="186">
        <f>SUMIFS([1]تیر!$AF$2:$AF$805,[1]تیر!$O$2:$O$805,8002,[1]تیر!$D$2:$D$805,$F$43,[1]تیر!$AC$2:$AC$805,Q3)</f>
        <v>0</v>
      </c>
      <c r="R43" s="186">
        <f>SUMIFS([1]تیر!$AF$2:$AF$805,[1]تیر!$O$2:$O$805,8002,[1]تیر!$D$2:$D$805,$F$43,[1]تیر!$AC$2:$AC$805,R3)</f>
        <v>0</v>
      </c>
      <c r="S43" s="106">
        <f>SUMIFS([1]تیر!$AF$2:$AF$805,[1]تیر!$O$2:$O$805,8002,[1]تیر!$D$2:$D$805,$F$43,[1]تیر!$AC$2:$AC$805,S3)</f>
        <v>0</v>
      </c>
      <c r="T43" s="106">
        <f>SUMIFS([1]تیر!$AF$2:$AF$805,[1]تیر!$O$2:$O$805,8002,[1]تیر!$D$2:$D$805,$F$43,[1]تیر!$AC$2:$AC$805,T3)</f>
        <v>0</v>
      </c>
      <c r="U43" s="106">
        <f>SUMIFS([1]تیر!$AF$2:$AF$805,[1]تیر!$O$2:$O$805,8002,[1]تیر!$D$2:$D$805,$F$43,[1]تیر!$AC$2:$AC$805,U3)</f>
        <v>0</v>
      </c>
    </row>
    <row r="44" spans="1:21" ht="36" customHeight="1" x14ac:dyDescent="0.25">
      <c r="A44" s="957">
        <v>22</v>
      </c>
      <c r="B44" s="974" t="s">
        <v>33</v>
      </c>
      <c r="C44" s="943" t="s">
        <v>33</v>
      </c>
      <c r="D44" s="932">
        <v>62.5</v>
      </c>
      <c r="E44" s="1002">
        <f>G44+G45+G46+G47</f>
        <v>54</v>
      </c>
      <c r="F44" s="32" t="s">
        <v>16</v>
      </c>
      <c r="G44" s="498">
        <f t="shared" si="0"/>
        <v>12</v>
      </c>
      <c r="H44" s="46">
        <f t="shared" si="1"/>
        <v>0</v>
      </c>
      <c r="I44" s="498">
        <v>0</v>
      </c>
      <c r="J44" s="498">
        <v>0</v>
      </c>
      <c r="K44" s="498">
        <v>19</v>
      </c>
      <c r="L44" s="498">
        <v>0</v>
      </c>
      <c r="M44" s="498">
        <f>(SUM(G44:L44))-D44</f>
        <v>-31.5</v>
      </c>
      <c r="N44" s="33" t="s">
        <v>29</v>
      </c>
      <c r="O44" s="165">
        <f>SUMIFS([1]خرداد!$AF$2:$AF$805,[1]خرداد!$O$2:$O$805,"مونتاژ",[1]خرداد!$D$2:$D$805,$F$44,[1]خرداد!$AC$2:$AC$805,O3)</f>
        <v>5</v>
      </c>
      <c r="P44" s="169">
        <f>SUMIFS([1]خرداد!$AF$2:$AF$805,[1]خرداد!$O$2:$O$805,"مونتاژ",[1]خرداد!$D$2:$D$805,$F$44,[1]خرداد!$AC$2:$AC$805,P3)</f>
        <v>4</v>
      </c>
      <c r="Q44" s="169">
        <f>SUMIFS([1]تیر!$AF$2:$AF$805,[1]تیر!$O$2:$O$805,"مونتاژ",[1]تیر!$D$2:$D$805,$F$44,[1]تیر!$AC$2:$AC$805,Q3)</f>
        <v>0</v>
      </c>
      <c r="R44" s="169">
        <f>SUMIFS([1]تیر!$AF$2:$AF$805,[1]تیر!$O$2:$O$805,"مونتاژ",[1]تیر!$D$2:$D$805,$F$44,[1]تیر!$AC$2:$AC$805,R3)</f>
        <v>3</v>
      </c>
      <c r="S44" s="98">
        <f>SUMIFS([1]تیر!$AF$2:$AF$805,[1]تیر!$O$2:$O$805,"مونتاژ",[1]تیر!$D$2:$D$805,$F$44,[1]تیر!$AC$2:$AC$805,S3)</f>
        <v>0</v>
      </c>
      <c r="T44" s="98">
        <f>SUMIFS([1]تیر!$AF$2:$AF$805,[1]تیر!$O$2:$O$805,"مونتاژ",[1]تیر!$D$2:$D$805,$F$44,[1]تیر!$AC$2:$AC$805,T3)</f>
        <v>0</v>
      </c>
      <c r="U44" s="98">
        <f>SUMIFS([1]تیر!$AF$2:$AF$805,[1]تیر!$O$2:$O$805,"مونتاژ",[1]تیر!$D$2:$D$805,$F$44,[1]تیر!$AC$2:$AC$805,U3)</f>
        <v>0</v>
      </c>
    </row>
    <row r="45" spans="1:21" ht="36" customHeight="1" x14ac:dyDescent="0.25">
      <c r="A45" s="958"/>
      <c r="B45" s="975"/>
      <c r="C45" s="965"/>
      <c r="D45" s="933"/>
      <c r="E45" s="965"/>
      <c r="F45" s="29" t="s">
        <v>12</v>
      </c>
      <c r="G45" s="3">
        <f t="shared" si="0"/>
        <v>4.5</v>
      </c>
      <c r="H45" s="47">
        <f t="shared" si="1"/>
        <v>0</v>
      </c>
      <c r="I45" s="3">
        <v>0</v>
      </c>
      <c r="J45" s="3">
        <v>0</v>
      </c>
      <c r="K45" s="3">
        <v>19</v>
      </c>
      <c r="L45" s="3">
        <v>0</v>
      </c>
      <c r="M45" s="3">
        <f>(SUM(G45:L45))-D44</f>
        <v>-39</v>
      </c>
      <c r="N45" s="58"/>
      <c r="O45" s="166">
        <f>SUMIFS([1]خرداد!$AF$2:$AF$805,[1]خرداد!$O$2:$O$805,"مونتاژ",[1]خرداد!$D$2:$D$805,$F$10,[1]خرداد!$AC$2:$AC$805,O3)+3</f>
        <v>4.5</v>
      </c>
      <c r="P45" s="168">
        <f>SUMIFS([1]خرداد!$AF$2:$AF$805,[1]خرداد!$O$2:$O$805,"مونتاژ",[1]خرداد!$D$2:$D$805,$F$45,[1]خرداد!$AC$2:$AC$805,P3)</f>
        <v>0</v>
      </c>
      <c r="Q45" s="168">
        <f>SUMIFS([1]تیر!$AF$2:$AF$805,[1]تیر!$O$2:$O$805,"مونتاژ",[1]تیر!$D$2:$D$805,$F$45,[1]تیر!$AC$2:$AC$805,Q3)</f>
        <v>0</v>
      </c>
      <c r="R45" s="168">
        <f>SUMIFS([1]تیر!$AF$2:$AF$805,[1]تیر!$O$2:$O$805,"مونتاژ",[1]تیر!$D$2:$D$805,$F$45,[1]تیر!$AC$2:$AC$805,R3)</f>
        <v>0</v>
      </c>
      <c r="S45" s="96">
        <f>SUMIFS([1]تیر!$AF$2:$AF$805,[1]تیر!$O$2:$O$805,"مونتاژ",[1]تیر!$D$2:$D$805,$F$45,[1]تیر!$AC$2:$AC$805,S3)</f>
        <v>0</v>
      </c>
      <c r="T45" s="96">
        <f>SUMIFS([1]تیر!$AF$2:$AF$805,[1]تیر!$O$2:$O$805,"مونتاژ",[1]تیر!$D$2:$D$805,$F$45,[1]تیر!$AC$2:$AC$805,T3)</f>
        <v>0</v>
      </c>
      <c r="U45" s="96">
        <f>SUMIFS([1]تیر!$AF$2:$AF$805,[1]تیر!$O$2:$O$805,"مونتاژ",[1]تیر!$D$2:$D$805,$F$45,[1]تیر!$AC$2:$AC$805,U3)</f>
        <v>0</v>
      </c>
    </row>
    <row r="46" spans="1:21" ht="36" customHeight="1" x14ac:dyDescent="0.25">
      <c r="A46" s="959"/>
      <c r="B46" s="975"/>
      <c r="C46" s="966"/>
      <c r="D46" s="933"/>
      <c r="E46" s="966"/>
      <c r="F46" s="29" t="s">
        <v>54</v>
      </c>
      <c r="G46" s="3">
        <f t="shared" si="0"/>
        <v>17</v>
      </c>
      <c r="H46" s="47">
        <f t="shared" si="1"/>
        <v>0</v>
      </c>
      <c r="I46" s="3">
        <v>0</v>
      </c>
      <c r="J46" s="3">
        <v>0</v>
      </c>
      <c r="K46" s="3">
        <v>19</v>
      </c>
      <c r="L46" s="3">
        <v>0</v>
      </c>
      <c r="M46" s="3">
        <f>(SUM(G46:L46))-62</f>
        <v>-26</v>
      </c>
      <c r="N46" s="62" t="s">
        <v>29</v>
      </c>
      <c r="O46" s="166">
        <f>SUMIFS([1]خرداد!$AF$2:$AF$805,[1]خرداد!$O$2:$O$805,"مونتاژ",[1]خرداد!$D$2:$D$805,$F$46,[1]خرداد!$AC$2:$AC$805,O3)</f>
        <v>5</v>
      </c>
      <c r="P46" s="168">
        <f>SUMIFS([1]خرداد!$AF$2:$AF$805,[1]خرداد!$O$2:$O$805,"مونتاژ",[1]خرداد!$D$2:$D$805,$F$46,[1]خرداد!$AC$2:$AC$805,P3)</f>
        <v>9</v>
      </c>
      <c r="Q46" s="168">
        <f>SUMIFS([1]تیر!$AF$2:$AF$805,[1]تیر!$O$2:$O$805,"مونتاژ",[1]تیر!$D$2:$D$805,$F$46,[1]تیر!$AC$2:$AC$805,Q3)</f>
        <v>0</v>
      </c>
      <c r="R46" s="168">
        <f>SUMIFS([1]تیر!$AF$2:$AF$805,[1]تیر!$O$2:$O$805,"مونتاژ",[1]تیر!$D$2:$D$805,$F$46,[1]تیر!$AC$2:$AC$805,R3)</f>
        <v>3</v>
      </c>
      <c r="S46" s="96">
        <f>SUMIFS([1]تیر!$AF$2:$AF$805,[1]تیر!$O$2:$O$805,"مونتاژ",[1]تیر!$D$2:$D$805,$F$46,[1]تیر!$AC$2:$AC$805,S3)</f>
        <v>0</v>
      </c>
      <c r="T46" s="96">
        <f>SUMIFS([1]تیر!$AF$2:$AF$805,[1]تیر!$O$2:$O$805,"مونتاژ",[1]تیر!$D$2:$D$805,$F$46,[1]تیر!$AC$2:$AC$805,T3)</f>
        <v>0</v>
      </c>
      <c r="U46" s="96">
        <f>SUMIFS([1]تیر!$AF$2:$AF$805,[1]تیر!$O$2:$O$805,"مونتاژ",[1]تیر!$D$2:$D$805,$F$46,[1]تیر!$AC$2:$AC$805,U3)</f>
        <v>0</v>
      </c>
    </row>
    <row r="47" spans="1:21" ht="36" customHeight="1" thickBot="1" x14ac:dyDescent="0.3">
      <c r="A47" s="960"/>
      <c r="B47" s="975"/>
      <c r="C47" s="944"/>
      <c r="D47" s="934"/>
      <c r="E47" s="944"/>
      <c r="F47" s="30" t="s">
        <v>55</v>
      </c>
      <c r="G47" s="6">
        <f t="shared" si="0"/>
        <v>20.5</v>
      </c>
      <c r="H47" s="64">
        <f t="shared" si="1"/>
        <v>0</v>
      </c>
      <c r="I47" s="7">
        <v>0</v>
      </c>
      <c r="J47" s="7">
        <v>0</v>
      </c>
      <c r="K47" s="7">
        <v>19</v>
      </c>
      <c r="L47" s="7">
        <v>0</v>
      </c>
      <c r="M47" s="7">
        <f>SUM(G47:J47)-62</f>
        <v>-41.5</v>
      </c>
      <c r="N47" s="34"/>
      <c r="O47" s="167">
        <f>SUMIFS([1]خرداد!$AF$2:$AF$805,[1]خرداد!$O$2:$O$805,"مونتاژ",[1]خرداد!$D$2:$D$805,$F$47,[1]خرداد!$AC$2:$AC$805,O3)</f>
        <v>0</v>
      </c>
      <c r="P47" s="175">
        <f>SUMIFS([1]خرداد!$AF$2:$AF$805,[1]خرداد!$O$2:$O$805,"مونتاژ",[1]خرداد!$D$2:$D$805,$F$47,[1]خرداد!$AC$2:$AC$805,P3)</f>
        <v>11</v>
      </c>
      <c r="Q47" s="175">
        <f>SUMIFS([1]تیر!$AF$2:$AF$805,[1]تیر!$O$2:$O$805,"مونتاژ",[1]تیر!$D$2:$D$805,$F$47,[1]تیر!$AC$2:$AC$805,Q3)</f>
        <v>5.5</v>
      </c>
      <c r="R47" s="175">
        <f>SUMIFS([1]تیر!$AF$2:$AF$805,[1]تیر!$O$2:$O$805,"مونتاژ",[1]تیر!$D$2:$D$805,$F$47,[1]تیر!$AC$2:$AC$805,R3)</f>
        <v>4</v>
      </c>
      <c r="S47" s="97">
        <f>SUMIFS([1]تیر!$AF$2:$AF$805,[1]تیر!$O$2:$O$805,"مونتاژ",[1]تیر!$D$2:$D$805,$F$47,[1]تیر!$AC$2:$AC$805,S3)</f>
        <v>0</v>
      </c>
      <c r="T47" s="97">
        <f>SUMIFS([1]تیر!$AF$2:$AF$805,[1]تیر!$O$2:$O$805,"مونتاژ",[1]تیر!$D$2:$D$805,$F$47,[1]تیر!$AC$2:$AC$805,T3)</f>
        <v>0</v>
      </c>
      <c r="U47" s="97">
        <f>SUMIFS([1]تیر!$AF$2:$AF$805,[1]تیر!$O$2:$O$805,"مونتاژ",[1]تیر!$D$2:$D$805,$F$47,[1]تیر!$AC$2:$AC$805,U3)</f>
        <v>0</v>
      </c>
    </row>
    <row r="48" spans="1:21" ht="36" customHeight="1" x14ac:dyDescent="0.25">
      <c r="A48" s="967">
        <v>23</v>
      </c>
      <c r="B48" s="975"/>
      <c r="C48" s="943" t="s">
        <v>34</v>
      </c>
      <c r="D48" s="932">
        <v>62.5</v>
      </c>
      <c r="E48" s="932"/>
      <c r="F48" s="32" t="s">
        <v>16</v>
      </c>
      <c r="G48" s="498">
        <f t="shared" si="0"/>
        <v>12</v>
      </c>
      <c r="H48" s="46">
        <f t="shared" si="1"/>
        <v>0</v>
      </c>
      <c r="I48" s="498">
        <v>0</v>
      </c>
      <c r="J48" s="498">
        <v>0</v>
      </c>
      <c r="K48" s="498">
        <v>19</v>
      </c>
      <c r="L48" s="498">
        <v>0</v>
      </c>
      <c r="M48" s="498">
        <f>SUM(G48:L48)-62</f>
        <v>-31</v>
      </c>
      <c r="N48" s="56"/>
      <c r="O48" s="165">
        <f>SUMIFS([1]خرداد!$AF$2:$AF$805,[1]خرداد!$O$2:$O$805,"دمونتاژ",[1]خرداد!$D$2:$D$805,$F$48,[1]خرداد!$AC$2:$AC$805,O3)</f>
        <v>1</v>
      </c>
      <c r="P48" s="169">
        <f>SUMIFS([1]خرداد!$AF$2:$AF$805,[1]خرداد!$O$2:$O$805,"دمونتاژ",[1]خرداد!$D$2:$D$805,$F$48,[1]خرداد!$AC$2:$AC$805,P3)</f>
        <v>0</v>
      </c>
      <c r="Q48" s="169">
        <f>SUMIFS([1]تیر!$AF$2:$AF$805,[1]تیر!$O$2:$O$805,"دمونتاژ",[1]تیر!$D$2:$D$805,$F$48,[1]تیر!$AC$2:$AC$805,Q3)</f>
        <v>5</v>
      </c>
      <c r="R48" s="169">
        <f>SUMIFS([1]تیر!$AF$2:$AF$805,[1]تیر!$O$2:$O$805,"دمونتاژ",[1]تیر!$D$2:$D$805,$F$48,[1]تیر!$AC$2:$AC$805,R3)</f>
        <v>6</v>
      </c>
      <c r="S48" s="98">
        <f>SUMIFS([1]تیر!$AF$2:$AF$805,[1]تیر!$O$2:$O$805,"دمونتاژ",[1]تیر!$D$2:$D$805,$F$48,[1]تیر!$AC$2:$AC$805,S3)</f>
        <v>0</v>
      </c>
      <c r="T48" s="98">
        <f>SUMIFS([1]تیر!$AF$2:$AF$805,[1]تیر!$O$2:$O$805,"دمونتاژ",[1]تیر!$D$2:$D$805,$F$48,[1]تیر!$AC$2:$AC$805,T3)</f>
        <v>0</v>
      </c>
      <c r="U48" s="98">
        <f>SUMIFS([1]تیر!$AF$2:$AF$805,[1]تیر!$O$2:$O$805,"دمونتاژ",[1]تیر!$D$2:$D$805,$F$48,[1]تیر!$AC$2:$AC$805,U3)</f>
        <v>0</v>
      </c>
    </row>
    <row r="49" spans="1:21" ht="36" customHeight="1" x14ac:dyDescent="0.25">
      <c r="A49" s="967"/>
      <c r="B49" s="975"/>
      <c r="C49" s="965"/>
      <c r="D49" s="933"/>
      <c r="E49" s="933"/>
      <c r="F49" s="29" t="s">
        <v>55</v>
      </c>
      <c r="G49" s="3">
        <f t="shared" si="0"/>
        <v>0</v>
      </c>
      <c r="H49" s="47">
        <f t="shared" si="1"/>
        <v>0</v>
      </c>
      <c r="I49" s="3">
        <v>0</v>
      </c>
      <c r="J49" s="3">
        <v>0</v>
      </c>
      <c r="K49" s="3">
        <v>19</v>
      </c>
      <c r="L49" s="3">
        <v>0</v>
      </c>
      <c r="M49" s="3">
        <f>SUM(G49:L49)-62</f>
        <v>-43</v>
      </c>
      <c r="N49" s="62"/>
      <c r="O49" s="166">
        <f>SUMIFS([1]خرداد!$AF$2:$AF$805,[1]خرداد!$O$2:$O$805,"دمونتاژ",[1]خرداد!$D$2:$D$805,$F$49,[1]خرداد!$AC$2:$AC$805,O3)</f>
        <v>0</v>
      </c>
      <c r="P49" s="168">
        <f>SUMIFS([1]خرداد!$AF$2:$AF$805,[1]خرداد!$O$2:$O$805,"دمونتاژ",[1]خرداد!$D$2:$D$805,$F$49,[1]خرداد!$AC$2:$AC$805,P3)</f>
        <v>0</v>
      </c>
      <c r="Q49" s="168">
        <f>SUMIFS([1]تیر!$AF$2:$AF$805,[1]تیر!$O$2:$O$805,"دمونتاژ",[1]تیر!$D$2:$D$805,$F$49,[1]تیر!$AC$2:$AC$805,Q3)</f>
        <v>0</v>
      </c>
      <c r="R49" s="168">
        <f>SUMIFS([1]تیر!$AF$2:$AF$805,[1]تیر!$O$2:$O$805,"دمونتاژ",[1]تیر!$D$2:$D$805,$F$49,[1]تیر!$AC$2:$AC$805,R3)</f>
        <v>0</v>
      </c>
      <c r="S49" s="96">
        <f>SUMIFS([1]تیر!$AF$2:$AF$805,[1]تیر!$O$2:$O$805,"دمونتاژ",[1]تیر!$D$2:$D$805,$F$49,[1]تیر!$AC$2:$AC$805,S3)</f>
        <v>0</v>
      </c>
      <c r="T49" s="96">
        <f>SUMIFS([1]تیر!$AF$2:$AF$805,[1]تیر!$O$2:$O$805,"دمونتاژ",[1]تیر!$D$2:$D$805,$F$49,[1]تیر!$AC$2:$AC$805,T3)</f>
        <v>0</v>
      </c>
      <c r="U49" s="96">
        <f>SUMIFS([1]تیر!$AF$2:$AF$805,[1]تیر!$O$2:$O$805,"دمونتاژ",[1]تیر!$D$2:$D$805,$F$49,[1]تیر!$AC$2:$AC$805,U3)</f>
        <v>0</v>
      </c>
    </row>
    <row r="50" spans="1:21" ht="36" customHeight="1" x14ac:dyDescent="0.25">
      <c r="A50" s="967"/>
      <c r="B50" s="975"/>
      <c r="C50" s="965"/>
      <c r="D50" s="933"/>
      <c r="E50" s="933"/>
      <c r="F50" s="29" t="s">
        <v>54</v>
      </c>
      <c r="G50" s="3">
        <f t="shared" si="0"/>
        <v>15</v>
      </c>
      <c r="H50" s="47">
        <f t="shared" si="1"/>
        <v>0</v>
      </c>
      <c r="I50" s="3">
        <v>0</v>
      </c>
      <c r="J50" s="3">
        <v>0</v>
      </c>
      <c r="K50" s="3">
        <v>19</v>
      </c>
      <c r="L50" s="3">
        <v>0</v>
      </c>
      <c r="M50" s="3">
        <f>SUM(G50:L50)-62</f>
        <v>-28</v>
      </c>
      <c r="N50" s="62"/>
      <c r="O50" s="166">
        <f>SUMIFS([1]خرداد!$AF$2:$AF$805,[1]خرداد!$O$2:$O$805,"دمونتاژ",[1]خرداد!$D$2:$D$805,$F$50,[1]خرداد!$AC$2:$AC$805,O3)</f>
        <v>3</v>
      </c>
      <c r="P50" s="168">
        <f>SUMIFS([1]خرداد!$AF$2:$AF$805,[1]خرداد!$O$2:$O$805,"دمونتاژ",[1]خرداد!$D$2:$D$805,$F$50,[1]خرداد!$AC$2:$AC$805,P3)</f>
        <v>0</v>
      </c>
      <c r="Q50" s="168">
        <f>SUMIFS([1]تیر!$AF$2:$AF$805,[1]تیر!$O$2:$O$805,"دمونتاژ",[1]تیر!$D$2:$D$805,$F$50,[1]تیر!$AC$2:$AC$805,Q3)</f>
        <v>6</v>
      </c>
      <c r="R50" s="168">
        <f>SUMIFS([1]تیر!$AF$2:$AF$805,[1]تیر!$O$2:$O$805,"دمونتاژ",[1]تیر!$D$2:$D$805,$F$50,[1]تیر!$AC$2:$AC$805,R3)</f>
        <v>6</v>
      </c>
      <c r="S50" s="96">
        <f>SUMIFS([1]تیر!$AF$2:$AF$805,[1]تیر!$O$2:$O$805,"دمونتاژ",[1]تیر!$D$2:$D$805,$F$50,[1]تیر!$AC$2:$AC$805,S3)</f>
        <v>0</v>
      </c>
      <c r="T50" s="96">
        <f>SUMIFS([1]تیر!$AF$2:$AF$805,[1]تیر!$O$2:$O$805,"دمونتاژ",[1]تیر!$D$2:$D$805,$F$50,[1]تیر!$AC$2:$AC$805,T3)</f>
        <v>0</v>
      </c>
      <c r="U50" s="96">
        <f>SUMIFS([1]تیر!$AF$2:$AF$805,[1]تیر!$O$2:$O$805,"دمونتاژ",[1]تیر!$D$2:$D$805,$F$50,[1]تیر!$AC$2:$AC$805,U3)</f>
        <v>0</v>
      </c>
    </row>
    <row r="51" spans="1:21" ht="36" customHeight="1" thickBot="1" x14ac:dyDescent="0.3">
      <c r="A51" s="967"/>
      <c r="B51" s="976"/>
      <c r="C51" s="966"/>
      <c r="D51" s="934"/>
      <c r="E51" s="934"/>
      <c r="F51" s="485"/>
      <c r="G51" s="4">
        <f t="shared" si="0"/>
        <v>0</v>
      </c>
      <c r="H51" s="49">
        <f t="shared" si="1"/>
        <v>0</v>
      </c>
      <c r="I51" s="25">
        <v>0</v>
      </c>
      <c r="J51" s="25">
        <v>0</v>
      </c>
      <c r="K51" s="25">
        <v>0</v>
      </c>
      <c r="L51" s="25">
        <v>0</v>
      </c>
      <c r="M51" s="25">
        <f>SUM(G51:L51)-62</f>
        <v>-62</v>
      </c>
      <c r="N51" s="58"/>
      <c r="O51" s="171">
        <f>SUMIFS([1]اردیبهشت!$AD$2:$AD$805,[1]اردیبهشت!$O$2:$O$805,"دمونتاژ",[1]اردیبهشت!$D$2:$D$805,$F$51,[1]اردیبهشت!$AA$2:$AA$805,O3)</f>
        <v>0</v>
      </c>
      <c r="P51" s="294">
        <f>SUMIFS([1]اردیبهشت!$AD$2:$AD$805,[1]اردیبهشت!$O$2:$O$805,"دمونتاژ",[1]اردیبهشت!$D$2:$D$805,$F$51,[1]اردیبهشت!$AA$2:$AA$805,P3)</f>
        <v>0</v>
      </c>
      <c r="Q51" s="172">
        <f>SUMIFS([1]تیر!$AF$2:$AF$805,[1]تیر!$O$2:$O$805,"دمونتاژ",[1]تیر!$D$2:$D$805,$F$51,[1]تیر!$AC$2:$AC$805,Q3)</f>
        <v>0</v>
      </c>
      <c r="R51" s="172">
        <f>SUMIFS([1]تیر!$AF$2:$AF$805,[1]تیر!$O$2:$O$805,"دمونتاژ",[1]تیر!$D$2:$D$805,$F$51,[1]تیر!$AC$2:$AC$805,R3)</f>
        <v>0</v>
      </c>
      <c r="S51" s="103">
        <f>SUMIFS([1]تیر!$AF$2:$AF$805,[1]تیر!$O$2:$O$805,"دمونتاژ",[1]تیر!$D$2:$D$805,$F$51,[1]تیر!$AC$2:$AC$805,S3)</f>
        <v>0</v>
      </c>
      <c r="T51" s="103">
        <f>SUMIFS([1]تیر!$AF$2:$AF$805,[1]تیر!$O$2:$O$805,"دمونتاژ",[1]تیر!$D$2:$D$805,$F$51,[1]تیر!$AC$2:$AC$805,T3)</f>
        <v>0</v>
      </c>
      <c r="U51" s="103">
        <f>SUMIFS([1]تیر!$AF$2:$AF$805,[1]تیر!$O$2:$O$805,"دمونتاژ",[1]تیر!$D$2:$D$805,$F$51,[1]تیر!$AC$2:$AC$805,U3)</f>
        <v>0</v>
      </c>
    </row>
    <row r="52" spans="1:21" ht="42.75" customHeight="1" thickBot="1" x14ac:dyDescent="0.3">
      <c r="A52" s="951" t="s">
        <v>49</v>
      </c>
      <c r="B52" s="952"/>
      <c r="C52" s="952"/>
      <c r="D52" s="952"/>
      <c r="E52" s="952"/>
      <c r="F52" s="953"/>
      <c r="G52" s="148">
        <f t="shared" ref="G52:L52" si="2">SUM(G4:G51)</f>
        <v>498.41666666666669</v>
      </c>
      <c r="H52" s="148">
        <f t="shared" si="2"/>
        <v>0</v>
      </c>
      <c r="I52" s="148">
        <f t="shared" si="2"/>
        <v>30</v>
      </c>
      <c r="J52" s="148">
        <f t="shared" si="2"/>
        <v>134</v>
      </c>
      <c r="K52" s="148">
        <f t="shared" si="2"/>
        <v>475</v>
      </c>
      <c r="L52" s="148">
        <f t="shared" si="2"/>
        <v>0</v>
      </c>
      <c r="M52" s="149">
        <f>SUMIFS(M4:M51,F4:F51,"*")</f>
        <v>-647.58333333333326</v>
      </c>
      <c r="N52" s="306"/>
      <c r="O52" s="302">
        <f>SUM(O4:O51)</f>
        <v>155.58333333333331</v>
      </c>
      <c r="P52" s="198">
        <f t="shared" ref="P52:U52" si="3">SUM(P4:P51)</f>
        <v>136</v>
      </c>
      <c r="Q52" s="198">
        <f t="shared" si="3"/>
        <v>111</v>
      </c>
      <c r="R52" s="198">
        <f t="shared" si="3"/>
        <v>95.833333333333329</v>
      </c>
      <c r="S52" s="199">
        <f t="shared" si="3"/>
        <v>0</v>
      </c>
      <c r="T52" s="199">
        <f t="shared" si="3"/>
        <v>0</v>
      </c>
      <c r="U52" s="150">
        <f t="shared" si="3"/>
        <v>0</v>
      </c>
    </row>
  </sheetData>
  <mergeCells count="40">
    <mergeCell ref="E16:E18"/>
    <mergeCell ref="N16:N18"/>
    <mergeCell ref="A1:L2"/>
    <mergeCell ref="O1:U2"/>
    <mergeCell ref="E4:E6"/>
    <mergeCell ref="N4:N6"/>
    <mergeCell ref="E7:E9"/>
    <mergeCell ref="E20:E22"/>
    <mergeCell ref="N20:N22"/>
    <mergeCell ref="E23:E25"/>
    <mergeCell ref="N23:N25"/>
    <mergeCell ref="E26:E28"/>
    <mergeCell ref="N26:N28"/>
    <mergeCell ref="A29:A30"/>
    <mergeCell ref="E29:E30"/>
    <mergeCell ref="N29:N30"/>
    <mergeCell ref="A31:A32"/>
    <mergeCell ref="E31:E32"/>
    <mergeCell ref="N31:N32"/>
    <mergeCell ref="A33:A34"/>
    <mergeCell ref="E33:E34"/>
    <mergeCell ref="N33:N34"/>
    <mergeCell ref="A35:A36"/>
    <mergeCell ref="E35:E36"/>
    <mergeCell ref="N35:N36"/>
    <mergeCell ref="A37:A38"/>
    <mergeCell ref="E37:E38"/>
    <mergeCell ref="N37:N38"/>
    <mergeCell ref="E39:E41"/>
    <mergeCell ref="N39:N41"/>
    <mergeCell ref="A48:A51"/>
    <mergeCell ref="C48:C51"/>
    <mergeCell ref="D48:D51"/>
    <mergeCell ref="E48:E51"/>
    <mergeCell ref="A52:F52"/>
    <mergeCell ref="B44:B51"/>
    <mergeCell ref="A44:A47"/>
    <mergeCell ref="C44:C47"/>
    <mergeCell ref="D44:D47"/>
    <mergeCell ref="E44:E47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:M52" formulaRange="1"/>
    <ignoredError sqref="Q4 U24 U26 U29 U31" formula="1"/>
  </ignoredErrors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537A-E9EC-411C-B54A-F990F9DFACEB}">
  <sheetPr>
    <pageSetUpPr fitToPage="1"/>
  </sheetPr>
  <dimension ref="A1:U55"/>
  <sheetViews>
    <sheetView rightToLeft="1" view="pageLayout" zoomScaleNormal="100" workbookViewId="0">
      <selection activeCell="N3" sqref="N3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20" width="6.42578125" style="52" hidden="1" customWidth="1"/>
    <col min="21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15</v>
      </c>
      <c r="O2" s="926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291" t="s">
        <v>152</v>
      </c>
      <c r="P3" s="291" t="s">
        <v>153</v>
      </c>
      <c r="Q3" s="291" t="s">
        <v>154</v>
      </c>
      <c r="R3" s="291" t="s">
        <v>155</v>
      </c>
      <c r="S3" s="291" t="s">
        <v>156</v>
      </c>
      <c r="T3" s="291" t="s">
        <v>157</v>
      </c>
      <c r="U3" s="392" t="s">
        <v>158</v>
      </c>
    </row>
    <row r="4" spans="1:21" ht="33.75" customHeight="1" x14ac:dyDescent="0.25">
      <c r="A4" s="502"/>
      <c r="B4" s="521"/>
      <c r="C4" s="42"/>
      <c r="D4" s="527"/>
      <c r="E4" s="932" t="s">
        <v>15</v>
      </c>
      <c r="F4" s="507" t="s">
        <v>55</v>
      </c>
      <c r="G4" s="535">
        <f>SUM(O4:T4)</f>
        <v>18</v>
      </c>
      <c r="H4" s="46">
        <f>U4</f>
        <v>0</v>
      </c>
      <c r="I4" s="535">
        <v>0</v>
      </c>
      <c r="J4" s="535">
        <v>0</v>
      </c>
      <c r="K4" s="535">
        <v>0</v>
      </c>
      <c r="L4" s="535">
        <v>0</v>
      </c>
      <c r="M4" s="28"/>
      <c r="N4" s="945" t="s">
        <v>13</v>
      </c>
      <c r="O4" s="292">
        <f>SUMIFS([1]تیر!$AF$2:$AF$805,[1]تیر!$O$2:$O$805,7101,[1]تیر!$D$2:$D$805,$F$4,[1]تیر!$AC$2:$AC$805,O3)</f>
        <v>11</v>
      </c>
      <c r="P4" s="169">
        <f>SUMIFS([1]تیر!$AF$2:$AF$805,[1]تیر!$O$2:$O$805,7101,[1]تیر!$D$2:$D$805,$F$4,[1]تیر!$AC$2:$AC$805,P3)</f>
        <v>6</v>
      </c>
      <c r="Q4" s="169">
        <f>SUMIFS([1]تیر!$AF$2:$AF$805,[1]تیر!$O$2:$O$805,7101,[1]تیر!$D$2:$D$805,$F$4,[1]تیر!$AC$2:$AC$805,Q3)</f>
        <v>0</v>
      </c>
      <c r="R4" s="169">
        <f>SUMIFS([1]تیر!$AF$2:$AF$805,[1]تیر!$O$2:$O$805,7101,[1]تیر!$D$2:$D$805,$F$4,[1]تیر!$AC$2:$AC$805,R3)</f>
        <v>0</v>
      </c>
      <c r="S4" s="169">
        <f>SUMIFS([1]تیر!$AF$2:$AF$805,[1]تیر!$O$2:$O$805,7101,[1]تیر!$D$2:$D$805,$F$4,[1]تیر!$AC$2:$AC$805,S3)</f>
        <v>1</v>
      </c>
      <c r="T4" s="169">
        <f>SUMIFS([1]تیر!$AF$2:$AF$805,[1]تیر!$O$2:$O$805,7101,[1]تیر!$D$2:$D$805,$F$4,[1]تیر!$AC$2:$AC$805,T3)</f>
        <v>0</v>
      </c>
      <c r="U4" s="107">
        <f>SUMIFS([1]تیر!$AF$2:$AF$805,[1]تیر!$O$2:$O$805,7101,[1]تیر!$D$2:$D$805,$F$4,[1]تیر!$AC$2:$AC$805,U3)</f>
        <v>0</v>
      </c>
    </row>
    <row r="5" spans="1:21" ht="33.75" customHeight="1" x14ac:dyDescent="0.25">
      <c r="A5" s="503">
        <v>1</v>
      </c>
      <c r="B5" s="514" t="s">
        <v>14</v>
      </c>
      <c r="C5" s="512">
        <v>7101</v>
      </c>
      <c r="D5" s="528">
        <v>62.5</v>
      </c>
      <c r="E5" s="1003"/>
      <c r="F5" s="508"/>
      <c r="G5" s="3">
        <f t="shared" ref="G5:G53" si="0">SUM(O5:T5)</f>
        <v>0</v>
      </c>
      <c r="H5" s="47">
        <f t="shared" ref="H5:H53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-44.5</v>
      </c>
      <c r="N5" s="929"/>
      <c r="O5" s="293">
        <f>SUMIFS([1]خرداد!$AF$2:$AF$805,[1]خرداد!$O$2:$O$805,7101,[1]خرداد!$D$2:$D$805,$F$5,[1]خرداد!$AC$2:$AC$805,O3)</f>
        <v>0</v>
      </c>
      <c r="P5" s="168">
        <f>SUMIFS([1]خرداد!$AF$2:$AF$805,[1]خرداد!$O$2:$O$805,7101,[1]خرداد!$D$2:$D$805,$F$5,[1]خرداد!$AC$2:$AC$805,P3)</f>
        <v>0</v>
      </c>
      <c r="Q5" s="168">
        <f>SUMIFS([1]خرداد!$AF$2:$AF$805,[1]خرداد!$O$2:$O$805,7101,[1]خرداد!$D$2:$D$805,$F$5,[1]خرداد!$AC$2:$AC$805,Q3)</f>
        <v>0</v>
      </c>
      <c r="R5" s="168">
        <f>SUMIFS([1]خرداد!$AF$2:$AF$805,[1]خرداد!$O$2:$O$805,7101,[1]خرداد!$D$2:$D$805,$F$5,[1]خرداد!$AC$2:$AC$805,R3)</f>
        <v>0</v>
      </c>
      <c r="S5" s="168">
        <f>SUMIFS([1]خرداد!$AF$2:$AF$805,[1]خرداد!$O$2:$O$805,7101,[1]خرداد!$D$2:$D$805,$F$5,[1]خرداد!$AC$2:$AC$805,S3)</f>
        <v>0</v>
      </c>
      <c r="T5" s="168">
        <f>SUMIFS([1]خرداد!$AF$2:$AF$805,[1]خرداد!$O$2:$O$805,7101,[1]خرداد!$D$2:$D$805,$F$5,[1]خرداد!$AC$2:$AC$805,T3)</f>
        <v>0</v>
      </c>
      <c r="U5" s="108">
        <f>SUMIFS([1]خرداد!$AF$2:$AF$805,[1]خرداد!$O$2:$O$805,7101,[1]خرداد!$D$2:$D$805,$F$5,[1]خرداد!$AC$2:$AC$805,U3)</f>
        <v>0</v>
      </c>
    </row>
    <row r="6" spans="1:21" ht="33.75" customHeight="1" thickBot="1" x14ac:dyDescent="0.3">
      <c r="A6" s="504"/>
      <c r="B6" s="88"/>
      <c r="C6" s="43"/>
      <c r="D6" s="513"/>
      <c r="E6" s="934"/>
      <c r="F6" s="5"/>
      <c r="G6" s="6">
        <f t="shared" si="0"/>
        <v>0</v>
      </c>
      <c r="H6" s="64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352">
        <f>SUMIFS([1]اردیبهشت!$AD$2:$AD$600,[1]اردیبهشت!$N$2:$N$600,7101,[1]اردیبهشت!$D$2:$D$600,$F$6,[1]اردیبهشت!$AA$2:$AA$600,O3)</f>
        <v>0</v>
      </c>
      <c r="P6" s="175">
        <f>SUMIFS([1]اردیبهشت!$AD$2:$AD$600,[1]اردیبهشت!$N$2:$N$600,7101,[1]اردیبهشت!$D$2:$D$600,$F$6,[1]اردیبهشت!$AA$2:$AA$600,P3)</f>
        <v>0</v>
      </c>
      <c r="Q6" s="175">
        <f>SUMIFS([1]اردیبهشت!$AD$2:$AD$600,[1]اردیبهشت!$N$2:$N$600,7101,[1]اردیبهشت!$D$2:$D$600,$F$6,[1]اردیبهشت!$AA$2:$AA$600,Q3)</f>
        <v>0</v>
      </c>
      <c r="R6" s="175">
        <f>SUMIFS([1]اردیبهشت!$AD$2:$AD$600,[1]اردیبهشت!$N$2:$N$600,7101,[1]اردیبهشت!$D$2:$D$600,$F$6,[1]اردیبهشت!$AA$2:$AA$600,R3)</f>
        <v>0</v>
      </c>
      <c r="S6" s="175">
        <f>SUMIFS([1]اردیبهشت!$AD$2:$AD$600,[1]اردیبهشت!$N$2:$N$600,7101,[1]اردیبهشت!$D$2:$D$600,$F$6,[1]اردیبهشت!$AA$2:$AA$600,S3)</f>
        <v>0</v>
      </c>
      <c r="T6" s="175">
        <f>SUMIFS([1]اردیبهشت!$AD$2:$AD$600,[1]اردیبهشت!$N$2:$N$600,7101,[1]اردیبهشت!$D$2:$D$600,$F$6,[1]اردیبهشت!$AA$2:$AA$600,T3)</f>
        <v>0</v>
      </c>
      <c r="U6" s="114">
        <f>SUMIFS([1]اردیبهشت!$AD$2:$AD$600,[1]اردیبهشت!$N$2:$N$600,7101,[1]اردیبهشت!$D$2:$D$600,$F$6,[1]اردیبهشت!$AA$2:$AA$600,U3)</f>
        <v>0</v>
      </c>
    </row>
    <row r="7" spans="1:21" ht="33.75" customHeight="1" x14ac:dyDescent="0.25">
      <c r="A7" s="525"/>
      <c r="B7" s="216"/>
      <c r="C7" s="216"/>
      <c r="D7" s="512"/>
      <c r="E7" s="932" t="s">
        <v>15</v>
      </c>
      <c r="F7" s="20" t="s">
        <v>20</v>
      </c>
      <c r="G7" s="1">
        <f t="shared" si="0"/>
        <v>62.5</v>
      </c>
      <c r="H7" s="49">
        <f t="shared" si="1"/>
        <v>0</v>
      </c>
      <c r="I7" s="1">
        <v>0</v>
      </c>
      <c r="J7" s="1">
        <v>0</v>
      </c>
      <c r="K7" s="1">
        <v>0</v>
      </c>
      <c r="L7" s="1">
        <v>0</v>
      </c>
      <c r="M7" s="69"/>
      <c r="N7" s="517"/>
      <c r="O7" s="292">
        <f>SUMIFS([1]تیر!$AF$2:$AF$805,[1]تیر!$O$2:$O$805,7102,[1]تیر!$D$2:$D$805,$F$7,[1]تیر!$AC$2:$AC$805,O3)</f>
        <v>11</v>
      </c>
      <c r="P7" s="169">
        <f>SUMIFS([1]تیر!$AF$2:$AF$805,[1]تیر!$O$2:$O$805,7102,[1]تیر!$D$2:$D$805,$F$7,[1]تیر!$AC$2:$AC$805,P3)</f>
        <v>11</v>
      </c>
      <c r="Q7" s="169">
        <f>SUMIFS([1]تیر!$AF$2:$AF$805,[1]تیر!$O$2:$O$805,7102,[1]تیر!$D$2:$D$805,$F$7,[1]تیر!$AC$2:$AC$805,Q3)</f>
        <v>11</v>
      </c>
      <c r="R7" s="169">
        <f>SUMIFS([1]تیر!$AF$2:$AF$805,[1]تیر!$O$2:$O$805,7102,[1]تیر!$D$2:$D$805,$F$7,[1]تیر!$AC$2:$AC$805,R3)</f>
        <v>11</v>
      </c>
      <c r="S7" s="169">
        <f>SUMIFS([1]تیر!$AF$2:$AF$805,[1]تیر!$O$2:$O$805,7102,[1]تیر!$D$2:$D$805,$F$7,[1]تیر!$AC$2:$AC$805,S3)</f>
        <v>11</v>
      </c>
      <c r="T7" s="169">
        <f>SUMIFS([1]تیر!$AF$2:$AF$805,[1]تیر!$O$2:$O$805,7102,[1]تیر!$D$2:$D$805,$F$7,[1]تیر!$AC$2:$AC$805,T3)</f>
        <v>7.5</v>
      </c>
      <c r="U7" s="107">
        <f>SUMIFS([1]تیر!$AF$2:$AF$805,[1]تیر!$O$2:$O$805,7102,[1]تیر!$D$2:$D$805,$F$7,[1]تیر!$AC$2:$AC$805,U3)</f>
        <v>0</v>
      </c>
    </row>
    <row r="8" spans="1:21" ht="33.75" customHeight="1" x14ac:dyDescent="0.25">
      <c r="A8" s="525">
        <v>2</v>
      </c>
      <c r="B8" s="587" t="s">
        <v>14</v>
      </c>
      <c r="C8" s="512">
        <v>7102</v>
      </c>
      <c r="D8" s="586">
        <v>62.5</v>
      </c>
      <c r="E8" s="1003"/>
      <c r="F8" s="531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0</v>
      </c>
      <c r="N8" s="518"/>
      <c r="O8" s="293">
        <f>SUMIFS([1]اردیبهشت!$AD$2:$AD$600,[1]اردیبهشت!$N$2:$N$600,7102,[1]اردیبهشت!$D$2:$D$600,$F$8,[1]اردیبهشت!$AA$2:$AA$600,O3)</f>
        <v>0</v>
      </c>
      <c r="P8" s="168">
        <f>SUMIFS([1]اردیبهشت!$AD$2:$AD$600,[1]اردیبهشت!$N$2:$N$600,7102,[1]اردیبهشت!$D$2:$D$600,$F$8,[1]اردیبهشت!$AA$2:$AA$600,P3)</f>
        <v>0</v>
      </c>
      <c r="Q8" s="168">
        <f>SUMIFS([1]اردیبهشت!$AD$2:$AD$600,[1]اردیبهشت!$N$2:$N$600,7102,[1]اردیبهشت!$D$2:$D$600,$F$8,[1]اردیبهشت!$AA$2:$AA$600,Q3)</f>
        <v>0</v>
      </c>
      <c r="R8" s="168">
        <f>SUMIFS([1]اردیبهشت!$AD$2:$AD$600,[1]اردیبهشت!$N$2:$N$600,7102,[1]اردیبهشت!$D$2:$D$600,$F$8,[1]اردیبهشت!$AA$2:$AA$600,R3)</f>
        <v>0</v>
      </c>
      <c r="S8" s="168">
        <f>SUMIFS([1]اردیبهشت!$AD$2:$AD$600,[1]اردیبهشت!$N$2:$N$600,7102,[1]اردیبهشت!$D$2:$D$600,$F$8,[1]اردیبهشت!$AA$2:$AA$600,S3)</f>
        <v>0</v>
      </c>
      <c r="T8" s="168">
        <f>SUMIFS([1]اردیبهشت!$AD$2:$AD$600,[1]اردیبهشت!$N$2:$N$600,7102,[1]اردیبهشت!$D$2:$D$600,$F$8,[1]اردیبهشت!$AA$2:$AA$600,T3)</f>
        <v>0</v>
      </c>
      <c r="U8" s="108">
        <f>SUMIFS([1]اردیبهشت!$AD$2:$AD$600,[1]اردیبهشت!$N$2:$N$600,7102,[1]اردیبهشت!$D$2:$D$600,$F$8,[1]اردیبهشت!$AA$2:$AA$600,U3)</f>
        <v>0</v>
      </c>
    </row>
    <row r="9" spans="1:21" ht="33.75" customHeight="1" thickBot="1" x14ac:dyDescent="0.3">
      <c r="A9" s="526"/>
      <c r="B9" s="43"/>
      <c r="C9" s="43"/>
      <c r="D9" s="513"/>
      <c r="E9" s="934"/>
      <c r="F9" s="5"/>
      <c r="G9" s="1">
        <f t="shared" si="0"/>
        <v>0</v>
      </c>
      <c r="H9" s="49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519"/>
      <c r="O9" s="352">
        <f>SUMIFS([1]اردیبهشت!$AD$2:$AD$600,[1]اردیبهشت!$N$2:$N$600,7102,[1]اردیبهشت!$D$2:$D$600,$F$9,[1]اردیبهشت!$AA$2:$AA$600,O3)</f>
        <v>0</v>
      </c>
      <c r="P9" s="175">
        <f>SUMIFS([1]اردیبهشت!$AD$2:$AD$600,[1]اردیبهشت!$N$2:$N$600,7102,[1]اردیبهشت!$D$2:$D$600,$F$9,[1]اردیبهشت!$AA$2:$AA$600,P3)</f>
        <v>0</v>
      </c>
      <c r="Q9" s="175">
        <f>SUMIFS([1]اردیبهشت!$AD$2:$AD$600,[1]اردیبهشت!$N$2:$N$600,7102,[1]اردیبهشت!$D$2:$D$600,$F$9,[1]اردیبهشت!$AA$2:$AA$600,Q3)</f>
        <v>0</v>
      </c>
      <c r="R9" s="175">
        <f>SUMIFS([1]اردیبهشت!$AD$2:$AD$600,[1]اردیبهشت!$N$2:$N$600,7102,[1]اردیبهشت!$D$2:$D$600,$F$9,[1]اردیبهشت!$AA$2:$AA$600,R3)</f>
        <v>0</v>
      </c>
      <c r="S9" s="175">
        <f>SUMIFS([1]اردیبهشت!$AD$2:$AD$600,[1]اردیبهشت!$N$2:$N$600,7102,[1]اردیبهشت!$D$2:$D$600,$F$9,[1]اردیبهشت!$AA$2:$AA$600,S3)</f>
        <v>0</v>
      </c>
      <c r="T9" s="175">
        <f>SUMIFS([1]اردیبهشت!$AD$2:$AD$600,[1]اردیبهشت!$N$2:$N$600,7102,[1]اردیبهشت!$D$2:$D$600,$F$9,[1]اردیبهشت!$AA$2:$AA$600,T3)</f>
        <v>0</v>
      </c>
      <c r="U9" s="114">
        <f>SUMIFS([1]اردیبهشت!$AD$2:$AD$600,[1]اردیبهشت!$N$2:$N$600,7102,[1]اردیبهشت!$D$2:$D$600,$F$9,[1]اردیبهشت!$AA$2:$AA$600,U3)</f>
        <v>0</v>
      </c>
    </row>
    <row r="10" spans="1:21" ht="36" customHeight="1" thickBot="1" x14ac:dyDescent="0.3">
      <c r="A10" s="526">
        <v>3</v>
      </c>
      <c r="B10" s="216" t="s">
        <v>14</v>
      </c>
      <c r="C10" s="512">
        <v>7103</v>
      </c>
      <c r="D10" s="2">
        <v>44</v>
      </c>
      <c r="E10" s="512" t="s">
        <v>15</v>
      </c>
      <c r="F10" s="512" t="s">
        <v>12</v>
      </c>
      <c r="G10" s="535">
        <f t="shared" si="0"/>
        <v>28.5</v>
      </c>
      <c r="H10" s="46">
        <f t="shared" si="1"/>
        <v>0</v>
      </c>
      <c r="I10" s="4">
        <v>0</v>
      </c>
      <c r="J10" s="4">
        <v>0</v>
      </c>
      <c r="K10" s="4">
        <v>0</v>
      </c>
      <c r="L10" s="4">
        <v>0</v>
      </c>
      <c r="M10" s="4">
        <f>SUM(G10:L10)-64</f>
        <v>-35.5</v>
      </c>
      <c r="N10" s="518" t="s">
        <v>40</v>
      </c>
      <c r="O10" s="295">
        <f>SUMIFS([1]تیر!$AF$2:$AF$805,[1]تیر!$O$2:$O$805,7103,[1]تیر!$D$2:$D$805,$F$10,[1]تیر!$AC$2:$AC$805,O3)</f>
        <v>6.5</v>
      </c>
      <c r="P10" s="177">
        <f>SUMIFS([1]تیر!$AF$2:$AF$805,[1]تیر!$O$2:$O$805,7103,[1]تیر!$D$2:$D$805,$F$10,[1]تیر!$AC$2:$AC$805,P3)</f>
        <v>6.5</v>
      </c>
      <c r="Q10" s="177">
        <f>SUMIFS([1]تیر!$AF$2:$AF$805,[1]تیر!$O$2:$O$805,7103,[1]تیر!$D$2:$D$805,$F$10,[1]تیر!$AC$2:$AC$805,Q3)</f>
        <v>5</v>
      </c>
      <c r="R10" s="177">
        <f>SUMIFS([1]تیر!$AF$2:$AF$805,[1]تیر!$O$2:$O$805,7103,[1]تیر!$D$2:$D$805,$F$10,[1]تیر!$AC$2:$AC$805,R3)</f>
        <v>4</v>
      </c>
      <c r="S10" s="177">
        <f>SUMIFS([1]تیر!$AF$2:$AF$805,[1]تیر!$O$2:$O$805,7103,[1]تیر!$D$2:$D$805,$F$10,[1]تیر!$AC$2:$AC$805,S3)</f>
        <v>6.5</v>
      </c>
      <c r="T10" s="177">
        <f>SUMIFS([1]تیر!$AF$2:$AF$805,[1]تیر!$O$2:$O$805,7103,[1]تیر!$D$2:$D$805,$F$10,[1]تیر!$AC$2:$AC$805,T3)</f>
        <v>0</v>
      </c>
      <c r="U10" s="113">
        <f>SUMIFS([1]تیر!$AF$2:$AF$805,[1]تیر!$O$2:$O$805,7103,[1]تیر!$D$2:$D$805,$F$10,[1]تیر!$AC$2:$AC$805,U3)</f>
        <v>0</v>
      </c>
    </row>
    <row r="11" spans="1:21" ht="36" customHeight="1" thickBot="1" x14ac:dyDescent="0.3">
      <c r="A11" s="525">
        <v>4</v>
      </c>
      <c r="B11" s="532" t="s">
        <v>18</v>
      </c>
      <c r="C11" s="533">
        <v>7201</v>
      </c>
      <c r="D11" s="533">
        <v>62.5</v>
      </c>
      <c r="E11" s="533" t="s">
        <v>19</v>
      </c>
      <c r="F11" s="140"/>
      <c r="G11" s="21">
        <f t="shared" si="0"/>
        <v>0</v>
      </c>
      <c r="H11" s="63">
        <f t="shared" si="1"/>
        <v>0</v>
      </c>
      <c r="I11" s="141">
        <v>0</v>
      </c>
      <c r="J11" s="141">
        <v>62</v>
      </c>
      <c r="K11" s="141">
        <v>0</v>
      </c>
      <c r="L11" s="141">
        <v>0</v>
      </c>
      <c r="M11" s="141">
        <f>SUM(G11:J11)-62</f>
        <v>0</v>
      </c>
      <c r="N11" s="142" t="s">
        <v>41</v>
      </c>
      <c r="O11" s="296"/>
      <c r="P11" s="201"/>
      <c r="Q11" s="201"/>
      <c r="R11" s="201"/>
      <c r="S11" s="201"/>
      <c r="T11" s="201"/>
      <c r="U11" s="111"/>
    </row>
    <row r="12" spans="1:21" ht="36" customHeight="1" x14ac:dyDescent="0.25">
      <c r="A12" s="985">
        <v>5</v>
      </c>
      <c r="B12" s="974" t="s">
        <v>18</v>
      </c>
      <c r="C12" s="932">
        <v>7202</v>
      </c>
      <c r="D12" s="932">
        <v>62.5</v>
      </c>
      <c r="E12" s="932" t="s">
        <v>15</v>
      </c>
      <c r="F12" s="574" t="s">
        <v>46</v>
      </c>
      <c r="G12" s="21">
        <f t="shared" si="0"/>
        <v>16</v>
      </c>
      <c r="H12" s="63">
        <v>0</v>
      </c>
      <c r="I12" s="21">
        <v>0</v>
      </c>
      <c r="J12" s="21">
        <v>0</v>
      </c>
      <c r="K12" s="21">
        <v>0</v>
      </c>
      <c r="L12" s="21">
        <v>0</v>
      </c>
      <c r="M12" s="21"/>
      <c r="N12" s="516"/>
      <c r="O12" s="298">
        <f>SUMIFS([1]تیر!$AF$2:$AF$805,[1]تیر!$O$2:$O$805,7202,[1]تیر!$D$2:$D$805,$F$12,[1]تیر!$AC$2:$AC$805,O3)</f>
        <v>0</v>
      </c>
      <c r="P12" s="188">
        <f>SUMIFS([1]تیر!$AF$2:$AF$805,[1]تیر!$O$2:$O$805,7202,[1]تیر!$D$2:$D$805,$F$12,[1]تیر!$AC$2:$AC$805,P3)</f>
        <v>0</v>
      </c>
      <c r="Q12" s="188">
        <f>SUMIFS([1]تیر!$AF$2:$AF$805,[1]تیر!$O$2:$O$805,7202,[1]تیر!$D$2:$D$805,$F$12,[1]تیر!$AC$2:$AC$805,Q3)</f>
        <v>11</v>
      </c>
      <c r="R12" s="188">
        <f>SUMIFS([1]تیر!$AF$2:$AF$805,[1]تیر!$O$2:$O$805,7202,[1]تیر!$D$2:$D$805,$F$12,[1]تیر!$AC$2:$AC$805,R3)</f>
        <v>0</v>
      </c>
      <c r="S12" s="188">
        <f>SUMIFS([1]تیر!$AF$2:$AF$805,[1]تیر!$O$2:$O$805,7202,[1]تیر!$D$2:$D$805,$F$12,[1]تیر!$AC$2:$AC$805,S3)</f>
        <v>5</v>
      </c>
      <c r="T12" s="188">
        <f>SUMIFS([1]تیر!$AF$2:$AF$805,[1]تیر!$O$2:$O$805,7202,[1]تیر!$D$2:$D$805,$F$12,[1]تیر!$AC$2:$AC$805,T3)</f>
        <v>0</v>
      </c>
      <c r="U12" s="128">
        <f>SUMIFS([1]تیر!$AF$2:$AF$805,[1]تیر!$O$2:$O$805,7202,[1]تیر!$D$2:$D$805,$F$12,[1]تیر!$AC$2:$AC$805,U3)</f>
        <v>0</v>
      </c>
    </row>
    <row r="13" spans="1:21" ht="36" customHeight="1" x14ac:dyDescent="0.25">
      <c r="A13" s="986"/>
      <c r="B13" s="975"/>
      <c r="C13" s="933"/>
      <c r="D13" s="933"/>
      <c r="E13" s="933"/>
      <c r="F13" s="22" t="s">
        <v>45</v>
      </c>
      <c r="G13" s="3">
        <f t="shared" si="0"/>
        <v>20</v>
      </c>
      <c r="H13" s="47">
        <v>0</v>
      </c>
      <c r="I13" s="3">
        <v>0</v>
      </c>
      <c r="J13" s="3">
        <v>0</v>
      </c>
      <c r="K13" s="3">
        <v>0</v>
      </c>
      <c r="L13" s="3">
        <v>0</v>
      </c>
      <c r="M13" s="3">
        <f>(G12+G13+G14)-D12</f>
        <v>-24.5</v>
      </c>
      <c r="N13" s="579"/>
      <c r="O13" s="583">
        <f>SUMIFS([1]تیر!$AF$2:$AF$805,[1]تیر!$O$2:$O$805,7202,[1]تیر!$D$2:$D$805,$F$13,[1]تیر!$AC$2:$AC$805,O3)</f>
        <v>9</v>
      </c>
      <c r="P13" s="575">
        <f>SUMIFS([1]تیر!$AF$2:$AF$805,[1]تیر!$O$2:$O$805,7202,[1]تیر!$D$2:$D$805,$F$13,[1]تیر!$AC$2:$AC$805,P3)</f>
        <v>0</v>
      </c>
      <c r="Q13" s="575">
        <f>SUMIFS([1]تیر!$AF$2:$AF$805,[1]تیر!$O$2:$O$805,7202,[1]تیر!$D$2:$D$805,$F$13,[1]تیر!$AC$2:$AC$805,Q3)</f>
        <v>0</v>
      </c>
      <c r="R13" s="575">
        <f>SUMIFS([1]تیر!$AF$2:$AF$805,[1]تیر!$O$2:$O$805,7202,[1]تیر!$D$2:$D$805,$F$13,[1]تیر!$AC$2:$AC$805,R3)</f>
        <v>11</v>
      </c>
      <c r="S13" s="575">
        <f>SUMIFS([1]تیر!$AF$2:$AF$805,[1]تیر!$O$2:$O$805,7202,[1]تیر!$D$2:$D$805,$F$13,[1]تیر!$AC$2:$AC$805,S3)</f>
        <v>0</v>
      </c>
      <c r="T13" s="575">
        <f>SUMIFS([1]تیر!$AF$2:$AF$805,[1]تیر!$O$2:$O$805,7202,[1]تیر!$D$2:$D$805,$F$13,[1]تیر!$AC$2:$AC$805,T3)</f>
        <v>0</v>
      </c>
      <c r="U13" s="581">
        <f>SUMIFS([1]تیر!$AF$2:$AF$805,[1]تیر!$O$2:$O$805,7202,[1]تیر!$D$2:$D$805,$F$13,[1]تیر!$AC$2:$AC$805,U3)</f>
        <v>0</v>
      </c>
    </row>
    <row r="14" spans="1:21" ht="36" customHeight="1" thickBot="1" x14ac:dyDescent="0.3">
      <c r="A14" s="987"/>
      <c r="B14" s="975"/>
      <c r="C14" s="933"/>
      <c r="D14" s="933"/>
      <c r="E14" s="933"/>
      <c r="F14" s="66" t="s">
        <v>159</v>
      </c>
      <c r="G14" s="6">
        <f t="shared" si="0"/>
        <v>2</v>
      </c>
      <c r="H14" s="64">
        <v>0</v>
      </c>
      <c r="I14" s="6">
        <v>0</v>
      </c>
      <c r="J14" s="6">
        <v>0</v>
      </c>
      <c r="K14" s="6">
        <v>0</v>
      </c>
      <c r="L14" s="6">
        <v>0</v>
      </c>
      <c r="M14" s="6"/>
      <c r="N14" s="312"/>
      <c r="O14" s="584">
        <f>SUMIFS([1]تیر!$AF$2:$AF$805,[1]تیر!$O$2:$O$805,7202,[1]تیر!$D$2:$D$805,$F$14,[1]تیر!$AC$2:$AC$805,O3)</f>
        <v>0</v>
      </c>
      <c r="P14" s="191">
        <f>SUMIFS([1]تیر!$AF$2:$AF$805,[1]تیر!$O$2:$O$805,7202,[1]تیر!$D$2:$D$805,$F$14,[1]تیر!$AC$2:$AC$805,P3)</f>
        <v>0</v>
      </c>
      <c r="Q14" s="191">
        <f>SUMIFS([1]تیر!$AF$2:$AF$805,[1]تیر!$O$2:$O$805,7202,[1]تیر!$D$2:$D$805,$F$14,[1]تیر!$AC$2:$AC$805,Q3)</f>
        <v>0</v>
      </c>
      <c r="R14" s="191">
        <f>SUMIFS([1]تیر!$AF$2:$AF$805,[1]تیر!$O$2:$O$805,7202,[1]تیر!$D$2:$D$805,$F$14,[1]تیر!$AC$2:$AC$805,R3)</f>
        <v>0</v>
      </c>
      <c r="S14" s="191">
        <f>SUMIFS([1]تیر!$AF$2:$AF$805,[1]تیر!$O$2:$O$805,7202,[1]تیر!$D$2:$D$805,$F$14,[1]تیر!$AC$2:$AC$805,S3)</f>
        <v>2</v>
      </c>
      <c r="T14" s="191">
        <f>SUMIFS([1]تیر!$AF$2:$AF$805,[1]تیر!$O$2:$O$805,7202,[1]تیر!$D$2:$D$805,$F$14,[1]تیر!$AC$2:$AC$805,T3)</f>
        <v>0</v>
      </c>
      <c r="U14" s="115">
        <f>SUMIFS([1]تیر!$AF$2:$AF$805,[1]تیر!$O$2:$O$805,7202,[1]تیر!$D$2:$D$805,$F$14,[1]تیر!$AC$2:$AC$805,U3)</f>
        <v>0</v>
      </c>
    </row>
    <row r="15" spans="1:21" ht="36" customHeight="1" thickBot="1" x14ac:dyDescent="0.3">
      <c r="A15" s="45">
        <v>6</v>
      </c>
      <c r="B15" s="41" t="s">
        <v>18</v>
      </c>
      <c r="C15" s="13">
        <v>7203</v>
      </c>
      <c r="D15" s="13">
        <v>62.5</v>
      </c>
      <c r="E15" s="13" t="s">
        <v>15</v>
      </c>
      <c r="F15" s="16" t="s">
        <v>45</v>
      </c>
      <c r="G15" s="14">
        <f t="shared" si="0"/>
        <v>62.5</v>
      </c>
      <c r="H15" s="48">
        <v>0</v>
      </c>
      <c r="I15" s="14">
        <v>0</v>
      </c>
      <c r="J15" s="14">
        <v>0</v>
      </c>
      <c r="K15" s="14">
        <v>0</v>
      </c>
      <c r="L15" s="14">
        <v>0</v>
      </c>
      <c r="M15" s="14">
        <f>(G15+H15+I15+J15+K15)-D15</f>
        <v>0</v>
      </c>
      <c r="N15" s="61"/>
      <c r="O15" s="295">
        <f>SUMIFS([1]تیر!$AF$2:$AF$805,[1]تیر!$O$2:$O$805,7203,[1]تیر!$D$2:$D$805,$F$15,[1]تیر!$AC$2:$AC$805,O3)</f>
        <v>11</v>
      </c>
      <c r="P15" s="177">
        <f>SUMIFS([1]تیر!$AF$2:$AF$805,[1]تیر!$O$2:$O$805,7203,[1]تیر!$D$2:$D$805,$F$15,[1]تیر!$AC$2:$AC$805,P3)</f>
        <v>11</v>
      </c>
      <c r="Q15" s="177">
        <f>SUMIFS([1]تیر!$AF$2:$AF$805,[1]تیر!$O$2:$O$805,7203,[1]تیر!$D$2:$D$805,$F$15,[1]تیر!$AC$2:$AC$805,Q3)</f>
        <v>11</v>
      </c>
      <c r="R15" s="177">
        <f>SUMIFS([1]تیر!$AF$2:$AF$805,[1]تیر!$O$2:$O$805,7203,[1]تیر!$D$2:$D$805,$F$15,[1]تیر!$AC$2:$AC$805,R3)</f>
        <v>11</v>
      </c>
      <c r="S15" s="177">
        <f>SUMIFS([1]تیر!$AF$2:$AF$805,[1]تیر!$O$2:$O$805,7203,[1]تیر!$D$2:$D$805,$F$15,[1]تیر!$AC$2:$AC$805,S3)</f>
        <v>11</v>
      </c>
      <c r="T15" s="177">
        <f>SUMIFS([1]تیر!$AF$2:$AF$805,[1]تیر!$O$2:$O$805,7203,[1]تیر!$D$2:$D$805,$F$15,[1]تیر!$AC$2:$AC$805,T3)</f>
        <v>7.5</v>
      </c>
      <c r="U15" s="99">
        <f>SUMIFS([1]تیر!$AF$2:$AF$805,[1]تیر!$O$2:$O$805,7203,[1]تیر!$D$2:$D$805,$F$15,[1]تیر!$AC$2:$AC$805,U3)</f>
        <v>0</v>
      </c>
    </row>
    <row r="16" spans="1:21" ht="36" customHeight="1" thickBot="1" x14ac:dyDescent="0.3">
      <c r="A16" s="45">
        <v>7</v>
      </c>
      <c r="B16" s="41" t="s">
        <v>18</v>
      </c>
      <c r="C16" s="13">
        <v>7204</v>
      </c>
      <c r="D16" s="13">
        <v>62.5</v>
      </c>
      <c r="E16" s="13" t="s">
        <v>15</v>
      </c>
      <c r="F16" s="16" t="s">
        <v>144</v>
      </c>
      <c r="G16" s="14">
        <f t="shared" si="0"/>
        <v>62.5</v>
      </c>
      <c r="H16" s="48">
        <f t="shared" si="1"/>
        <v>3</v>
      </c>
      <c r="I16" s="14">
        <v>0</v>
      </c>
      <c r="J16" s="14">
        <v>0</v>
      </c>
      <c r="K16" s="14">
        <v>0</v>
      </c>
      <c r="L16" s="14">
        <v>0</v>
      </c>
      <c r="M16" s="14">
        <f>SUM(G16:J16)-62</f>
        <v>3.5</v>
      </c>
      <c r="N16" s="61"/>
      <c r="O16" s="295">
        <f>SUMIFS([1]تیر!$AF$2:$AF$805,[1]تیر!$O$2:$O$805,7204,[1]تیر!$D$2:$D$805,$F$16,[1]تیر!$AC$2:$AC$805,O3)</f>
        <v>11</v>
      </c>
      <c r="P16" s="177">
        <f>SUMIFS([1]تیر!$AF$2:$AF$805,[1]تیر!$O$2:$O$805,7204,[1]تیر!$D$2:$D$805,$F$16,[1]تیر!$AC$2:$AC$805,P3)</f>
        <v>11</v>
      </c>
      <c r="Q16" s="177">
        <f>SUMIFS([1]تیر!$AF$2:$AF$805,[1]تیر!$O$2:$O$805,7204,[1]تیر!$D$2:$D$805,$F$16,[1]تیر!$AC$2:$AC$805,Q3)</f>
        <v>11</v>
      </c>
      <c r="R16" s="177">
        <f>SUMIFS([1]تیر!$AF$2:$AF$805,[1]تیر!$O$2:$O$805,7204,[1]تیر!$D$2:$D$805,$F$16,[1]تیر!$AC$2:$AC$805,R3)</f>
        <v>11</v>
      </c>
      <c r="S16" s="177">
        <f>SUMIFS([1]تیر!$AF$2:$AF$805,[1]تیر!$O$2:$O$805,7204,[1]تیر!$D$2:$D$805,$F$16,[1]تیر!$AC$2:$AC$805,S3)</f>
        <v>11</v>
      </c>
      <c r="T16" s="177">
        <f>SUMIFS([1]تیر!$AF$2:$AF$805,[1]تیر!$O$2:$O$805,7204,[1]تیر!$D$2:$D$805,$F$16,[1]تیر!$AC$2:$AC$805,T3)</f>
        <v>7.5</v>
      </c>
      <c r="U16" s="99">
        <f>SUMIFS([1]تیر!$AF$2:$AF$805,[1]تیر!$O$2:$O$805,7204,[1]تیر!$D$2:$D$805,$F$16,[1]تیر!$AC$2:$AC$805,U3)</f>
        <v>3</v>
      </c>
    </row>
    <row r="17" spans="1:21" ht="36" customHeight="1" thickBot="1" x14ac:dyDescent="0.3">
      <c r="A17" s="526">
        <v>8</v>
      </c>
      <c r="B17" s="522" t="s">
        <v>21</v>
      </c>
      <c r="C17" s="513">
        <v>7301</v>
      </c>
      <c r="D17" s="513">
        <v>62.5</v>
      </c>
      <c r="E17" s="513" t="s">
        <v>15</v>
      </c>
      <c r="F17" s="576" t="s">
        <v>22</v>
      </c>
      <c r="G17" s="6">
        <f t="shared" si="0"/>
        <v>48.166666666666664</v>
      </c>
      <c r="H17" s="64">
        <f t="shared" si="1"/>
        <v>0</v>
      </c>
      <c r="I17" s="6">
        <v>12</v>
      </c>
      <c r="J17" s="6">
        <v>0</v>
      </c>
      <c r="K17" s="6">
        <v>0</v>
      </c>
      <c r="L17" s="6">
        <v>0</v>
      </c>
      <c r="M17" s="6">
        <f>SUM(G17:L17)-D17</f>
        <v>-2.3333333333333357</v>
      </c>
      <c r="N17" s="501" t="s">
        <v>29</v>
      </c>
      <c r="O17" s="577">
        <f>SUMIFS([1]تیر!$AF$2:$AF$805,[1]تیر!$O$2:$O$805,7301,[1]تیر!$D$2:$D$805,$F$17,[1]تیر!$AC$2:$AC$805,O3)</f>
        <v>11</v>
      </c>
      <c r="P17" s="577">
        <f>SUMIFS([1]تیر!$AF$2:$AF$805,[1]تیر!$O$2:$O$805,7301,[1]تیر!$D$2:$D$805,$F$17,[1]تیر!$AC$2:$AC$805,P3)</f>
        <v>9.1666666666666661</v>
      </c>
      <c r="Q17" s="577">
        <f>SUMIFS([1]تیر!$AF$2:$AF$805,[1]تیر!$O$2:$O$805,7301,[1]تیر!$D$2:$D$805,$F$17,[1]تیر!$AC$2:$AC$805,Q3)</f>
        <v>10</v>
      </c>
      <c r="R17" s="577">
        <f>SUMIFS([1]تیر!$AF$2:$AF$805,[1]تیر!$O$2:$O$805,7301,[1]تیر!$D$2:$D$805,$F$17,[1]تیر!$AC$2:$AC$805,R3)</f>
        <v>11</v>
      </c>
      <c r="S17" s="577">
        <f>SUMIFS([1]تیر!$AF$2:$AF$805,[1]تیر!$O$2:$O$805,7301,[1]تیر!$D$2:$D$805,$F$17,[1]تیر!$AC$2:$AC$805,S3)</f>
        <v>7</v>
      </c>
      <c r="T17" s="577">
        <f>SUMIFS([1]تیر!$AF$2:$AF$805,[1]تیر!$O$2:$O$805,7301,[1]تیر!$D$2:$D$805,$F$17,[1]تیر!$AC$2:$AC$805,T3)</f>
        <v>0</v>
      </c>
      <c r="U17" s="578">
        <f>SUMIFS([1]تیر!$AF$2:$AF$805,[1]تیر!$O$2:$O$805,7301,[1]تیر!$D$2:$D$805,$F$17,[1]تیر!$AC$2:$AC$805,U3)</f>
        <v>0</v>
      </c>
    </row>
    <row r="18" spans="1:21" ht="36" customHeight="1" x14ac:dyDescent="0.25">
      <c r="A18" s="525"/>
      <c r="B18" s="216"/>
      <c r="C18" s="216"/>
      <c r="D18" s="512"/>
      <c r="E18" s="932" t="s">
        <v>15</v>
      </c>
      <c r="F18" s="20" t="s">
        <v>17</v>
      </c>
      <c r="G18" s="1">
        <f t="shared" si="0"/>
        <v>53</v>
      </c>
      <c r="H18" s="49">
        <f>U18</f>
        <v>0</v>
      </c>
      <c r="I18" s="1">
        <v>3</v>
      </c>
      <c r="J18" s="1">
        <v>0</v>
      </c>
      <c r="K18" s="1">
        <v>0</v>
      </c>
      <c r="L18" s="1">
        <v>0</v>
      </c>
      <c r="M18" s="4"/>
      <c r="N18" s="928" t="s">
        <v>44</v>
      </c>
      <c r="O18" s="292">
        <f>SUMIFS([1]تیر!$AF$2:$AF$805,[1]تیر!$O$2:$O$805,7302,[1]تیر!$D$2:$D$805,$F$18,[1]تیر!$AC$2:$AC$805,O3)</f>
        <v>11</v>
      </c>
      <c r="P18" s="169">
        <f>SUMIFS([1]تیر!$AF$2:$AF$805,[1]تیر!$O$2:$O$805,7302,[1]تیر!$D$2:$D$805,$F$18,[1]تیر!$AC$2:$AC$805,P3)</f>
        <v>5</v>
      </c>
      <c r="Q18" s="169">
        <f>SUMIFS([1]تیر!$AF$2:$AF$805,[1]تیر!$O$2:$O$805,7302,[1]تیر!$D$2:$D$805,$F$18,[1]تیر!$AC$2:$AC$805,Q3)</f>
        <v>9</v>
      </c>
      <c r="R18" s="169">
        <f>SUMIFS([1]تیر!$AF$2:$AF$805,[1]تیر!$O$2:$O$805,7302,[1]تیر!$D$2:$D$805,$F$18,[1]تیر!$AC$2:$AC$805,R3)</f>
        <v>10</v>
      </c>
      <c r="S18" s="169">
        <f>SUMIFS([1]تیر!$AF$2:$AF$805,[1]تیر!$O$2:$O$805,7302,[1]تیر!$D$2:$D$805,$F$18,[1]تیر!$AC$2:$AC$805,S3)</f>
        <v>11</v>
      </c>
      <c r="T18" s="169">
        <f>SUMIFS([1]تیر!$AF$2:$AF$805,[1]تیر!$O$2:$O$805,7302,[1]تیر!$D$2:$D$805,$F$18,[1]تیر!$AC$2:$AC$805,T3)</f>
        <v>7</v>
      </c>
      <c r="U18" s="107">
        <f>SUMIFS([1]تیر!$AF$2:$AF$805,[1]تیر!$O$2:$O$805,7302,[1]تیر!$D$2:$D$805,$F$18,[1]تیر!$AC$2:$AC$805,U3)</f>
        <v>0</v>
      </c>
    </row>
    <row r="19" spans="1:21" ht="36" customHeight="1" x14ac:dyDescent="0.25">
      <c r="A19" s="525">
        <v>9</v>
      </c>
      <c r="B19" s="587" t="s">
        <v>21</v>
      </c>
      <c r="C19" s="588">
        <v>7302</v>
      </c>
      <c r="D19" s="512">
        <v>62.5</v>
      </c>
      <c r="E19" s="1003"/>
      <c r="F19" s="27" t="s">
        <v>16</v>
      </c>
      <c r="G19" s="3">
        <f t="shared" si="0"/>
        <v>0</v>
      </c>
      <c r="H19" s="47">
        <f t="shared" si="1"/>
        <v>0.5</v>
      </c>
      <c r="I19" s="3">
        <v>0</v>
      </c>
      <c r="J19" s="3">
        <v>0</v>
      </c>
      <c r="K19" s="3">
        <v>0</v>
      </c>
      <c r="L19" s="3">
        <v>0</v>
      </c>
      <c r="M19" s="4">
        <f>SUM(G18:L20)-D19</f>
        <v>-6</v>
      </c>
      <c r="N19" s="929"/>
      <c r="O19" s="293">
        <f>SUMIFS([1]تیر!$AF$2:$AF$805,[1]تیر!$O$2:$O$805,7302,[1]تیر!$D$2:$D$805,$F$19,[1]تیر!$AC$2:$AC$805,O3)</f>
        <v>0</v>
      </c>
      <c r="P19" s="168">
        <f>SUMIFS([1]تیر!$AF$2:$AF$805,[1]تیر!$O$2:$O$805,7302,[1]تیر!$D$2:$D$805,$F$19,[1]تیر!$AC$2:$AC$805,P3)</f>
        <v>0</v>
      </c>
      <c r="Q19" s="168">
        <f>SUMIFS([1]تیر!$AF$2:$AF$805,[1]تیر!$O$2:$O$805,7302,[1]تیر!$D$2:$D$805,$F$19,[1]تیر!$AC$2:$AC$805,Q3)</f>
        <v>0</v>
      </c>
      <c r="R19" s="168">
        <f>SUMIFS([1]تیر!$AF$2:$AF$805,[1]تیر!$O$2:$O$805,7302,[1]تیر!$D$2:$D$805,$F$19,[1]تیر!$AC$2:$AC$805,R3)</f>
        <v>0</v>
      </c>
      <c r="S19" s="168">
        <f>SUMIFS([1]تیر!$AF$2:$AF$805,[1]تیر!$O$2:$O$805,7302,[1]تیر!$D$2:$D$805,$F$19,[1]تیر!$AC$2:$AC$805,S3)</f>
        <v>0</v>
      </c>
      <c r="T19" s="168">
        <f>SUMIFS([1]تیر!$AF$2:$AF$805,[1]تیر!$O$2:$O$805,7302,[1]تیر!$D$2:$D$805,$F$19,[1]تیر!$AC$2:$AC$805,T3)</f>
        <v>0</v>
      </c>
      <c r="U19" s="108">
        <f>SUMIFS([1]تیر!$AF$2:$AF$805,[1]تیر!$O$2:$O$805,7302,[1]تیر!$D$2:$D$805,$F$19,[1]تیر!$AC$2:$AC$805,U3)</f>
        <v>0.5</v>
      </c>
    </row>
    <row r="20" spans="1:21" ht="36" customHeight="1" thickBot="1" x14ac:dyDescent="0.3">
      <c r="A20" s="526"/>
      <c r="B20" s="43"/>
      <c r="C20" s="43"/>
      <c r="D20" s="513"/>
      <c r="E20" s="934"/>
      <c r="F20" s="5"/>
      <c r="G20" s="1">
        <f t="shared" si="0"/>
        <v>0</v>
      </c>
      <c r="H20" s="49">
        <f t="shared" si="1"/>
        <v>0</v>
      </c>
      <c r="I20" s="7">
        <v>0</v>
      </c>
      <c r="J20" s="7">
        <v>0</v>
      </c>
      <c r="K20" s="6">
        <v>0</v>
      </c>
      <c r="L20" s="6">
        <v>0</v>
      </c>
      <c r="M20" s="6"/>
      <c r="N20" s="930"/>
      <c r="O20" s="352">
        <f>SUMIFS([1]اردیبهشت!$AD$2:$AD$805,[1]اردیبهشت!$N$2:$N$805,$C$19,[1]اردیبهشت!$D$2:$D$805,$F$19,[1]اردیبهشت!$AA$2:$AA$805,O4)</f>
        <v>0</v>
      </c>
      <c r="P20" s="175">
        <f>SUMIFS([1]اردیبهشت!$AD$2:$AD$805,[1]اردیبهشت!$N$2:$N$805,$C$19,[1]اردیبهشت!$D$2:$D$805,$F$19,[1]اردیبهشت!$AA$2:$AA$805,P4)</f>
        <v>0</v>
      </c>
      <c r="Q20" s="175">
        <f>SUMIFS([1]اردیبهشت!$AD$2:$AD$805,[1]اردیبهشت!$N$2:$N$805,$C$19,[1]اردیبهشت!$D$2:$D$805,$F$19,[1]اردیبهشت!$AA$2:$AA$805,Q4)</f>
        <v>0</v>
      </c>
      <c r="R20" s="175">
        <f>SUMIFS([1]اردیبهشت!$AD$2:$AD$805,[1]اردیبهشت!$N$2:$N$805,$C$19,[1]اردیبهشت!$D$2:$D$805,$F$19,[1]اردیبهشت!$AA$2:$AA$805,R4)</f>
        <v>0</v>
      </c>
      <c r="S20" s="175">
        <f>SUMIFS([1]اردیبهشت!$AD$2:$AD$805,[1]اردیبهشت!$N$2:$N$805,$C$19,[1]اردیبهشت!$D$2:$D$805,$F$19,[1]اردیبهشت!$AA$2:$AA$805,S4)</f>
        <v>0</v>
      </c>
      <c r="T20" s="175">
        <f>SUMIFS([1]اردیبهشت!$AD$2:$AD$805,[1]اردیبهشت!$N$2:$N$805,$C$19,[1]اردیبهشت!$D$2:$D$805,$F$19,[1]اردیبهشت!$AA$2:$AA$805,T4)</f>
        <v>0</v>
      </c>
      <c r="U20" s="114">
        <f>SUMIFS([1]خرداد!$AF$2:$AF$700,[1]خرداد!$O$2:$O$700,7101,[1]خرداد!$D$2:$D$700,$F$4,[1]خرداد!$AC$2:$AC$700,U19)</f>
        <v>0</v>
      </c>
    </row>
    <row r="21" spans="1:21" ht="36" customHeight="1" thickBot="1" x14ac:dyDescent="0.3">
      <c r="A21" s="147">
        <v>10</v>
      </c>
      <c r="B21" s="530" t="s">
        <v>21</v>
      </c>
      <c r="C21" s="520">
        <v>7303</v>
      </c>
      <c r="D21" s="520">
        <v>44</v>
      </c>
      <c r="E21" s="520" t="s">
        <v>19</v>
      </c>
      <c r="F21" s="144"/>
      <c r="G21" s="85">
        <f t="shared" si="0"/>
        <v>0</v>
      </c>
      <c r="H21" s="86">
        <f t="shared" si="1"/>
        <v>0</v>
      </c>
      <c r="I21" s="89">
        <v>0</v>
      </c>
      <c r="J21" s="89">
        <v>0</v>
      </c>
      <c r="K21" s="89">
        <v>0</v>
      </c>
      <c r="L21" s="89">
        <v>0</v>
      </c>
      <c r="M21" s="89">
        <f>SUM(G21:L21)-44</f>
        <v>-44</v>
      </c>
      <c r="N21" s="305" t="s">
        <v>40</v>
      </c>
      <c r="O21" s="536">
        <f>SUMIFS([1]تیر!$AF$2:$AF$805,[1]تیر!$O$2:$O$805,7303,[1]تیر!$D$2:$D$805,$F$21,[1]تیر!$AC$2:$AC$805,O3)</f>
        <v>0</v>
      </c>
      <c r="P21" s="186">
        <f>SUMIFS([1]تیر!$AF$2:$AF$805,[1]تیر!$O$2:$O$805,7303,[1]تیر!$D$2:$D$805,$F$21,[1]تیر!$AC$2:$AC$805,P3)</f>
        <v>0</v>
      </c>
      <c r="Q21" s="186">
        <f>SUMIFS([1]تیر!$AF$2:$AF$805,[1]تیر!$O$2:$O$805,7303,[1]تیر!$D$2:$D$805,$F$21,[1]تیر!$AC$2:$AC$805,Q3)</f>
        <v>0</v>
      </c>
      <c r="R21" s="186">
        <f>SUMIFS([1]تیر!$AF$2:$AF$805,[1]تیر!$O$2:$O$805,7303,[1]تیر!$D$2:$D$805,$F$21,[1]تیر!$AC$2:$AC$805,R3)</f>
        <v>0</v>
      </c>
      <c r="S21" s="186">
        <f>SUMIFS([1]تیر!$AF$2:$AF$805,[1]تیر!$O$2:$O$805,7303,[1]تیر!$D$2:$D$805,$F$21,[1]تیر!$AC$2:$AC$805,S3)</f>
        <v>0</v>
      </c>
      <c r="T21" s="186">
        <f>SUMIFS([1]تیر!$AF$2:$AF$805,[1]تیر!$O$2:$O$805,7303,[1]تیر!$D$2:$D$805,$F$21,[1]تیر!$AC$2:$AC$805,T3)</f>
        <v>0</v>
      </c>
      <c r="U21" s="118">
        <f>SUMIFS([1]تیر!$AF$2:$AF$805,[1]تیر!$O$2:$O$805,7303,[1]تیر!$D$2:$D$805,$F$21,[1]تیر!$AC$2:$AC$805,U3)</f>
        <v>0</v>
      </c>
    </row>
    <row r="22" spans="1:21" ht="36" customHeight="1" x14ac:dyDescent="0.25">
      <c r="A22" s="524"/>
      <c r="B22" s="42"/>
      <c r="C22" s="42"/>
      <c r="D22" s="511"/>
      <c r="E22" s="932" t="s">
        <v>15</v>
      </c>
      <c r="F22" s="20" t="s">
        <v>16</v>
      </c>
      <c r="G22" s="535">
        <f t="shared" si="0"/>
        <v>16</v>
      </c>
      <c r="H22" s="46">
        <f t="shared" si="1"/>
        <v>0</v>
      </c>
      <c r="I22" s="535">
        <v>0</v>
      </c>
      <c r="J22" s="535">
        <v>0</v>
      </c>
      <c r="K22" s="535">
        <v>0</v>
      </c>
      <c r="L22" s="535">
        <v>0</v>
      </c>
      <c r="M22" s="21"/>
      <c r="N22" s="931" t="s">
        <v>53</v>
      </c>
      <c r="O22" s="292">
        <f>SUMIFS([1]تیر!$AF$2:$AF$805,[1]تیر!$O$2:$O$805,7401,[1]تیر!$D$2:$D$805,$F$22,[1]تیر!$AC$2:$AC$805,O3)</f>
        <v>5</v>
      </c>
      <c r="P22" s="169">
        <f>SUMIFS([1]تیر!$AF$2:$AF$805,[1]تیر!$O$2:$O$805,7401,[1]تیر!$D$2:$D$805,$F$22,[1]تیر!$AC$2:$AC$805,P3)</f>
        <v>0</v>
      </c>
      <c r="Q22" s="169">
        <f>SUMIFS([1]تیر!$AF$2:$AF$805,[1]تیر!$O$2:$O$805,7401,[1]تیر!$D$2:$D$805,$F$22,[1]تیر!$AC$2:$AC$805,Q3)</f>
        <v>2</v>
      </c>
      <c r="R22" s="169">
        <f>SUMIFS([1]تیر!$AF$2:$AF$805,[1]تیر!$O$2:$O$805,7401,[1]تیر!$D$2:$D$805,$F$22,[1]تیر!$AC$2:$AC$805,R3)</f>
        <v>3.5</v>
      </c>
      <c r="S22" s="169">
        <f>SUMIFS([1]تیر!$AF$2:$AF$805,[1]تیر!$O$2:$O$805,7401,[1]تیر!$D$2:$D$805,$F$22,[1]تیر!$AC$2:$AC$805,S3)</f>
        <v>2</v>
      </c>
      <c r="T22" s="169">
        <f>SUMIFS([1]تیر!$AF$2:$AF$805,[1]تیر!$O$2:$O$805,7401,[1]تیر!$D$2:$D$805,$F$22,[1]تیر!$AC$2:$AC$805,T3)</f>
        <v>3.5</v>
      </c>
      <c r="U22" s="107">
        <f>SUMIFS([1]تیر!$AF$2:$AF$805,[1]تیر!$O$2:$O$805,7401,[1]تیر!$D$2:$D$805,$F$22,[1]تیر!$AC$2:$AC$805,U3)</f>
        <v>0</v>
      </c>
    </row>
    <row r="23" spans="1:21" ht="36" customHeight="1" x14ac:dyDescent="0.25">
      <c r="A23" s="525">
        <v>11</v>
      </c>
      <c r="B23" s="587" t="s">
        <v>24</v>
      </c>
      <c r="C23" s="512">
        <v>7401</v>
      </c>
      <c r="D23" s="512">
        <v>62.5</v>
      </c>
      <c r="E23" s="1003"/>
      <c r="F23" s="22" t="s">
        <v>55</v>
      </c>
      <c r="G23" s="3">
        <f t="shared" si="0"/>
        <v>3.5</v>
      </c>
      <c r="H23" s="47">
        <f t="shared" si="1"/>
        <v>0</v>
      </c>
      <c r="I23" s="3">
        <v>0</v>
      </c>
      <c r="J23" s="3">
        <v>0</v>
      </c>
      <c r="K23" s="3">
        <v>0</v>
      </c>
      <c r="L23" s="205">
        <v>0</v>
      </c>
      <c r="M23" s="4">
        <f>SUM(G22:L24)-D23</f>
        <v>-43</v>
      </c>
      <c r="N23" s="995"/>
      <c r="O23" s="293">
        <f>SUMIFS([1]تیر!$AF$2:$AF$805,[1]تیر!$O$2:$O$805,7401,[1]تیر!$D$2:$D$805,$F$23,[1]تیر!$AC$2:$AC$805,O3)</f>
        <v>0</v>
      </c>
      <c r="P23" s="168">
        <f>SUMIFS([1]تیر!$AF$2:$AF$805,[1]تیر!$O$2:$O$805,7401,[1]تیر!$D$2:$D$805,$F$23,[1]تیر!$AC$2:$AC$805,P3)</f>
        <v>0</v>
      </c>
      <c r="Q23" s="168">
        <f>SUMIFS([1]تیر!$AF$2:$AF$805,[1]تیر!$O$2:$O$805,7401,[1]تیر!$D$2:$D$805,$F$23,[1]تیر!$AC$2:$AC$805,Q3)</f>
        <v>0</v>
      </c>
      <c r="R23" s="168">
        <f>SUMIFS([1]تیر!$AF$2:$AF$805,[1]تیر!$O$2:$O$805,7401,[1]تیر!$D$2:$D$805,$F$23,[1]تیر!$AC$2:$AC$805,R3)</f>
        <v>0</v>
      </c>
      <c r="S23" s="168">
        <f>SUMIFS([1]تیر!$AF$2:$AF$805,[1]تیر!$O$2:$O$805,7401,[1]تیر!$D$2:$D$805,$F$23,[1]تیر!$AC$2:$AC$805,S3)</f>
        <v>0</v>
      </c>
      <c r="T23" s="168">
        <f>SUMIFS([1]تیر!$AF$2:$AF$805,[1]تیر!$O$2:$O$805,7401,[1]تیر!$D$2:$D$805,$F$23,[1]تیر!$AC$2:$AC$805,T3)</f>
        <v>3.5</v>
      </c>
      <c r="U23" s="108">
        <f>SUMIFS([1]تیر!$AF$2:$AF$805,[1]تیر!$O$2:$O$805,7401,[1]تیر!$D$2:$D$805,$F$23,[1]تیر!$AC$2:$AC$805,U3)</f>
        <v>0</v>
      </c>
    </row>
    <row r="24" spans="1:21" ht="36" customHeight="1" thickBot="1" x14ac:dyDescent="0.3">
      <c r="A24" s="526"/>
      <c r="B24" s="43" t="s">
        <v>24</v>
      </c>
      <c r="C24" s="43"/>
      <c r="D24" s="513"/>
      <c r="E24" s="934"/>
      <c r="F24" s="5"/>
      <c r="G24" s="6">
        <f t="shared" si="0"/>
        <v>0</v>
      </c>
      <c r="H24" s="64">
        <f t="shared" si="1"/>
        <v>0</v>
      </c>
      <c r="I24" s="7">
        <v>0</v>
      </c>
      <c r="J24" s="7">
        <v>0</v>
      </c>
      <c r="K24" s="6">
        <v>0</v>
      </c>
      <c r="L24" s="6">
        <v>0</v>
      </c>
      <c r="M24" s="6"/>
      <c r="N24" s="930"/>
      <c r="O24" s="294">
        <f>SUMIFS([1]تیر!$AF$2:$AF$805,[1]تیر!$O$2:$O$805,7401,[1]تیر!$D$2:$D$805,$F$24,[1]تیر!$AC$2:$AC$805,O3)</f>
        <v>0</v>
      </c>
      <c r="P24" s="172">
        <f>SUMIFS([1]تیر!$AF$2:$AF$805,[1]تیر!$O$2:$O$805,7401,[1]تیر!$D$2:$D$805,$F$24,[1]تیر!$AC$2:$AC$805,P3)</f>
        <v>0</v>
      </c>
      <c r="Q24" s="172">
        <f>SUMIFS([1]تیر!$AF$2:$AF$805,[1]تیر!$O$2:$O$805,7401,[1]تیر!$D$2:$D$805,$F$24,[1]تیر!$AC$2:$AC$805,Q3)</f>
        <v>0</v>
      </c>
      <c r="R24" s="172">
        <f>SUMIFS([1]تیر!$AF$2:$AF$805,[1]تیر!$O$2:$O$805,7401,[1]تیر!$D$2:$D$805,$F$24,[1]تیر!$AC$2:$AC$805,R3)</f>
        <v>0</v>
      </c>
      <c r="S24" s="172">
        <f>SUMIFS([1]تیر!$AF$2:$AF$805,[1]تیر!$O$2:$O$805,7401,[1]تیر!$D$2:$D$805,$F$24,[1]تیر!$AC$2:$AC$805,S3)</f>
        <v>0</v>
      </c>
      <c r="T24" s="172">
        <f>SUMIFS([1]تیر!$AF$2:$AF$805,[1]تیر!$O$2:$O$805,7401,[1]تیر!$D$2:$D$805,$F$24,[1]تیر!$AC$2:$AC$805,T3)</f>
        <v>0</v>
      </c>
      <c r="U24" s="109">
        <f>SUMIFS([1]تیر!$AF$2:$AF$805,[1]تیر!$O$2:$O$805,7401,[1]تیر!$D$2:$D$805,$F$24,[1]تیر!$AC$2:$AC$805,U3)</f>
        <v>0</v>
      </c>
    </row>
    <row r="25" spans="1:21" ht="36" customHeight="1" x14ac:dyDescent="0.25">
      <c r="A25" s="524"/>
      <c r="B25" s="307"/>
      <c r="C25" s="507"/>
      <c r="D25" s="507"/>
      <c r="E25" s="932" t="s">
        <v>19</v>
      </c>
      <c r="F25" s="20"/>
      <c r="G25" s="535">
        <f t="shared" si="0"/>
        <v>0</v>
      </c>
      <c r="H25" s="46">
        <f t="shared" si="1"/>
        <v>0</v>
      </c>
      <c r="I25" s="535">
        <v>0</v>
      </c>
      <c r="J25" s="535">
        <v>0</v>
      </c>
      <c r="K25" s="535">
        <v>0</v>
      </c>
      <c r="L25" s="535">
        <v>0</v>
      </c>
      <c r="M25" s="21"/>
      <c r="N25" s="931" t="s">
        <v>28</v>
      </c>
      <c r="O25" s="292">
        <f>SUMIFS([1]اردیبهشت!$AD$2:$AD$805,[1]اردیبهشت!$N$2:$N$805,$C$25,[1]اردیبهشت!$D$2:$D$805,$F$25,[1]اردیبهشت!$AA$2:$AA$805,O3)</f>
        <v>0</v>
      </c>
      <c r="P25" s="169">
        <f>SUMIFS([1]اردیبهشت!$AD$2:$AD$805,[1]اردیبهشت!$N$2:$N$805,$C$25,[1]اردیبهشت!$D$2:$D$805,$F$25,[1]اردیبهشت!$AA$2:$AA$805,P3)</f>
        <v>0</v>
      </c>
      <c r="Q25" s="169">
        <f>SUMIFS([1]اردیبهشت!$AD$2:$AD$805,[1]اردیبهشت!$N$2:$N$805,$C$25,[1]اردیبهشت!$D$2:$D$805,$F$25,[1]اردیبهشت!$AA$2:$AA$805,Q3)</f>
        <v>0</v>
      </c>
      <c r="R25" s="169">
        <f>SUMIFS([1]اردیبهشت!$AD$2:$AD$805,[1]اردیبهشت!$N$2:$N$805,$C$25,[1]اردیبهشت!$D$2:$D$805,$F$25,[1]اردیبهشت!$AA$2:$AA$805,R3)</f>
        <v>0</v>
      </c>
      <c r="S25" s="169">
        <f>SUMIFS([1]اردیبهشت!$AD$2:$AD$805,[1]اردیبهشت!$N$2:$N$805,$C$25,[1]اردیبهشت!$D$2:$D$805,$F$25,[1]اردیبهشت!$AA$2:$AA$805,S3)</f>
        <v>0</v>
      </c>
      <c r="T25" s="169">
        <f>SUMIFS([1]اردیبهشت!$AD$2:$AD$805,[1]اردیبهشت!$N$2:$N$805,$C$25,[1]اردیبهشت!$D$2:$D$805,$F$25,[1]اردیبهشت!$AA$2:$AA$805,T3)</f>
        <v>0</v>
      </c>
      <c r="U25" s="107">
        <f>SUMIFS([1]خرداد!$AF$2:$AF$700,[1]خرداد!$O$2:$O$700,7101,[1]خرداد!$D$2:$D$700,$F$4,[1]خرداد!$AC$2:$AC$700,U24)</f>
        <v>0</v>
      </c>
    </row>
    <row r="26" spans="1:21" ht="36" customHeight="1" x14ac:dyDescent="0.25">
      <c r="A26" s="525">
        <v>12</v>
      </c>
      <c r="B26" s="308" t="s">
        <v>25</v>
      </c>
      <c r="C26" s="508">
        <v>7501</v>
      </c>
      <c r="D26" s="512">
        <v>62.5</v>
      </c>
      <c r="E26" s="933"/>
      <c r="F26" s="22" t="s">
        <v>36</v>
      </c>
      <c r="G26" s="3">
        <f t="shared" si="0"/>
        <v>62.5</v>
      </c>
      <c r="H26" s="47">
        <f t="shared" si="1"/>
        <v>0</v>
      </c>
      <c r="I26" s="3">
        <v>0</v>
      </c>
      <c r="J26" s="3">
        <v>0</v>
      </c>
      <c r="K26" s="3">
        <v>0</v>
      </c>
      <c r="L26" s="3">
        <v>0</v>
      </c>
      <c r="M26" s="1">
        <f>SUM(G25:L27)-D26</f>
        <v>2</v>
      </c>
      <c r="N26" s="929"/>
      <c r="O26" s="293">
        <f>SUMIFS([1]تیر!$AF$2:$AF$805,[1]تیر!$O$2:$O$805,7501,[1]تیر!$D$2:$D$805,$F$26,[1]تیر!$AC$2:$AC$805,O3)</f>
        <v>11</v>
      </c>
      <c r="P26" s="168">
        <f>SUMIFS([1]تیر!$AF$2:$AF$805,[1]تیر!$O$2:$O$805,7501,[1]تیر!$D$2:$D$805,$F$26,[1]تیر!$AC$2:$AC$805,P3)</f>
        <v>11</v>
      </c>
      <c r="Q26" s="168">
        <f>SUMIFS([1]تیر!$AF$2:$AF$805,[1]تیر!$O$2:$O$805,7501,[1]تیر!$D$2:$D$805,$F$26,[1]تیر!$AC$2:$AC$805,Q3)</f>
        <v>8</v>
      </c>
      <c r="R26" s="168">
        <f>SUMIFS([1]تیر!$AF$2:$AF$805,[1]تیر!$O$2:$O$805,7501,[1]تیر!$D$2:$D$805,$F$26,[1]تیر!$AC$2:$AC$805,R3)</f>
        <v>17</v>
      </c>
      <c r="S26" s="168">
        <f>SUMIFS([1]تیر!$AF$2:$AF$805,[1]تیر!$O$2:$O$805,7501,[1]تیر!$D$2:$D$805,$F$26,[1]تیر!$AC$2:$AC$805,S3)</f>
        <v>8</v>
      </c>
      <c r="T26" s="168">
        <f>SUMIFS([1]تیر!$AF$2:$AF$805,[1]تیر!$O$2:$O$805,7501,[1]تیر!$D$2:$D$805,$F$26,[1]تیر!$AC$2:$AC$805,T3)</f>
        <v>7.5</v>
      </c>
      <c r="U26" s="96">
        <f>SUMIFS([1]تیر!$AF$2:$AF$805,[1]تیر!$O$2:$O$805,7501,[1]تیر!$D$2:$D$805,$F$26,[1]تیر!$AC$2:$AC$805,U3)</f>
        <v>0</v>
      </c>
    </row>
    <row r="27" spans="1:21" ht="36" customHeight="1" thickBot="1" x14ac:dyDescent="0.3">
      <c r="A27" s="526"/>
      <c r="B27" s="310"/>
      <c r="C27" s="510"/>
      <c r="D27" s="510"/>
      <c r="E27" s="934"/>
      <c r="F27" s="5" t="s">
        <v>16</v>
      </c>
      <c r="G27" s="6">
        <f t="shared" si="0"/>
        <v>0</v>
      </c>
      <c r="H27" s="64">
        <f t="shared" si="1"/>
        <v>2</v>
      </c>
      <c r="I27" s="7">
        <v>0</v>
      </c>
      <c r="J27" s="7">
        <v>0</v>
      </c>
      <c r="K27" s="6">
        <v>0</v>
      </c>
      <c r="L27" s="6">
        <v>0</v>
      </c>
      <c r="M27" s="6"/>
      <c r="N27" s="930"/>
      <c r="O27" s="352">
        <f>SUMIFS([1]تیر!$AF$2:$AF$805,[1]تیر!$O$2:$O$805,7501,[1]تیر!$D$2:$D$805,$F$27,[1]تیر!$AC$2:$AC$805,O3)</f>
        <v>0</v>
      </c>
      <c r="P27" s="167">
        <f>SUMIFS([1]تیر!$AF$2:$AF$805,[1]تیر!$O$2:$O$805,7501,[1]تیر!$D$2:$D$805,$F$27,[1]تیر!$AC$2:$AC$805,P3)</f>
        <v>0</v>
      </c>
      <c r="Q27" s="167">
        <f>SUMIFS([1]تیر!$AF$2:$AF$805,[1]تیر!$O$2:$O$805,7501,[1]تیر!$D$2:$D$805,$F$27,[1]تیر!$AC$2:$AC$805,Q3)</f>
        <v>0</v>
      </c>
      <c r="R27" s="167">
        <f>SUMIFS([1]تیر!$AF$2:$AF$805,[1]تیر!$O$2:$O$805,7501,[1]تیر!$D$2:$D$805,$F$27,[1]تیر!$AC$2:$AC$805,R3)</f>
        <v>0</v>
      </c>
      <c r="S27" s="167">
        <f>SUMIFS([1]تیر!$AF$2:$AF$805,[1]تیر!$O$2:$O$805,7501,[1]تیر!$D$2:$D$805,$F$27,[1]تیر!$AC$2:$AC$805,S3)</f>
        <v>0</v>
      </c>
      <c r="T27" s="167">
        <f>SUMIFS([1]تیر!$AF$2:$AF$805,[1]تیر!$O$2:$O$805,7501,[1]تیر!$D$2:$D$805,$F$27,[1]تیر!$AC$2:$AC$805,T3)</f>
        <v>0</v>
      </c>
      <c r="U27" s="161">
        <f>SUMIFS([1]تیر!$AF$2:$AF$805,[1]تیر!$O$2:$O$805,7501,[1]تیر!$D$2:$D$805,$F$27,[1]تیر!$AC$2:$AC$805,U3)</f>
        <v>2</v>
      </c>
    </row>
    <row r="28" spans="1:21" ht="43.5" customHeight="1" x14ac:dyDescent="0.25">
      <c r="A28" s="525"/>
      <c r="B28" s="224"/>
      <c r="C28" s="531"/>
      <c r="D28" s="531"/>
      <c r="E28" s="936" t="s">
        <v>50</v>
      </c>
      <c r="F28" s="27" t="s">
        <v>36</v>
      </c>
      <c r="G28" s="1">
        <f t="shared" si="0"/>
        <v>54.5</v>
      </c>
      <c r="H28" s="49">
        <v>0</v>
      </c>
      <c r="I28" s="93">
        <v>0</v>
      </c>
      <c r="J28" s="93">
        <v>0</v>
      </c>
      <c r="K28" s="93">
        <v>0</v>
      </c>
      <c r="L28" s="93">
        <v>0</v>
      </c>
      <c r="M28" s="4"/>
      <c r="N28" s="988" t="s">
        <v>42</v>
      </c>
      <c r="O28" s="292">
        <f>SUMIFS([1]تیر!$AF$2:$AF$805,[1]تیر!$O$2:$O$805,7502,[1]تیر!$D$2:$D$805,$F$28,[1]تیر!$AC$2:$AC$805,O3)</f>
        <v>11</v>
      </c>
      <c r="P28" s="169">
        <f>SUMIFS([1]تیر!$AF$2:$AF$805,[1]تیر!$O$2:$O$805,7502,[1]تیر!$D$2:$D$805,$F$28,[1]تیر!$AC$2:$AC$805,P3)</f>
        <v>11</v>
      </c>
      <c r="Q28" s="169">
        <f>SUMIFS([1]تیر!$AF$2:$AF$805,[1]تیر!$O$2:$O$805,7502,[1]تیر!$D$2:$D$805,$F$28,[1]تیر!$AC$2:$AC$805,Q3)</f>
        <v>11</v>
      </c>
      <c r="R28" s="169">
        <f>SUMIFS([1]تیر!$AF$2:$AF$805,[1]تیر!$O$2:$O$805,7502,[1]تیر!$D$2:$D$805,$F$28,[1]تیر!$AC$2:$AC$805,R3)</f>
        <v>3</v>
      </c>
      <c r="S28" s="169">
        <f>SUMIFS([1]تیر!$AF$2:$AF$805,[1]تیر!$O$2:$O$805,7502,[1]تیر!$D$2:$D$805,$F$28,[1]تیر!$AC$2:$AC$805,S3)</f>
        <v>11</v>
      </c>
      <c r="T28" s="169">
        <f>SUMIFS([1]تیر!$AF$2:$AF$805,[1]تیر!$O$2:$O$805,7502,[1]تیر!$D$2:$D$805,$F$28,[1]تیر!$AC$2:$AC$805,T3)</f>
        <v>7.5</v>
      </c>
      <c r="U28" s="107">
        <f>SUMIFS([1]تیر!$AF$2:$AF$805,[1]تیر!$O$2:$O$805,7502,[1]تیر!$D$2:$D$805,$F$28,[1]تیر!$AC$2:$AC$805,U3)</f>
        <v>0</v>
      </c>
    </row>
    <row r="29" spans="1:21" ht="43.5" customHeight="1" x14ac:dyDescent="0.25">
      <c r="A29" s="525">
        <v>13</v>
      </c>
      <c r="B29" s="146" t="s">
        <v>25</v>
      </c>
      <c r="C29" s="95">
        <v>7502</v>
      </c>
      <c r="D29" s="512">
        <v>62.5</v>
      </c>
      <c r="E29" s="936"/>
      <c r="F29" s="22"/>
      <c r="G29" s="3">
        <f t="shared" si="0"/>
        <v>0</v>
      </c>
      <c r="H29" s="47">
        <f t="shared" si="1"/>
        <v>0</v>
      </c>
      <c r="I29" s="3">
        <v>0</v>
      </c>
      <c r="J29" s="3">
        <v>0</v>
      </c>
      <c r="K29" s="3">
        <v>0</v>
      </c>
      <c r="L29" s="3">
        <v>0</v>
      </c>
      <c r="M29" s="4">
        <f>SUM(G28:L30)-D29</f>
        <v>-8</v>
      </c>
      <c r="N29" s="929"/>
      <c r="O29" s="293">
        <f>SUMIFS([1]اردیبهشت!$AD$2:$AD$805,[1]اردیبهشت!$N$2:$N$805,$C$29,[1]اردیبهشت!$D$2:$D$805,$F$29,[1]اردیبهشت!$AA$2:$AA$805,O3)</f>
        <v>0</v>
      </c>
      <c r="P29" s="168">
        <f>SUMIFS([1]اردیبهشت!$AD$2:$AD$805,[1]اردیبهشت!$N$2:$N$805,$C$29,[1]اردیبهشت!$D$2:$D$805,$F$29,[1]اردیبهشت!$AA$2:$AA$805,P3)</f>
        <v>0</v>
      </c>
      <c r="Q29" s="168">
        <f>SUMIFS([1]اردیبهشت!$AD$2:$AD$805,[1]اردیبهشت!$N$2:$N$805,$C$29,[1]اردیبهشت!$D$2:$D$805,$F$29,[1]اردیبهشت!$AA$2:$AA$805,Q3)</f>
        <v>0</v>
      </c>
      <c r="R29" s="168">
        <f>SUMIFS([1]اردیبهشت!$AD$2:$AD$805,[1]اردیبهشت!$N$2:$N$805,$C$29,[1]اردیبهشت!$D$2:$D$805,$F$29,[1]اردیبهشت!$AA$2:$AA$805,R3)</f>
        <v>0</v>
      </c>
      <c r="S29" s="168">
        <f>SUMIFS([1]اردیبهشت!$AD$2:$AD$805,[1]اردیبهشت!$N$2:$N$805,$C$29,[1]اردیبهشت!$D$2:$D$805,$F$29,[1]اردیبهشت!$AA$2:$AA$805,S3)</f>
        <v>0</v>
      </c>
      <c r="T29" s="168">
        <f>SUMIFS([1]اردیبهشت!$AD$2:$AD$805,[1]اردیبهشت!$N$2:$N$805,$C$29,[1]اردیبهشت!$D$2:$D$805,$F$29,[1]اردیبهشت!$AA$2:$AA$805,T3)</f>
        <v>0</v>
      </c>
      <c r="U29" s="108">
        <f>SUMIFS([1]خرداد!$AF$2:$AF$700,[1]خرداد!$O$2:$O$700,7101,[1]خرداد!$D$2:$D$700,$F$4,[1]خرداد!$AC$2:$AC$700,U28)</f>
        <v>0</v>
      </c>
    </row>
    <row r="30" spans="1:21" ht="43.5" customHeight="1" thickBot="1" x14ac:dyDescent="0.3">
      <c r="A30" s="526"/>
      <c r="B30" s="310"/>
      <c r="C30" s="510"/>
      <c r="D30" s="510"/>
      <c r="E30" s="937"/>
      <c r="F30" s="5"/>
      <c r="G30" s="6">
        <f t="shared" si="0"/>
        <v>0</v>
      </c>
      <c r="H30" s="64">
        <f t="shared" si="1"/>
        <v>0</v>
      </c>
      <c r="I30" s="7">
        <v>0</v>
      </c>
      <c r="J30" s="7">
        <v>0</v>
      </c>
      <c r="K30" s="6">
        <v>0</v>
      </c>
      <c r="L30" s="6">
        <v>0</v>
      </c>
      <c r="M30" s="6"/>
      <c r="N30" s="930"/>
      <c r="O30" s="352">
        <f>SUMIFS([1]اردیبهشت!$AD$2:$AD$805,[1]اردیبهشت!$N$2:$N$805,$C$29,[1]اردیبهشت!$D$2:$D$805,$F$30,[1]اردیبهشت!$AA$2:$AA$805,O3)</f>
        <v>0</v>
      </c>
      <c r="P30" s="175">
        <f>SUMIFS([1]اردیبهشت!$AD$2:$AD$805,[1]اردیبهشت!$N$2:$N$805,$C$29,[1]اردیبهشت!$D$2:$D$805,$F$30,[1]اردیبهشت!$AA$2:$AA$805,P3)</f>
        <v>0</v>
      </c>
      <c r="Q30" s="175">
        <f>SUMIFS([1]اردیبهشت!$AD$2:$AD$805,[1]اردیبهشت!$N$2:$N$805,$C$29,[1]اردیبهشت!$D$2:$D$805,$F$30,[1]اردیبهشت!$AA$2:$AA$805,Q3)</f>
        <v>0</v>
      </c>
      <c r="R30" s="175">
        <f>SUMIFS([1]اردیبهشت!$AD$2:$AD$805,[1]اردیبهشت!$N$2:$N$805,$C$29,[1]اردیبهشت!$D$2:$D$805,$F$30,[1]اردیبهشت!$AA$2:$AA$805,R3)</f>
        <v>0</v>
      </c>
      <c r="S30" s="175">
        <f>SUMIFS([1]اردیبهشت!$AD$2:$AD$805,[1]اردیبهشت!$N$2:$N$805,$C$29,[1]اردیبهشت!$D$2:$D$805,$F$30,[1]اردیبهشت!$AA$2:$AA$805,S3)</f>
        <v>0</v>
      </c>
      <c r="T30" s="175">
        <f>SUMIFS([1]اردیبهشت!$AD$2:$AD$805,[1]اردیبهشت!$N$2:$N$805,$C$29,[1]اردیبهشت!$D$2:$D$805,$F$30,[1]اردیبهشت!$AA$2:$AA$805,T3)</f>
        <v>0</v>
      </c>
      <c r="U30" s="114">
        <f>SUMIFS([1]خرداد!$AF$2:$AF$700,[1]خرداد!$O$2:$O$700,7101,[1]خرداد!$D$2:$D$700,$F$4,[1]خرداد!$AC$2:$AC$700,U29)</f>
        <v>0</v>
      </c>
    </row>
    <row r="31" spans="1:21" ht="43.5" customHeight="1" x14ac:dyDescent="0.25">
      <c r="A31" s="939">
        <v>14</v>
      </c>
      <c r="B31" s="83" t="s">
        <v>26</v>
      </c>
      <c r="C31" s="499">
        <v>7601</v>
      </c>
      <c r="D31" s="499">
        <v>72</v>
      </c>
      <c r="E31" s="914" t="s">
        <v>15</v>
      </c>
      <c r="F31" s="84" t="s">
        <v>27</v>
      </c>
      <c r="G31" s="85">
        <f t="shared" si="0"/>
        <v>59</v>
      </c>
      <c r="H31" s="86">
        <f t="shared" si="1"/>
        <v>0</v>
      </c>
      <c r="I31" s="85">
        <v>0</v>
      </c>
      <c r="J31" s="85">
        <v>0</v>
      </c>
      <c r="K31" s="85">
        <v>0</v>
      </c>
      <c r="L31" s="85">
        <v>0</v>
      </c>
      <c r="M31" s="87">
        <f>(J31+J32+I32+I31+H31+H32+G32+G31+L31+K31)-D31</f>
        <v>-13</v>
      </c>
      <c r="N31" s="941"/>
      <c r="O31" s="298">
        <f>SUMIFS([1]تیر!$AF$2:$AF$805,[1]تیر!$O$2:$O$805,7601,[1]تیر!$D$2:$D$805,$F$31,[1]تیر!$AC$2:$AC$805,O3)</f>
        <v>8</v>
      </c>
      <c r="P31" s="188">
        <f>SUMIFS([1]تیر!$AF$2:$AF$805,[1]تیر!$O$2:$O$805,7601,[1]تیر!$D$2:$D$805,$F$31,[1]تیر!$AC$2:$AC$805,P3)</f>
        <v>12</v>
      </c>
      <c r="Q31" s="188">
        <f>SUMIFS([1]تیر!$AF$2:$AF$805,[1]تیر!$O$2:$O$805,7601,[1]تیر!$D$2:$D$805,$F$31,[1]تیر!$AC$2:$AC$805,Q3)</f>
        <v>11</v>
      </c>
      <c r="R31" s="188">
        <f>SUMIFS([1]تیر!$AF$2:$AF$805,[1]تیر!$O$2:$O$805,7601,[1]تیر!$D$2:$D$805,$F$31,[1]تیر!$AC$2:$AC$805,R3)</f>
        <v>12</v>
      </c>
      <c r="S31" s="188">
        <f>SUMIFS([1]تیر!$AF$2:$AF$805,[1]تیر!$O$2:$O$805,7601,[1]تیر!$D$2:$D$805,$F$31,[1]تیر!$AC$2:$AC$805,S3)</f>
        <v>11</v>
      </c>
      <c r="T31" s="188">
        <f>SUMIFS([1]تیر!$AF$2:$AF$805,[1]تیر!$O$2:$O$805,7601,[1]تیر!$D$2:$D$805,$F$31,[1]تیر!$AC$2:$AC$805,T3)</f>
        <v>5</v>
      </c>
      <c r="U31" s="128">
        <f>SUMIFS([1]تیر!$AF$2:$AF$805,[1]تیر!$O$2:$O$805,7601,[1]تیر!$D$2:$D$805,$F$31,[1]تیر!$AC$2:$AC$805,U3)</f>
        <v>0</v>
      </c>
    </row>
    <row r="32" spans="1:21" ht="43.5" customHeight="1" thickBot="1" x14ac:dyDescent="0.3">
      <c r="A32" s="940"/>
      <c r="B32" s="123"/>
      <c r="C32" s="500"/>
      <c r="D32" s="500"/>
      <c r="E32" s="915"/>
      <c r="F32" s="124"/>
      <c r="G32" s="93">
        <f t="shared" si="0"/>
        <v>0</v>
      </c>
      <c r="H32" s="92">
        <f t="shared" si="1"/>
        <v>0</v>
      </c>
      <c r="I32" s="125">
        <v>0</v>
      </c>
      <c r="J32" s="125">
        <v>0</v>
      </c>
      <c r="K32" s="126">
        <v>0</v>
      </c>
      <c r="L32" s="126">
        <v>0</v>
      </c>
      <c r="M32" s="127"/>
      <c r="N32" s="917"/>
      <c r="O32" s="584">
        <f>SUMIFS([1]اردیبهشت!$AD$2:$AD$805,[1]اردیبهشت!$N$2:$N$805,$C$31,[1]اردیبهشت!$D$2:$D$805,$F$32,[1]اردیبهشت!$AA$2:$AA$805,O3)</f>
        <v>0</v>
      </c>
      <c r="P32" s="191">
        <f>SUMIFS([1]اردیبهشت!$AD$2:$AD$600,[1]اردیبهشت!$N$2:$N$600,$C$31,[1]اردیبهشت!$D$2:$D$600,$F$32,[1]اردیبهشت!$AA$2:$AA$600,P3)</f>
        <v>0</v>
      </c>
      <c r="Q32" s="191">
        <f>SUMIFS([1]اردیبهشت!$AD$2:$AD$600,[1]اردیبهشت!$N$2:$N$600,$C$31,[1]اردیبهشت!$D$2:$D$600,$F$32,[1]اردیبهشت!$AA$2:$AA$600,Q3)</f>
        <v>0</v>
      </c>
      <c r="R32" s="191">
        <f>SUMIFS([1]اردیبهشت!$AD$2:$AD$600,[1]اردیبهشت!$N$2:$N$600,$C$31,[1]اردیبهشت!$D$2:$D$600,$F$32,[1]اردیبهشت!$AA$2:$AA$600,R3)</f>
        <v>0</v>
      </c>
      <c r="S32" s="191">
        <f>SUMIFS([1]اردیبهشت!$AD$2:$AD$600,[1]اردیبهشت!$N$2:$N$600,$C$31,[1]اردیبهشت!$D$2:$D$600,$F$32,[1]اردیبهشت!$AA$2:$AA$600,S3)</f>
        <v>0</v>
      </c>
      <c r="T32" s="191">
        <f>SUMIFS([1]اردیبهشت!$AD$2:$AD$600,[1]اردیبهشت!$N$2:$N$600,$C$31,[1]اردیبهشت!$D$2:$D$600,$F$32,[1]اردیبهشت!$AA$2:$AA$600,T3)</f>
        <v>0</v>
      </c>
      <c r="U32" s="114">
        <f>SUMIFS([1]خرداد!$AF$2:$AF$700,[1]خرداد!$O$2:$O$700,7101,[1]خرداد!$D$2:$D$700,$F$4,[1]خرداد!$AC$2:$AC$700,U31)</f>
        <v>0</v>
      </c>
    </row>
    <row r="33" spans="1:21" ht="43.5" customHeight="1" x14ac:dyDescent="0.25">
      <c r="A33" s="912">
        <v>15</v>
      </c>
      <c r="B33" s="83" t="s">
        <v>26</v>
      </c>
      <c r="C33" s="499">
        <v>7602</v>
      </c>
      <c r="D33" s="499">
        <v>72</v>
      </c>
      <c r="E33" s="914" t="s">
        <v>15</v>
      </c>
      <c r="F33" s="84" t="s">
        <v>27</v>
      </c>
      <c r="G33" s="535">
        <f t="shared" si="0"/>
        <v>46</v>
      </c>
      <c r="H33" s="46">
        <f t="shared" si="1"/>
        <v>0</v>
      </c>
      <c r="I33" s="85">
        <v>1</v>
      </c>
      <c r="J33" s="85">
        <v>0</v>
      </c>
      <c r="K33" s="85">
        <v>0</v>
      </c>
      <c r="L33" s="85">
        <v>0</v>
      </c>
      <c r="M33" s="87">
        <f>(J33+J34+I34+I33+H33+H34+G34+G33)-D33</f>
        <v>-25</v>
      </c>
      <c r="N33" s="916" t="s">
        <v>29</v>
      </c>
      <c r="O33" s="292">
        <f>SUMIFS([1]تیر!$AF$2:$AF$805,[1]تیر!$O$2:$O$805,7602,[1]تیر!$D$2:$D$805,$F$33,[1]تیر!$AC$2:$AC$805,O3)</f>
        <v>8</v>
      </c>
      <c r="P33" s="169">
        <f>SUMIFS([1]تیر!$AF$2:$AF$805,[1]تیر!$O$2:$O$805,7602,[1]تیر!$D$2:$D$805,$F$33,[1]تیر!$AC$2:$AC$805,P3)</f>
        <v>0</v>
      </c>
      <c r="Q33" s="169">
        <f>SUMIFS([1]تیر!$AF$2:$AF$805,[1]تیر!$O$2:$O$805,7602,[1]تیر!$D$2:$D$805,$F$33,[1]تیر!$AC$2:$AC$805,Q3)</f>
        <v>7</v>
      </c>
      <c r="R33" s="169">
        <f>SUMIFS([1]تیر!$AF$2:$AF$805,[1]تیر!$O$2:$O$805,7602,[1]تیر!$D$2:$D$805,$F$33,[1]تیر!$AC$2:$AC$805,R3)</f>
        <v>12</v>
      </c>
      <c r="S33" s="169">
        <f>SUMIFS([1]تیر!$AF$2:$AF$805,[1]تیر!$O$2:$O$805,7602,[1]تیر!$D$2:$D$805,$F$33,[1]تیر!$AC$2:$AC$805,S3)</f>
        <v>11</v>
      </c>
      <c r="T33" s="169">
        <f>SUMIFS([1]تیر!$AF$2:$AF$805,[1]تیر!$O$2:$O$805,7602,[1]تیر!$D$2:$D$805,$F$33,[1]تیر!$AC$2:$AC$805,T3)</f>
        <v>8</v>
      </c>
      <c r="U33" s="107">
        <f>SUMIFS([1]تیر!$AF$2:$AF$805,[1]تیر!$O$2:$O$805,7602,[1]تیر!$D$2:$D$805,$F$33,[1]تیر!$AC$2:$AC$805,U3)</f>
        <v>0</v>
      </c>
    </row>
    <row r="34" spans="1:21" ht="43.5" customHeight="1" thickBot="1" x14ac:dyDescent="0.3">
      <c r="A34" s="913"/>
      <c r="B34" s="123"/>
      <c r="C34" s="500"/>
      <c r="D34" s="500"/>
      <c r="E34" s="915"/>
      <c r="F34" s="124"/>
      <c r="G34" s="6">
        <f t="shared" si="0"/>
        <v>0</v>
      </c>
      <c r="H34" s="64">
        <f t="shared" si="1"/>
        <v>0</v>
      </c>
      <c r="I34" s="125">
        <v>0</v>
      </c>
      <c r="J34" s="125">
        <v>0</v>
      </c>
      <c r="K34" s="126">
        <v>0</v>
      </c>
      <c r="L34" s="126">
        <v>0</v>
      </c>
      <c r="M34" s="127"/>
      <c r="N34" s="917"/>
      <c r="O34" s="352">
        <f>SUMIFS([1]اردیبهشت!$AD$2:$AD$805,[1]اردیبهشت!$N$2:$N$805,$C$33,[1]اردیبهشت!$D$2:$D$805,$F$34,[1]اردیبهشت!$AA$2:$AA$805,O3)</f>
        <v>0</v>
      </c>
      <c r="P34" s="175">
        <f>SUMIFS([1]اردیبهشت!$AD$2:$AD$600,[1]اردیبهشت!$N$2:$N$600,$C$33,[1]اردیبهشت!$D$2:$D$600,$F$34,[1]اردیبهشت!$AA$2:$AA$600,P3)</f>
        <v>0</v>
      </c>
      <c r="Q34" s="175">
        <f>SUMIFS([1]اردیبهشت!$AD$2:$AD$600,[1]اردیبهشت!$N$2:$N$600,$C$33,[1]اردیبهشت!$D$2:$D$600,$F$34,[1]اردیبهشت!$AA$2:$AA$600,Q3)</f>
        <v>0</v>
      </c>
      <c r="R34" s="175">
        <f>SUMIFS([1]اردیبهشت!$AD$2:$AD$600,[1]اردیبهشت!$N$2:$N$600,$C$33,[1]اردیبهشت!$D$2:$D$600,$F$34,[1]اردیبهشت!$AA$2:$AA$600,R3)</f>
        <v>0</v>
      </c>
      <c r="S34" s="175">
        <f>SUMIFS([1]اردیبهشت!$AD$2:$AD$600,[1]اردیبهشت!$N$2:$N$600,$C$33,[1]اردیبهشت!$D$2:$D$600,$F$34,[1]اردیبهشت!$AA$2:$AA$600,S3)</f>
        <v>0</v>
      </c>
      <c r="T34" s="175">
        <f>SUMIFS([1]اردیبهشت!$AD$2:$AD$600,[1]اردیبهشت!$N$2:$N$600,$C$33,[1]اردیبهشت!$D$2:$D$600,$F$34,[1]اردیبهشت!$AA$2:$AA$600,T3)</f>
        <v>0</v>
      </c>
      <c r="U34" s="114">
        <f>SUMIFS([1]خرداد!$AF$2:$AF$700,[1]خرداد!$O$2:$O$700,7101,[1]خرداد!$D$2:$D$700,$F$4,[1]خرداد!$AC$2:$AC$700,U33)</f>
        <v>0</v>
      </c>
    </row>
    <row r="35" spans="1:21" ht="42.75" customHeight="1" x14ac:dyDescent="0.25">
      <c r="A35" s="912">
        <v>16</v>
      </c>
      <c r="B35" s="505" t="s">
        <v>26</v>
      </c>
      <c r="C35" s="507">
        <v>7603</v>
      </c>
      <c r="D35" s="507">
        <v>72</v>
      </c>
      <c r="E35" s="943" t="s">
        <v>15</v>
      </c>
      <c r="F35" s="84" t="s">
        <v>27</v>
      </c>
      <c r="G35" s="535">
        <f t="shared" si="0"/>
        <v>50</v>
      </c>
      <c r="H35" s="46">
        <f t="shared" si="1"/>
        <v>0</v>
      </c>
      <c r="I35" s="535">
        <v>1</v>
      </c>
      <c r="J35" s="535">
        <v>0</v>
      </c>
      <c r="K35" s="535">
        <v>0</v>
      </c>
      <c r="L35" s="535">
        <v>0</v>
      </c>
      <c r="M35" s="23">
        <f>(J35+J36+I36+I35+H35+H36+G36+G35+L35+L36)-D35</f>
        <v>-21</v>
      </c>
      <c r="N35" s="945" t="s">
        <v>29</v>
      </c>
      <c r="O35" s="292">
        <f>SUMIFS([1]تیر!$AF$2:$AF$805,[1]تیر!$O$2:$O$805,7603,[1]تیر!$D$2:$D$805,$F$35,[1]تیر!$AC$2:$AC$805,O3)</f>
        <v>8</v>
      </c>
      <c r="P35" s="169">
        <f>SUMIFS([1]تیر!$AF$2:$AF$805,[1]تیر!$O$2:$O$805,7603,[1]تیر!$D$2:$D$805,$F$35,[1]تیر!$AC$2:$AC$805,P3)</f>
        <v>12</v>
      </c>
      <c r="Q35" s="169">
        <f>SUMIFS([1]تیر!$AF$2:$AF$805,[1]تیر!$O$2:$O$805,7603,[1]تیر!$D$2:$D$805,$F$35,[1]تیر!$AC$2:$AC$805,Q3)</f>
        <v>11</v>
      </c>
      <c r="R35" s="169">
        <f>SUMIFS([1]تیر!$AF$2:$AF$805,[1]تیر!$O$2:$O$805,7603,[1]تیر!$D$2:$D$805,$F$35,[1]تیر!$AC$2:$AC$805,R3)</f>
        <v>9</v>
      </c>
      <c r="S35" s="169">
        <f>SUMIFS([1]تیر!$AF$2:$AF$805,[1]تیر!$O$2:$O$805,7603,[1]تیر!$D$2:$D$805,$F$35,[1]تیر!$AC$2:$AC$805,S3)</f>
        <v>2</v>
      </c>
      <c r="T35" s="169">
        <f>SUMIFS([1]تیر!$AF$2:$AF$805,[1]تیر!$O$2:$O$805,7603,[1]تیر!$D$2:$D$805,$F$35,[1]تیر!$AC$2:$AC$805,T3)</f>
        <v>8</v>
      </c>
      <c r="U35" s="107">
        <f>SUMIFS([1]تیر!$AF$2:$AF$805,[1]تیر!$O$2:$O$805,7603,[1]تیر!$D$2:$D$805,$F$35,[1]تیر!$AC$2:$AC$805,U3)</f>
        <v>0</v>
      </c>
    </row>
    <row r="36" spans="1:21" ht="42.75" customHeight="1" thickBot="1" x14ac:dyDescent="0.3">
      <c r="A36" s="942"/>
      <c r="B36" s="506"/>
      <c r="C36" s="510"/>
      <c r="D36" s="510"/>
      <c r="E36" s="944"/>
      <c r="F36" s="5"/>
      <c r="G36" s="1">
        <f t="shared" si="0"/>
        <v>0</v>
      </c>
      <c r="H36" s="49">
        <f t="shared" si="1"/>
        <v>0</v>
      </c>
      <c r="I36" s="7">
        <v>0</v>
      </c>
      <c r="J36" s="7">
        <v>0</v>
      </c>
      <c r="K36" s="6">
        <v>0</v>
      </c>
      <c r="L36" s="6">
        <v>0</v>
      </c>
      <c r="M36" s="8"/>
      <c r="N36" s="946"/>
      <c r="O36" s="294">
        <f>SUMIFS([1]اردیبهشت!$AD$2:$AD$805,[1]اردیبهشت!$N$2:$N$805,$C$35,[1]اردیبهشت!$D$2:$D$805,$F$36,[1]اردیبهشت!$AA$2:$AA$805,O3)</f>
        <v>0</v>
      </c>
      <c r="P36" s="172">
        <f>SUMIFS([1]اردیبهشت!$AD$2:$AD$600,[1]اردیبهشت!$N$2:$N$600,$C$35,[1]اردیبهشت!$D$2:$D$600,$F$36,[1]اردیبهشت!$AA$2:$AA$600,P3)</f>
        <v>0</v>
      </c>
      <c r="Q36" s="172">
        <f>SUMIFS([1]اردیبهشت!$AD$2:$AD$600,[1]اردیبهشت!$N$2:$N$600,$C$35,[1]اردیبهشت!$D$2:$D$600,$F$36,[1]اردیبهشت!$AA$2:$AA$600,Q3)</f>
        <v>0</v>
      </c>
      <c r="R36" s="172">
        <f>SUMIFS([1]اردیبهشت!$AD$2:$AD$600,[1]اردیبهشت!$N$2:$N$600,$C$35,[1]اردیبهشت!$D$2:$D$600,$F$36,[1]اردیبهشت!$AA$2:$AA$600,R3)</f>
        <v>0</v>
      </c>
      <c r="S36" s="172">
        <f>SUMIFS([1]اردیبهشت!$AD$2:$AD$600,[1]اردیبهشت!$N$2:$N$600,$C$35,[1]اردیبهشت!$D$2:$D$600,$F$36,[1]اردیبهشت!$AA$2:$AA$600,S3)</f>
        <v>0</v>
      </c>
      <c r="T36" s="172">
        <f>SUMIFS([1]اردیبهشت!$AD$2:$AD$600,[1]اردیبهشت!$N$2:$N$600,$C$35,[1]اردیبهشت!$D$2:$D$600,$F$36,[1]اردیبهشت!$AA$2:$AA$600,T3)</f>
        <v>0</v>
      </c>
      <c r="U36" s="109">
        <f>SUMIFS([1]خرداد!$AF$2:$AF$700,[1]خرداد!$O$2:$O$700,7101,[1]خرداد!$D$2:$D$700,$F$4,[1]خرداد!$AC$2:$AC$700,U35)</f>
        <v>0</v>
      </c>
    </row>
    <row r="37" spans="1:21" ht="42.75" customHeight="1" x14ac:dyDescent="0.25">
      <c r="A37" s="912">
        <v>17</v>
      </c>
      <c r="B37" s="81" t="s">
        <v>26</v>
      </c>
      <c r="C37" s="90">
        <v>7604</v>
      </c>
      <c r="D37" s="515">
        <v>72</v>
      </c>
      <c r="E37" s="947" t="s">
        <v>19</v>
      </c>
      <c r="F37" s="79"/>
      <c r="G37" s="535" t="s">
        <v>83</v>
      </c>
      <c r="H37" s="46">
        <f t="shared" si="1"/>
        <v>0</v>
      </c>
      <c r="I37" s="80">
        <v>0</v>
      </c>
      <c r="J37" s="80">
        <v>72</v>
      </c>
      <c r="K37" s="80">
        <v>0</v>
      </c>
      <c r="L37" s="80">
        <v>0</v>
      </c>
      <c r="M37" s="60"/>
      <c r="N37" s="949" t="s">
        <v>28</v>
      </c>
      <c r="O37" s="390"/>
      <c r="P37" s="204"/>
      <c r="Q37" s="204"/>
      <c r="R37" s="204"/>
      <c r="S37" s="204"/>
      <c r="T37" s="204"/>
      <c r="U37" s="116"/>
    </row>
    <row r="38" spans="1:21" ht="42.75" customHeight="1" thickBot="1" x14ac:dyDescent="0.3">
      <c r="A38" s="913"/>
      <c r="B38" s="523"/>
      <c r="C38" s="309"/>
      <c r="D38" s="509"/>
      <c r="E38" s="948"/>
      <c r="F38" s="24"/>
      <c r="G38" s="1">
        <f t="shared" si="0"/>
        <v>0</v>
      </c>
      <c r="H38" s="49">
        <f t="shared" si="1"/>
        <v>0</v>
      </c>
      <c r="I38" s="25">
        <v>0</v>
      </c>
      <c r="J38" s="25">
        <v>0</v>
      </c>
      <c r="K38" s="4">
        <v>0</v>
      </c>
      <c r="L38" s="4">
        <v>0</v>
      </c>
      <c r="M38" s="60"/>
      <c r="N38" s="950"/>
      <c r="O38" s="391"/>
      <c r="P38" s="194"/>
      <c r="Q38" s="194"/>
      <c r="R38" s="194"/>
      <c r="S38" s="194"/>
      <c r="T38" s="194"/>
      <c r="U38" s="117"/>
    </row>
    <row r="39" spans="1:21" ht="42.75" customHeight="1" x14ac:dyDescent="0.25">
      <c r="A39" s="954">
        <v>18</v>
      </c>
      <c r="B39" s="83" t="s">
        <v>26</v>
      </c>
      <c r="C39" s="499">
        <v>7605</v>
      </c>
      <c r="D39" s="499">
        <v>72</v>
      </c>
      <c r="E39" s="914" t="s">
        <v>15</v>
      </c>
      <c r="F39" s="84" t="s">
        <v>27</v>
      </c>
      <c r="G39" s="85">
        <f t="shared" si="0"/>
        <v>17</v>
      </c>
      <c r="H39" s="86">
        <f t="shared" si="1"/>
        <v>0</v>
      </c>
      <c r="I39" s="85">
        <v>1</v>
      </c>
      <c r="J39" s="85">
        <v>0</v>
      </c>
      <c r="K39" s="85">
        <v>0</v>
      </c>
      <c r="L39" s="153">
        <v>0</v>
      </c>
      <c r="M39" s="87">
        <f>(G39+H39+I39+J39+K39+L39)-D39</f>
        <v>-54</v>
      </c>
      <c r="N39" s="955" t="s">
        <v>29</v>
      </c>
      <c r="O39" s="298">
        <f>SUMIFS([1]تیر!$AF$2:$AF$805,[1]تیر!$O$2:$O$805,7605,[1]تیر!$D$2:$D$805,$F$39,[1]تیر!$AC$2:$AC$805,O3)</f>
        <v>0</v>
      </c>
      <c r="P39" s="188">
        <f>SUMIFS([1]تیر!$AF$2:$AF$805,[1]تیر!$O$2:$O$805,7605,[1]تیر!$D$2:$D$805,$F$39,[1]تیر!$AC$2:$AC$805,P3)</f>
        <v>0</v>
      </c>
      <c r="Q39" s="188">
        <f>SUMIFS([1]تیر!$AF$2:$AF$805,[1]تیر!$O$2:$O$805,7605,[1]تیر!$D$2:$D$805,$F$39,[1]تیر!$AC$2:$AC$805,Q3)</f>
        <v>7</v>
      </c>
      <c r="R39" s="188">
        <f>SUMIFS([1]تیر!$AF$2:$AF$805,[1]تیر!$O$2:$O$805,7605,[1]تیر!$D$2:$D$805,$F$39,[1]تیر!$AC$2:$AC$805,R3)</f>
        <v>8</v>
      </c>
      <c r="S39" s="188">
        <f>SUMIFS([1]تیر!$AF$2:$AF$805,[1]تیر!$O$2:$O$805,7605,[1]تیر!$D$2:$D$805,$F$39,[1]تیر!$AC$2:$AC$805,S3)</f>
        <v>2</v>
      </c>
      <c r="T39" s="188">
        <f>SUMIFS([1]تیر!$AF$2:$AF$805,[1]تیر!$O$2:$O$805,7605,[1]تیر!$D$2:$D$805,$F$39,[1]تیر!$AC$2:$AC$805,T3)</f>
        <v>0</v>
      </c>
      <c r="U39" s="128">
        <f>SUMIFS([1]تیر!$AF$2:$AF$805,[1]تیر!$O$2:$O$805,7605,[1]تیر!$D$2:$D$805,$F$39,[1]تیر!$AC$2:$AC$805,U3)</f>
        <v>0</v>
      </c>
    </row>
    <row r="40" spans="1:21" ht="42.75" customHeight="1" thickBot="1" x14ac:dyDescent="0.3">
      <c r="A40" s="942"/>
      <c r="B40" s="589"/>
      <c r="C40" s="534"/>
      <c r="D40" s="534"/>
      <c r="E40" s="997"/>
      <c r="F40" s="461"/>
      <c r="G40" s="89">
        <f t="shared" si="0"/>
        <v>0</v>
      </c>
      <c r="H40" s="286">
        <f t="shared" si="1"/>
        <v>0</v>
      </c>
      <c r="I40" s="462">
        <v>0</v>
      </c>
      <c r="J40" s="462">
        <v>0</v>
      </c>
      <c r="K40" s="89">
        <v>0</v>
      </c>
      <c r="L40" s="89">
        <v>0</v>
      </c>
      <c r="M40" s="94"/>
      <c r="N40" s="998"/>
      <c r="O40" s="584">
        <f>SUMIFS([1]اردیبهشت!$AD$2:$AD$805,[1]اردیبهشت!$N$2:$N$805,$C$39,[1]اردیبهشت!$D$2:$D$805,$F$40,[1]اردیبهشت!$AA$2:$AA$805,O3)</f>
        <v>0</v>
      </c>
      <c r="P40" s="191">
        <f>SUMIFS([1]اردیبهشت!$AD$2:$AD$600,[1]اردیبهشت!$N$2:$N$600,$C$39,[1]اردیبهشت!$D$2:$D$600,$F$40,[1]اردیبهشت!$AA$2:$AA$600,P3)</f>
        <v>0</v>
      </c>
      <c r="Q40" s="191">
        <f>SUMIFS([1]اردیبهشت!$AD$2:$AD$600,[1]اردیبهشت!$N$2:$N$600,$C$39,[1]اردیبهشت!$D$2:$D$600,$F$40,[1]اردیبهشت!$AA$2:$AA$600,Q3)</f>
        <v>0</v>
      </c>
      <c r="R40" s="191">
        <f>SUMIFS([1]اردیبهشت!$AD$2:$AD$600,[1]اردیبهشت!$N$2:$N$600,$C$39,[1]اردیبهشت!$D$2:$D$600,$F$40,[1]اردیبهشت!$AA$2:$AA$600,R3)</f>
        <v>0</v>
      </c>
      <c r="S40" s="191">
        <f>SUMIFS([1]اردیبهشت!$AD$2:$AD$600,[1]اردیبهشت!$N$2:$N$600,$C$39,[1]اردیبهشت!$D$2:$D$600,$F$40,[1]اردیبهشت!$AA$2:$AA$600,S3)</f>
        <v>0</v>
      </c>
      <c r="T40" s="191">
        <f>SUMIFS([1]اردیبهشت!$AD$2:$AD$600,[1]اردیبهشت!$N$2:$N$600,$C$39,[1]اردیبهشت!$D$2:$D$600,$F$40,[1]اردیبهشت!$AA$2:$AA$600,T3)</f>
        <v>0</v>
      </c>
      <c r="U40" s="115">
        <f>SUMIFS([1]اردیبهشت!$AD$2:$AD$600,[1]اردیبهشت!$N$2:$N$600,$C$39,[1]اردیبهشت!$D$2:$D$600,$F$40,[1]اردیبهشت!$AA$2:$AA$600,U3)</f>
        <v>0</v>
      </c>
    </row>
    <row r="41" spans="1:21" ht="39" customHeight="1" x14ac:dyDescent="0.25">
      <c r="A41" s="524"/>
      <c r="B41" s="307"/>
      <c r="C41" s="507"/>
      <c r="D41" s="507"/>
      <c r="E41" s="932" t="s">
        <v>15</v>
      </c>
      <c r="F41" s="84" t="s">
        <v>27</v>
      </c>
      <c r="G41" s="535">
        <f t="shared" si="0"/>
        <v>8.6666666666666661</v>
      </c>
      <c r="H41" s="46">
        <f t="shared" si="1"/>
        <v>0</v>
      </c>
      <c r="I41" s="535">
        <v>0</v>
      </c>
      <c r="J41" s="535">
        <v>0</v>
      </c>
      <c r="K41" s="535">
        <v>0</v>
      </c>
      <c r="L41" s="535">
        <v>0</v>
      </c>
      <c r="M41" s="28"/>
      <c r="N41" s="945" t="s">
        <v>13</v>
      </c>
      <c r="O41" s="292">
        <f>SUMIFS([1]تیر!$AF$2:$AF$805,[1]تیر!$O$2:$O$805,7701,[1]تیر!$D$2:$D$805,$F$41,[1]تیر!$AC$2:$AC$805,O3)</f>
        <v>0</v>
      </c>
      <c r="P41" s="169">
        <f>SUMIFS([1]تیر!$AF$2:$AF$805,[1]تیر!$O$2:$O$805,7701,[1]تیر!$D$2:$D$805,$F$41,[1]تیر!$AC$2:$AC$805,P3)</f>
        <v>8.6666666666666661</v>
      </c>
      <c r="Q41" s="169">
        <f>SUMIFS([1]تیر!$AF$2:$AF$805,[1]تیر!$O$2:$O$805,7701,[1]تیر!$D$2:$D$805,$F$41,[1]تیر!$AC$2:$AC$805,Q3)</f>
        <v>0</v>
      </c>
      <c r="R41" s="169">
        <f>SUMIFS([1]تیر!$AF$2:$AF$805,[1]تیر!$O$2:$O$805,7701,[1]تیر!$D$2:$D$805,$F$41,[1]تیر!$AC$2:$AC$805,R3)</f>
        <v>0</v>
      </c>
      <c r="S41" s="169">
        <f>SUMIFS([1]تیر!$AF$2:$AF$805,[1]تیر!$O$2:$O$805,7701,[1]تیر!$D$2:$D$805,$F$41,[1]تیر!$AC$2:$AC$805,S3)</f>
        <v>0</v>
      </c>
      <c r="T41" s="169">
        <f>SUMIFS([1]تیر!$AF$2:$AF$805,[1]تیر!$O$2:$O$805,7701,[1]تیر!$D$2:$D$805,$F$41,[1]تیر!$AC$2:$AC$805,T3)</f>
        <v>0</v>
      </c>
      <c r="U41" s="107">
        <f>SUMIFS([1]تیر!$AF$2:$AF$805,[1]تیر!$O$2:$O$805,7701,[1]تیر!$D$2:$D$805,$F$41,[1]تیر!$AC$2:$AC$805,U3)</f>
        <v>0</v>
      </c>
    </row>
    <row r="42" spans="1:21" ht="39" customHeight="1" x14ac:dyDescent="0.25">
      <c r="A42" s="525">
        <v>19</v>
      </c>
      <c r="B42" s="308" t="s">
        <v>30</v>
      </c>
      <c r="C42" s="508">
        <v>7701</v>
      </c>
      <c r="D42" s="508">
        <v>62.5</v>
      </c>
      <c r="E42" s="933"/>
      <c r="F42" s="29"/>
      <c r="G42" s="3">
        <f t="shared" si="0"/>
        <v>0</v>
      </c>
      <c r="H42" s="47">
        <f t="shared" si="1"/>
        <v>0</v>
      </c>
      <c r="I42" s="3">
        <v>0</v>
      </c>
      <c r="J42" s="25">
        <v>0</v>
      </c>
      <c r="K42" s="25">
        <v>0</v>
      </c>
      <c r="L42" s="70">
        <v>0</v>
      </c>
      <c r="M42" s="4">
        <f>(J41+J42+J43+I43+I42+I41+H41+H42+H43+G43+G42+G41)-D42</f>
        <v>-53.833333333333336</v>
      </c>
      <c r="N42" s="956"/>
      <c r="O42" s="293">
        <f>SUMIFS([1]اردیبهشت!$AD$2:$AD$805,[1]اردیبهشت!$N$2:$N$805,$C$42,[1]اردیبهشت!$D$2:$D$805,$F$42,[1]اردیبهشت!$AA$2:$AA$805,O3)</f>
        <v>0</v>
      </c>
      <c r="P42" s="168">
        <f>SUMIFS([1]اردیبهشت!$AD$2:$AD$805,[1]اردیبهشت!$N$2:$N$805,$C$42,[1]اردیبهشت!$D$2:$D$805,$F$42,[1]اردیبهشت!$AA$2:$AA$805,P3)</f>
        <v>0</v>
      </c>
      <c r="Q42" s="168">
        <f>SUMIFS([1]اردیبهشت!$AD$2:$AD$805,[1]اردیبهشت!$N$2:$N$805,$C$42,[1]اردیبهشت!$D$2:$D$805,$F$42,[1]اردیبهشت!$AA$2:$AA$805,Q3)</f>
        <v>0</v>
      </c>
      <c r="R42" s="168">
        <f>SUMIFS([1]اردیبهشت!$AD$2:$AD$805,[1]اردیبهشت!$N$2:$N$805,$C$42,[1]اردیبهشت!$D$2:$D$805,$F$42,[1]اردیبهشت!$AA$2:$AA$805,R3)</f>
        <v>0</v>
      </c>
      <c r="S42" s="168">
        <f>SUMIFS([1]اردیبهشت!$AD$2:$AD$805,[1]اردیبهشت!$N$2:$N$805,$C$42,[1]اردیبهشت!$D$2:$D$805,$F$42,[1]اردیبهشت!$AA$2:$AA$805,S3)</f>
        <v>0</v>
      </c>
      <c r="T42" s="168">
        <f>SUMIFS([1]اردیبهشت!$AD$2:$AD$805,[1]اردیبهشت!$N$2:$N$805,$C$42,[1]اردیبهشت!$D$2:$D$805,$F$42,[1]اردیبهشت!$AA$2:$AA$805,T3)</f>
        <v>0</v>
      </c>
      <c r="U42" s="108">
        <f>SUMIFS([1]اردیبهشت!$AD$2:$AD$600,[1]اردیبهشت!$N$2:$N$600,$C$42,[1]اردیبهشت!$D$2:$D$600,$F$42,[1]اردیبهشت!$AA$2:$AA$600,U3)</f>
        <v>0</v>
      </c>
    </row>
    <row r="43" spans="1:21" ht="39" hidden="1" customHeight="1" thickBot="1" x14ac:dyDescent="0.3">
      <c r="A43" s="526"/>
      <c r="B43" s="310"/>
      <c r="C43" s="510"/>
      <c r="D43" s="510"/>
      <c r="E43" s="934"/>
      <c r="F43" s="30"/>
      <c r="G43" s="6">
        <f t="shared" si="0"/>
        <v>0</v>
      </c>
      <c r="H43" s="64">
        <f t="shared" si="1"/>
        <v>0</v>
      </c>
      <c r="I43" s="7">
        <v>0</v>
      </c>
      <c r="J43" s="7">
        <v>0</v>
      </c>
      <c r="K43" s="7">
        <v>0</v>
      </c>
      <c r="L43" s="7">
        <v>0</v>
      </c>
      <c r="M43" s="8"/>
      <c r="N43" s="946"/>
      <c r="O43" s="294">
        <f>SUMIFS([1]اردیبهشت!$AD$2:$AD$805,[1]اردیبهشت!$N$2:$N$805,$C$42,[1]اردیبهشت!$D$2:$D$805,$F$43,[1]اردیبهشت!$AA$2:$AA$805,O3)</f>
        <v>0</v>
      </c>
      <c r="P43" s="172">
        <f>SUMIFS([1]اردیبهشت!$AD$2:$AD$805,[1]اردیبهشت!$N$2:$N$805,$C$42,[1]اردیبهشت!$D$2:$D$805,$F$43,[1]اردیبهشت!$AA$2:$AA$805,P3)</f>
        <v>0</v>
      </c>
      <c r="Q43" s="172">
        <f>SUMIFS([1]اردیبهشت!$AD$2:$AD$805,[1]اردیبهشت!$N$2:$N$805,$C$42,[1]اردیبهشت!$D$2:$D$805,$F$43,[1]اردیبهشت!$AA$2:$AA$805,Q3)</f>
        <v>0</v>
      </c>
      <c r="R43" s="172">
        <f>SUMIFS([1]اردیبهشت!$AD$2:$AD$805,[1]اردیبهشت!$N$2:$N$805,$C$42,[1]اردیبهشت!$D$2:$D$805,$F$43,[1]اردیبهشت!$AA$2:$AA$805,R3)</f>
        <v>0</v>
      </c>
      <c r="S43" s="172">
        <f>SUMIFS([1]اردیبهشت!$AD$2:$AD$805,[1]اردیبهشت!$N$2:$N$805,$C$42,[1]اردیبهشت!$D$2:$D$805,$F$43,[1]اردیبهشت!$AA$2:$AA$805,S3)</f>
        <v>0</v>
      </c>
      <c r="T43" s="172">
        <f>SUMIFS([1]اردیبهشت!$AD$2:$AD$805,[1]اردیبهشت!$N$2:$N$805,$C$42,[1]اردیبهشت!$D$2:$D$805,$F$43,[1]اردیبهشت!$AA$2:$AA$805,T3)</f>
        <v>0</v>
      </c>
      <c r="U43" s="109">
        <f>SUMIFS([1]اردیبهشت!$AD$2:$AD$600,[1]اردیبهشت!$N$2:$N$600,$C$42,[1]اردیبهشت!$D$2:$D$600,$F$43,[1]اردیبهشت!$AA$2:$AA$600,U3)</f>
        <v>0</v>
      </c>
    </row>
    <row r="44" spans="1:21" ht="39" customHeight="1" thickBot="1" x14ac:dyDescent="0.3">
      <c r="A44" s="526">
        <v>20</v>
      </c>
      <c r="B44" s="216" t="s">
        <v>63</v>
      </c>
      <c r="C44" s="512">
        <v>8001</v>
      </c>
      <c r="D44" s="512">
        <v>62.5</v>
      </c>
      <c r="E44" s="512" t="s">
        <v>15</v>
      </c>
      <c r="F44" s="55" t="s">
        <v>54</v>
      </c>
      <c r="G44" s="1">
        <f t="shared" si="0"/>
        <v>6</v>
      </c>
      <c r="H44" s="49">
        <f t="shared" si="1"/>
        <v>0</v>
      </c>
      <c r="I44" s="4">
        <v>0</v>
      </c>
      <c r="J44" s="4">
        <v>0</v>
      </c>
      <c r="K44" s="4">
        <v>0</v>
      </c>
      <c r="L44" s="4">
        <v>0</v>
      </c>
      <c r="M44" s="4">
        <f>SUM(G44:J44)-62</f>
        <v>-56</v>
      </c>
      <c r="N44" s="529" t="s">
        <v>31</v>
      </c>
      <c r="O44" s="580">
        <f>SUMIFS([1]تیر!$AF$2:$AF$805,[1]تیر!$O$2:$O$805,8001,[1]تیر!$D$2:$D$805,$F$44,[1]تیر!$AC$2:$AC$805,O3)</f>
        <v>4</v>
      </c>
      <c r="P44" s="273">
        <f>SUMIFS([1]تیر!$AF$2:$AF$805,[1]تیر!$O$2:$O$805,8001,[1]تیر!$D$2:$D$805,$F$44,[1]تیر!$AC$2:$AC$805,P3)</f>
        <v>0</v>
      </c>
      <c r="Q44" s="273">
        <f>SUMIFS([1]تیر!$AF$2:$AF$805,[1]تیر!$O$2:$O$805,8001,[1]تیر!$D$2:$D$805,$F$44,[1]تیر!$AC$2:$AC$805,Q3)</f>
        <v>0</v>
      </c>
      <c r="R44" s="273">
        <f>SUMIFS([1]تیر!$AF$2:$AF$805,[1]تیر!$O$2:$O$805,8001,[1]تیر!$D$2:$D$805,$F$44,[1]تیر!$AC$2:$AC$805,R3)</f>
        <v>0</v>
      </c>
      <c r="S44" s="273">
        <f>SUMIFS([1]تیر!$AF$2:$AF$805,[1]تیر!$O$2:$O$805,8001,[1]تیر!$D$2:$D$805,$F$44,[1]تیر!$AC$2:$AC$805,S3)</f>
        <v>2</v>
      </c>
      <c r="T44" s="273">
        <f>SUMIFS([1]تیر!$AF$2:$AF$805,[1]تیر!$O$2:$O$805,8001,[1]تیر!$D$2:$D$805,$F$44,[1]تیر!$AC$2:$AC$805,T3)</f>
        <v>0</v>
      </c>
      <c r="U44" s="277">
        <f>SUMIFS([1]تیر!$AF$2:$AF$805,[1]تیر!$O$2:$O$805,8001,[1]تیر!$D$2:$D$805,$F$44,[1]تیر!$AC$2:$AC$805,U3)</f>
        <v>0</v>
      </c>
    </row>
    <row r="45" spans="1:21" ht="38.25" customHeight="1" thickBot="1" x14ac:dyDescent="0.3">
      <c r="A45" s="45">
        <v>21</v>
      </c>
      <c r="B45" s="12" t="s">
        <v>32</v>
      </c>
      <c r="C45" s="13">
        <v>8002</v>
      </c>
      <c r="D45" s="13">
        <v>44</v>
      </c>
      <c r="E45" s="13" t="s">
        <v>15</v>
      </c>
      <c r="F45" s="31"/>
      <c r="G45" s="14">
        <f t="shared" si="0"/>
        <v>0</v>
      </c>
      <c r="H45" s="48">
        <f t="shared" si="1"/>
        <v>0</v>
      </c>
      <c r="I45" s="14">
        <v>0</v>
      </c>
      <c r="J45" s="14">
        <v>0</v>
      </c>
      <c r="K45" s="14">
        <v>0</v>
      </c>
      <c r="L45" s="14">
        <v>0</v>
      </c>
      <c r="M45" s="14">
        <f>SUM(G45:L45)-(D45)</f>
        <v>-44</v>
      </c>
      <c r="N45" s="17" t="s">
        <v>40</v>
      </c>
      <c r="O45" s="536">
        <f>SUMIFS([1]تیر!$AF$2:$AF$805,[1]تیر!$O$2:$O$805,8002,[1]تیر!$D$2:$D$805,$F$45,[1]تیر!$AC$2:$AC$805,O3)</f>
        <v>0</v>
      </c>
      <c r="P45" s="186">
        <f>SUMIFS([1]تیر!$AF$2:$AF$805,[1]تیر!$O$2:$O$805,8002,[1]تیر!$D$2:$D$805,$F$45,[1]تیر!$AC$2:$AC$805,P3)</f>
        <v>0</v>
      </c>
      <c r="Q45" s="186">
        <f>SUMIFS([1]تیر!$AF$2:$AF$805,[1]تیر!$O$2:$O$805,8002,[1]تیر!$D$2:$D$805,$F$45,[1]تیر!$AC$2:$AC$805,Q3)</f>
        <v>0</v>
      </c>
      <c r="R45" s="186">
        <f>SUMIFS([1]تیر!$AF$2:$AF$805,[1]تیر!$O$2:$O$805,8002,[1]تیر!$D$2:$D$805,$F$45,[1]تیر!$AC$2:$AC$805,R3)</f>
        <v>0</v>
      </c>
      <c r="S45" s="186">
        <f>SUMIFS([1]تیر!$AF$2:$AF$805,[1]تیر!$O$2:$O$805,8002,[1]تیر!$D$2:$D$805,$F$45,[1]تیر!$AC$2:$AC$805,S3)</f>
        <v>0</v>
      </c>
      <c r="T45" s="186">
        <f>SUMIFS([1]تیر!$AF$2:$AF$805,[1]تیر!$O$2:$O$805,8002,[1]تیر!$D$2:$D$805,$F$45,[1]تیر!$AC$2:$AC$805,T3)</f>
        <v>0</v>
      </c>
      <c r="U45" s="118">
        <f>SUMIFS([1]تیر!$AF$2:$AF$805,[1]تیر!$O$2:$O$805,8002,[1]تیر!$D$2:$D$805,$F$45,[1]تیر!$AC$2:$AC$805,U3)</f>
        <v>0</v>
      </c>
    </row>
    <row r="46" spans="1:21" ht="36" customHeight="1" x14ac:dyDescent="0.25">
      <c r="A46" s="957">
        <v>22</v>
      </c>
      <c r="B46" s="974" t="s">
        <v>33</v>
      </c>
      <c r="C46" s="943" t="s">
        <v>33</v>
      </c>
      <c r="D46" s="932">
        <v>62.5</v>
      </c>
      <c r="E46" s="1002">
        <f>G46+G47+G48+G49</f>
        <v>88.5</v>
      </c>
      <c r="F46" s="32" t="s">
        <v>16</v>
      </c>
      <c r="G46" s="535">
        <f t="shared" si="0"/>
        <v>30.5</v>
      </c>
      <c r="H46" s="46">
        <f t="shared" si="1"/>
        <v>4</v>
      </c>
      <c r="I46" s="535">
        <v>0</v>
      </c>
      <c r="J46" s="535">
        <v>0</v>
      </c>
      <c r="K46" s="535">
        <v>0</v>
      </c>
      <c r="L46" s="535">
        <v>0</v>
      </c>
      <c r="M46" s="535">
        <f>(SUM(G46:L46))-D46</f>
        <v>-28</v>
      </c>
      <c r="N46" s="33"/>
      <c r="O46" s="292">
        <f>SUMIFS([1]تیر!$AF$2:$AF$805,[1]تیر!$O$2:$O$805,"مونتاژ",[1]تیر!$D$2:$D$805,$F$46,[1]تیر!$AC$2:$AC$805,O3)</f>
        <v>6</v>
      </c>
      <c r="P46" s="169">
        <f>SUMIFS([1]تیر!$AF$2:$AF$805,[1]تیر!$O$2:$O$805,"مونتاژ",[1]تیر!$D$2:$D$805,$F$46,[1]تیر!$AC$2:$AC$805,P3)</f>
        <v>4</v>
      </c>
      <c r="Q46" s="169">
        <f>SUMIFS([1]تیر!$AF$2:$AF$805,[1]تیر!$O$2:$O$805,"مونتاژ",[1]تیر!$D$2:$D$805,$F$46,[1]تیر!$AC$2:$AC$805,Q3)</f>
        <v>7</v>
      </c>
      <c r="R46" s="169">
        <f>SUMIFS([1]تیر!$AF$2:$AF$805,[1]تیر!$O$2:$O$805,"مونتاژ",[1]تیر!$D$2:$D$805,$F$46,[1]تیر!$AC$2:$AC$805,R3)</f>
        <v>3.5</v>
      </c>
      <c r="S46" s="169">
        <f>SUMIFS([1]تیر!$AF$2:$AF$805,[1]تیر!$O$2:$O$805,"مونتاژ",[1]تیر!$D$2:$D$805,$F$46,[1]تیر!$AC$2:$AC$805,S3)</f>
        <v>8.5</v>
      </c>
      <c r="T46" s="169">
        <f>SUMIFS([1]تیر!$AF$2:$AF$805,[1]تیر!$O$2:$O$805,"مونتاژ",[1]تیر!$D$2:$D$805,$F$46,[1]تیر!$AC$2:$AC$805,T3)</f>
        <v>1.5</v>
      </c>
      <c r="U46" s="107">
        <f>SUMIFS([1]تیر!$AF$2:$AF$805,[1]تیر!$O$2:$O$805,"مونتاژ",[1]تیر!$D$2:$D$805,$F$46,[1]تیر!$AC$2:$AC$805,U3)</f>
        <v>4</v>
      </c>
    </row>
    <row r="47" spans="1:21" ht="36" customHeight="1" x14ac:dyDescent="0.25">
      <c r="A47" s="958"/>
      <c r="B47" s="975"/>
      <c r="C47" s="965"/>
      <c r="D47" s="933"/>
      <c r="E47" s="965"/>
      <c r="F47" s="29" t="s">
        <v>22</v>
      </c>
      <c r="G47" s="3">
        <f>SUM(O47:T47)+1</f>
        <v>3</v>
      </c>
      <c r="H47" s="47">
        <f t="shared" si="1"/>
        <v>0</v>
      </c>
      <c r="I47" s="3">
        <v>0</v>
      </c>
      <c r="J47" s="3">
        <v>0</v>
      </c>
      <c r="K47" s="3">
        <v>0</v>
      </c>
      <c r="L47" s="3">
        <v>0</v>
      </c>
      <c r="M47" s="3">
        <f>(SUM(G47:L47))-D46</f>
        <v>-59.5</v>
      </c>
      <c r="N47" s="58"/>
      <c r="O47" s="293">
        <f>SUMIFS([1]تیر!$AF$2:$AF$805,[1]تیر!$O$2:$O$805,"مونتاژ",[1]تیر!$D$2:$D$805,$F$47,[1]تیر!$AC$2:$AC$805,O3)</f>
        <v>0</v>
      </c>
      <c r="P47" s="168">
        <f>SUMIFS([1]تیر!$AF$2:$AF$805,[1]تیر!$O$2:$O$805,"مونتاژ",[1]تیر!$D$2:$D$805,$F$47,[1]تیر!$AC$2:$AC$805,P3)</f>
        <v>0</v>
      </c>
      <c r="Q47" s="168">
        <f>SUMIFS([1]تیر!$AF$2:$AF$805,[1]تیر!$O$2:$O$805,"مونتاژ",[1]تیر!$D$2:$D$805,$F$47,[1]تیر!$AC$2:$AC$805,Q3)</f>
        <v>0</v>
      </c>
      <c r="R47" s="168">
        <f>SUMIFS([1]تیر!$AF$2:$AF$805,[1]تیر!$O$2:$O$805,"مونتاژ",[1]تیر!$D$2:$D$805,$F$47,[1]تیر!$AC$2:$AC$805,R3)</f>
        <v>0</v>
      </c>
      <c r="S47" s="168">
        <f>SUMIFS([1]تیر!$AF$2:$AF$805,[1]تیر!$O$2:$O$805,"مونتاژ",[1]تیر!$D$2:$D$805,$F$47,[1]تیر!$AC$2:$AC$805,S3)</f>
        <v>2</v>
      </c>
      <c r="T47" s="168">
        <f>SUMIFS([1]تیر!$AF$2:$AF$805,[1]تیر!$O$2:$O$805,"مونتاژ",[1]تیر!$D$2:$D$805,$F$47,[1]تیر!$AC$2:$AC$805,T3)</f>
        <v>0</v>
      </c>
      <c r="U47" s="108">
        <f>SUMIFS([1]تیر!$AF$2:$AF$805,[1]تیر!$O$2:$O$805,"مونتاژ",[1]تیر!$D$2:$D$805,$F$47,[1]تیر!$AC$2:$AC$805,U3)</f>
        <v>0</v>
      </c>
    </row>
    <row r="48" spans="1:21" ht="36" customHeight="1" x14ac:dyDescent="0.25">
      <c r="A48" s="959"/>
      <c r="B48" s="975"/>
      <c r="C48" s="966"/>
      <c r="D48" s="933"/>
      <c r="E48" s="966"/>
      <c r="F48" s="29" t="s">
        <v>54</v>
      </c>
      <c r="G48" s="3">
        <f t="shared" si="0"/>
        <v>29.5</v>
      </c>
      <c r="H48" s="47">
        <f t="shared" si="1"/>
        <v>4</v>
      </c>
      <c r="I48" s="3">
        <v>0</v>
      </c>
      <c r="J48" s="3">
        <v>0</v>
      </c>
      <c r="K48" s="3">
        <v>0</v>
      </c>
      <c r="L48" s="3">
        <v>0</v>
      </c>
      <c r="M48" s="3">
        <f>(SUM(G48:L48))-62</f>
        <v>-28.5</v>
      </c>
      <c r="N48" s="62"/>
      <c r="O48" s="293">
        <f>SUMIFS([1]تیر!$AF$2:$AF$805,[1]تیر!$O$2:$O$805,"مونتاژ",[1]تیر!$D$2:$D$805,$F$48,[1]تیر!$AC$2:$AC$805,O3)</f>
        <v>0</v>
      </c>
      <c r="P48" s="168">
        <f>SUMIFS([1]تیر!$AF$2:$AF$805,[1]تیر!$O$2:$O$805,"مونتاژ",[1]تیر!$D$2:$D$805,$F$48,[1]تیر!$AC$2:$AC$805,P3)</f>
        <v>0</v>
      </c>
      <c r="Q48" s="168">
        <f>SUMIFS([1]تیر!$AF$2:$AF$805,[1]تیر!$O$2:$O$805,"مونتاژ",[1]تیر!$D$2:$D$805,$F$48,[1]تیر!$AC$2:$AC$805,Q3)</f>
        <v>12</v>
      </c>
      <c r="R48" s="168">
        <f>SUMIFS([1]تیر!$AF$2:$AF$805,[1]تیر!$O$2:$O$805,"مونتاژ",[1]تیر!$D$2:$D$805,$F$48,[1]تیر!$AC$2:$AC$805,R3)</f>
        <v>6</v>
      </c>
      <c r="S48" s="168">
        <f>SUMIFS([1]تیر!$AF$2:$AF$805,[1]تیر!$O$2:$O$805,"مونتاژ",[1]تیر!$D$2:$D$805,$F$48,[1]تیر!$AC$2:$AC$805,S3)</f>
        <v>7</v>
      </c>
      <c r="T48" s="168">
        <f>SUMIFS([1]تیر!$AF$2:$AF$805,[1]تیر!$O$2:$O$805,"مونتاژ",[1]تیر!$D$2:$D$805,$F$48,[1]تیر!$AC$2:$AC$805,T3)</f>
        <v>4.5</v>
      </c>
      <c r="U48" s="108">
        <f>SUMIFS([1]تیر!$AF$2:$AF$805,[1]تیر!$O$2:$O$805,"مونتاژ",[1]تیر!$D$2:$D$805,$F$48,[1]تیر!$AC$2:$AC$805,U3)</f>
        <v>4</v>
      </c>
    </row>
    <row r="49" spans="1:21" ht="36" customHeight="1" thickBot="1" x14ac:dyDescent="0.3">
      <c r="A49" s="960"/>
      <c r="B49" s="975"/>
      <c r="C49" s="944"/>
      <c r="D49" s="934"/>
      <c r="E49" s="944"/>
      <c r="F49" s="30" t="s">
        <v>55</v>
      </c>
      <c r="G49" s="6">
        <f t="shared" si="0"/>
        <v>25.5</v>
      </c>
      <c r="H49" s="64">
        <f t="shared" si="1"/>
        <v>0</v>
      </c>
      <c r="I49" s="7">
        <v>0</v>
      </c>
      <c r="J49" s="7">
        <v>0</v>
      </c>
      <c r="K49" s="7">
        <v>0</v>
      </c>
      <c r="L49" s="7">
        <v>0</v>
      </c>
      <c r="M49" s="7">
        <f>SUM(G49:J49)-62</f>
        <v>-36.5</v>
      </c>
      <c r="N49" s="34"/>
      <c r="O49" s="352">
        <f>SUMIFS([1]تیر!$AF$2:$AF$805,[1]تیر!$O$2:$O$805,"مونتاژ",[1]تیر!$D$2:$D$805,$F$49,[1]تیر!$AC$2:$AC$805,O3)</f>
        <v>0</v>
      </c>
      <c r="P49" s="175">
        <f>SUMIFS([1]تیر!$AF$2:$AF$805,[1]تیر!$O$2:$O$805,"مونتاژ",[1]تیر!$D$2:$D$805,$F$49,[1]تیر!$AC$2:$AC$805,P3)</f>
        <v>4</v>
      </c>
      <c r="Q49" s="175">
        <f>SUMIFS([1]تیر!$AF$2:$AF$805,[1]تیر!$O$2:$O$805,"مونتاژ",[1]تیر!$D$2:$D$805,$F$49,[1]تیر!$AC$2:$AC$805,Q3)</f>
        <v>0</v>
      </c>
      <c r="R49" s="175">
        <f>SUMIFS([1]تیر!$AF$2:$AF$805,[1]تیر!$O$2:$O$805,"مونتاژ",[1]تیر!$D$2:$D$805,$F$49,[1]تیر!$AC$2:$AC$805,R3)</f>
        <v>12</v>
      </c>
      <c r="S49" s="175">
        <f>SUMIFS([1]تیر!$AF$2:$AF$805,[1]تیر!$O$2:$O$805,"مونتاژ",[1]تیر!$D$2:$D$805,$F$49,[1]تیر!$AC$2:$AC$805,S3)</f>
        <v>8</v>
      </c>
      <c r="T49" s="175">
        <f>SUMIFS([1]تیر!$AF$2:$AF$805,[1]تیر!$O$2:$O$805,"مونتاژ",[1]تیر!$D$2:$D$805,$F$49,[1]تیر!$AC$2:$AC$805,T3)</f>
        <v>1.5</v>
      </c>
      <c r="U49" s="114">
        <f>SUMIFS([1]تیر!$AF$2:$AF$805,[1]تیر!$O$2:$O$805,"مونتاژ",[1]تیر!$D$2:$D$805,$F$49,[1]تیر!$AC$2:$AC$805,U3)</f>
        <v>0</v>
      </c>
    </row>
    <row r="50" spans="1:21" ht="36" customHeight="1" x14ac:dyDescent="0.25">
      <c r="A50" s="967">
        <v>23</v>
      </c>
      <c r="B50" s="975"/>
      <c r="C50" s="943" t="s">
        <v>34</v>
      </c>
      <c r="D50" s="932">
        <v>62.5</v>
      </c>
      <c r="E50" s="932"/>
      <c r="F50" s="32" t="s">
        <v>16</v>
      </c>
      <c r="G50" s="535">
        <f t="shared" si="0"/>
        <v>8</v>
      </c>
      <c r="H50" s="46">
        <f t="shared" si="1"/>
        <v>0</v>
      </c>
      <c r="I50" s="535">
        <v>0</v>
      </c>
      <c r="J50" s="535">
        <v>0</v>
      </c>
      <c r="K50" s="535">
        <v>0</v>
      </c>
      <c r="L50" s="535">
        <v>0</v>
      </c>
      <c r="M50" s="535">
        <f>SUM(G50:L50)-62</f>
        <v>-54</v>
      </c>
      <c r="N50" s="56"/>
      <c r="O50" s="292">
        <f>SUMIFS([1]تیر!$AF$2:$AF$805,[1]تیر!$O$2:$O$805,"دمونتاژ",[1]تیر!$D$2:$D$805,$F$50,[1]تیر!$AC$2:$AC$805,O3)</f>
        <v>2</v>
      </c>
      <c r="P50" s="169">
        <f>SUMIFS([1]تیر!$AF$2:$AF$805,[1]تیر!$O$2:$O$805,"دمونتاژ",[1]تیر!$D$2:$D$805,$F$50,[1]تیر!$AC$2:$AC$805,P3)</f>
        <v>0</v>
      </c>
      <c r="Q50" s="169">
        <f>SUMIFS([1]تیر!$AF$2:$AF$805,[1]تیر!$O$2:$O$805,"دمونتاژ",[1]تیر!$D$2:$D$805,$F$50,[1]تیر!$AC$2:$AC$805,Q3)</f>
        <v>0</v>
      </c>
      <c r="R50" s="169">
        <f>SUMIFS([1]تیر!$AF$2:$AF$805,[1]تیر!$O$2:$O$805,"دمونتاژ",[1]تیر!$D$2:$D$805,$F$50,[1]تیر!$AC$2:$AC$805,R3)</f>
        <v>4</v>
      </c>
      <c r="S50" s="169">
        <f>SUMIFS([1]تیر!$AF$2:$AF$805,[1]تیر!$O$2:$O$805,"دمونتاژ",[1]تیر!$D$2:$D$805,$F$50,[1]تیر!$AC$2:$AC$805,S3)</f>
        <v>0</v>
      </c>
      <c r="T50" s="169">
        <f>SUMIFS([1]تیر!$AF$2:$AF$805,[1]تیر!$O$2:$O$805,"دمونتاژ",[1]تیر!$D$2:$D$805,$F$50,[1]تیر!$AC$2:$AC$805,T3)</f>
        <v>2</v>
      </c>
      <c r="U50" s="107">
        <f>SUMIFS([1]تیر!$AF$2:$AF$805,[1]تیر!$O$2:$O$805,"دمونتاژ",[1]تیر!$D$2:$D$805,$F$50,[1]تیر!$AC$2:$AC$805,U3)</f>
        <v>0</v>
      </c>
    </row>
    <row r="51" spans="1:21" ht="36" customHeight="1" x14ac:dyDescent="0.25">
      <c r="A51" s="967"/>
      <c r="B51" s="975"/>
      <c r="C51" s="965"/>
      <c r="D51" s="933"/>
      <c r="E51" s="933"/>
      <c r="F51" s="29"/>
      <c r="G51" s="3">
        <f t="shared" si="0"/>
        <v>0</v>
      </c>
      <c r="H51" s="47">
        <f t="shared" si="1"/>
        <v>0</v>
      </c>
      <c r="I51" s="3">
        <v>0</v>
      </c>
      <c r="J51" s="3">
        <v>0</v>
      </c>
      <c r="K51" s="3">
        <v>0</v>
      </c>
      <c r="L51" s="3">
        <v>0</v>
      </c>
      <c r="M51" s="3">
        <f>SUM(G51:L51)-62</f>
        <v>-62</v>
      </c>
      <c r="N51" s="62"/>
      <c r="O51" s="293">
        <f>SUMIFS([1]تیر!$AF$2:$AF$805,[1]تیر!$O$2:$O$805,"دمونتاژ",[1]تیر!$D$2:$D$805,$F$51,[1]تیر!$AC$2:$AC$805,O3)</f>
        <v>0</v>
      </c>
      <c r="P51" s="168">
        <f>SUMIFS([1]تیر!$AF$2:$AF$805,[1]تیر!$O$2:$O$805,"دمونتاژ",[1]تیر!$D$2:$D$805,$F$51,[1]تیر!$AC$2:$AC$805,P3)</f>
        <v>0</v>
      </c>
      <c r="Q51" s="168">
        <f>SUMIFS([1]تیر!$AF$2:$AF$805,[1]تیر!$O$2:$O$805,"دمونتاژ",[1]تیر!$D$2:$D$805,$F$51,[1]تیر!$AC$2:$AC$805,Q3)</f>
        <v>0</v>
      </c>
      <c r="R51" s="168">
        <f>SUMIFS([1]تیر!$AF$2:$AF$805,[1]تیر!$O$2:$O$805,"دمونتاژ",[1]تیر!$D$2:$D$805,$F$51,[1]تیر!$AC$2:$AC$805,R3)</f>
        <v>0</v>
      </c>
      <c r="S51" s="168">
        <f>SUMIFS([1]تیر!$AF$2:$AF$805,[1]تیر!$O$2:$O$805,"دمونتاژ",[1]تیر!$D$2:$D$805,$F$51,[1]تیر!$AC$2:$AC$805,S3)</f>
        <v>0</v>
      </c>
      <c r="T51" s="168">
        <f>SUMIFS([1]تیر!$AF$2:$AF$805,[1]تیر!$O$2:$O$805,"دمونتاژ",[1]تیر!$D$2:$D$805,$F$51,[1]تیر!$AC$2:$AC$805,T3)</f>
        <v>0</v>
      </c>
      <c r="U51" s="108">
        <f>SUMIFS([1]تیر!$AF$2:$AF$805,[1]تیر!$O$2:$O$805,"دمونتاژ",[1]تیر!$D$2:$D$805,$F$51,[1]تیر!$AC$2:$AC$805,U3)</f>
        <v>0</v>
      </c>
    </row>
    <row r="52" spans="1:21" ht="36" customHeight="1" x14ac:dyDescent="0.25">
      <c r="A52" s="967"/>
      <c r="B52" s="975"/>
      <c r="C52" s="965"/>
      <c r="D52" s="933"/>
      <c r="E52" s="933"/>
      <c r="F52" s="29" t="s">
        <v>54</v>
      </c>
      <c r="G52" s="3">
        <f t="shared" si="0"/>
        <v>15</v>
      </c>
      <c r="H52" s="47">
        <f t="shared" si="1"/>
        <v>2.5</v>
      </c>
      <c r="I52" s="3">
        <v>0</v>
      </c>
      <c r="J52" s="3">
        <v>0</v>
      </c>
      <c r="K52" s="3">
        <v>0</v>
      </c>
      <c r="L52" s="3">
        <v>0</v>
      </c>
      <c r="M52" s="3">
        <f>SUM(G52:L52)-62</f>
        <v>-44.5</v>
      </c>
      <c r="N52" s="62"/>
      <c r="O52" s="293">
        <f>SUMIFS([1]تیر!$AF$2:$AF$805,[1]تیر!$O$2:$O$805,"دمونتاژ",[1]تیر!$D$2:$D$805,$F$52,[1]تیر!$AC$2:$AC$805,O3)</f>
        <v>2</v>
      </c>
      <c r="P52" s="168">
        <f>SUMIFS([1]تیر!$AF$2:$AF$805,[1]تیر!$O$2:$O$805,"دمونتاژ",[1]تیر!$D$2:$D$805,$F$52,[1]تیر!$AC$2:$AC$805,P3)</f>
        <v>3</v>
      </c>
      <c r="Q52" s="168">
        <f>SUMIFS([1]تیر!$AF$2:$AF$805,[1]تیر!$O$2:$O$805,"دمونتاژ",[1]تیر!$D$2:$D$805,$F$52,[1]تیر!$AC$2:$AC$805,Q3)</f>
        <v>1</v>
      </c>
      <c r="R52" s="168">
        <f>SUMIFS([1]تیر!$AF$2:$AF$805,[1]تیر!$O$2:$O$805,"دمونتاژ",[1]تیر!$D$2:$D$805,$F$52,[1]تیر!$AC$2:$AC$805,R3)</f>
        <v>4</v>
      </c>
      <c r="S52" s="168">
        <f>SUMIFS([1]تیر!$AF$2:$AF$805,[1]تیر!$O$2:$O$805,"دمونتاژ",[1]تیر!$D$2:$D$805,$F$52,[1]تیر!$AC$2:$AC$805,S3)</f>
        <v>2</v>
      </c>
      <c r="T52" s="168">
        <f>SUMIFS([1]تیر!$AF$2:$AF$805,[1]تیر!$O$2:$O$805,"دمونتاژ",[1]تیر!$D$2:$D$805,$F$52,[1]تیر!$AC$2:$AC$805,T3)+1</f>
        <v>3</v>
      </c>
      <c r="U52" s="108">
        <f>SUMIFS([1]تیر!$AF$2:$AF$805,[1]تیر!$O$2:$O$805,"دمونتاژ",[1]تیر!$D$2:$D$805,$F$52,[1]تیر!$AC$2:$AC$805,U3)</f>
        <v>2.5</v>
      </c>
    </row>
    <row r="53" spans="1:21" ht="36" customHeight="1" thickBot="1" x14ac:dyDescent="0.3">
      <c r="A53" s="967"/>
      <c r="B53" s="976"/>
      <c r="C53" s="966"/>
      <c r="D53" s="934"/>
      <c r="E53" s="934"/>
      <c r="F53" s="509"/>
      <c r="G53" s="4">
        <f t="shared" si="0"/>
        <v>0</v>
      </c>
      <c r="H53" s="49">
        <f t="shared" si="1"/>
        <v>0</v>
      </c>
      <c r="I53" s="25">
        <v>0</v>
      </c>
      <c r="J53" s="25">
        <v>0</v>
      </c>
      <c r="K53" s="25">
        <v>0</v>
      </c>
      <c r="L53" s="25">
        <v>0</v>
      </c>
      <c r="M53" s="25">
        <f>SUM(G53:L53)-62</f>
        <v>-62</v>
      </c>
      <c r="N53" s="58"/>
      <c r="O53" s="294">
        <f>SUMIFS([1]تیر!$AF$2:$AF$805,[1]تیر!$O$2:$O$805,"دمونتاژ",[1]تیر!$D$2:$D$805,$F$53,[1]تیر!$AC$2:$AC$805,O3)</f>
        <v>0</v>
      </c>
      <c r="P53" s="172">
        <f>SUMIFS([1]تیر!$AF$2:$AF$805,[1]تیر!$O$2:$O$805,"دمونتاژ",[1]تیر!$D$2:$D$805,$F$53,[1]تیر!$AC$2:$AC$805,P3)</f>
        <v>0</v>
      </c>
      <c r="Q53" s="172">
        <f>SUMIFS([1]تیر!$AF$2:$AF$805,[1]تیر!$O$2:$O$805,"دمونتاژ",[1]تیر!$D$2:$D$805,$F$53,[1]تیر!$AC$2:$AC$805,Q3)</f>
        <v>0</v>
      </c>
      <c r="R53" s="172">
        <f>SUMIFS([1]تیر!$AF$2:$AF$805,[1]تیر!$O$2:$O$805,"دمونتاژ",[1]تیر!$D$2:$D$805,$F$53,[1]تیر!$AC$2:$AC$805,R3)</f>
        <v>0</v>
      </c>
      <c r="S53" s="172">
        <f>SUMIFS([1]تیر!$AF$2:$AF$805,[1]تیر!$O$2:$O$805,"دمونتاژ",[1]تیر!$D$2:$D$805,$F$53,[1]تیر!$AC$2:$AC$805,S3)</f>
        <v>0</v>
      </c>
      <c r="T53" s="172">
        <f>SUMIFS([1]تیر!$AF$2:$AF$805,[1]تیر!$O$2:$O$805,"دمونتاژ",[1]تیر!$D$2:$D$805,$F$53,[1]تیر!$AC$2:$AC$805,T3)</f>
        <v>0</v>
      </c>
      <c r="U53" s="109">
        <f>SUMIFS([1]تیر!$AF$2:$AF$805,[1]تیر!$O$2:$O$805,"دمونتاژ",[1]تیر!$D$2:$D$805,$F$53,[1]تیر!$AC$2:$AC$805,U3)</f>
        <v>0</v>
      </c>
    </row>
    <row r="54" spans="1:21" ht="48.75" customHeight="1" thickBot="1" x14ac:dyDescent="0.3">
      <c r="A54" s="951" t="s">
        <v>49</v>
      </c>
      <c r="B54" s="952"/>
      <c r="C54" s="952"/>
      <c r="D54" s="952"/>
      <c r="E54" s="952"/>
      <c r="F54" s="953"/>
      <c r="G54" s="148">
        <f t="shared" ref="G54:L54" si="2">SUM(G4:G53)</f>
        <v>807.83333333333337</v>
      </c>
      <c r="H54" s="148">
        <f t="shared" si="2"/>
        <v>16</v>
      </c>
      <c r="I54" s="148">
        <f t="shared" si="2"/>
        <v>18</v>
      </c>
      <c r="J54" s="148">
        <f t="shared" si="2"/>
        <v>134</v>
      </c>
      <c r="K54" s="148">
        <f t="shared" si="2"/>
        <v>0</v>
      </c>
      <c r="L54" s="148">
        <f t="shared" si="2"/>
        <v>0</v>
      </c>
      <c r="M54" s="149">
        <f>SUMIFS(M4:M53,F4:F53,"*")</f>
        <v>-525.83333333333337</v>
      </c>
      <c r="N54" s="306"/>
      <c r="O54" s="302">
        <f>SUM(O4:O53)</f>
        <v>146.5</v>
      </c>
      <c r="P54" s="198">
        <f t="shared" ref="P54:U54" si="3">SUM(P4:P53)</f>
        <v>125.33333333333333</v>
      </c>
      <c r="Q54" s="198">
        <f t="shared" si="3"/>
        <v>145</v>
      </c>
      <c r="R54" s="198">
        <f t="shared" si="3"/>
        <v>163</v>
      </c>
      <c r="S54" s="198">
        <f t="shared" si="3"/>
        <v>142</v>
      </c>
      <c r="T54" s="198">
        <f t="shared" si="3"/>
        <v>85</v>
      </c>
      <c r="U54" s="150">
        <f t="shared" si="3"/>
        <v>16</v>
      </c>
    </row>
    <row r="55" spans="1:21" x14ac:dyDescent="0.25">
      <c r="G55" s="582"/>
    </row>
  </sheetData>
  <mergeCells count="45">
    <mergeCell ref="A54:F54"/>
    <mergeCell ref="N39:N40"/>
    <mergeCell ref="E41:E43"/>
    <mergeCell ref="N41:N43"/>
    <mergeCell ref="A46:A49"/>
    <mergeCell ref="B46:B53"/>
    <mergeCell ref="C46:C49"/>
    <mergeCell ref="D46:D49"/>
    <mergeCell ref="E46:E49"/>
    <mergeCell ref="A39:A40"/>
    <mergeCell ref="E39:E40"/>
    <mergeCell ref="A50:A53"/>
    <mergeCell ref="C50:C53"/>
    <mergeCell ref="D50:D53"/>
    <mergeCell ref="E50:E53"/>
    <mergeCell ref="N35:N36"/>
    <mergeCell ref="A37:A38"/>
    <mergeCell ref="E37:E38"/>
    <mergeCell ref="N37:N38"/>
    <mergeCell ref="A31:A32"/>
    <mergeCell ref="E31:E32"/>
    <mergeCell ref="N31:N32"/>
    <mergeCell ref="A33:A34"/>
    <mergeCell ref="E33:E34"/>
    <mergeCell ref="N33:N34"/>
    <mergeCell ref="A35:A36"/>
    <mergeCell ref="E35:E36"/>
    <mergeCell ref="N22:N24"/>
    <mergeCell ref="E25:E27"/>
    <mergeCell ref="N25:N27"/>
    <mergeCell ref="E28:E30"/>
    <mergeCell ref="N28:N30"/>
    <mergeCell ref="E22:E24"/>
    <mergeCell ref="N18:N20"/>
    <mergeCell ref="A12:A14"/>
    <mergeCell ref="A1:L2"/>
    <mergeCell ref="O1:U2"/>
    <mergeCell ref="E4:E6"/>
    <mergeCell ref="N4:N6"/>
    <mergeCell ref="E7:E9"/>
    <mergeCell ref="B12:B14"/>
    <mergeCell ref="C12:C14"/>
    <mergeCell ref="D12:D14"/>
    <mergeCell ref="E12:E14"/>
    <mergeCell ref="E18:E20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 M8" formulaRange="1"/>
    <ignoredError sqref="U28 U31 G47 T52" formula="1"/>
  </ignoredErrors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0197-FD8B-4EFA-B760-D40413BF865B}">
  <sheetPr>
    <pageSetUpPr fitToPage="1"/>
  </sheetPr>
  <dimension ref="A1:U55"/>
  <sheetViews>
    <sheetView rightToLeft="1" view="pageLayout" zoomScaleNormal="100" workbookViewId="0">
      <selection activeCell="G7" sqref="G7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20" width="6.42578125" style="52" hidden="1" customWidth="1"/>
    <col min="21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16</v>
      </c>
      <c r="O2" s="926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291" t="s">
        <v>160</v>
      </c>
      <c r="P3" s="291" t="s">
        <v>161</v>
      </c>
      <c r="Q3" s="291" t="s">
        <v>162</v>
      </c>
      <c r="R3" s="291" t="s">
        <v>163</v>
      </c>
      <c r="S3" s="291" t="s">
        <v>164</v>
      </c>
      <c r="T3" s="291" t="s">
        <v>165</v>
      </c>
      <c r="U3" s="291" t="s">
        <v>166</v>
      </c>
    </row>
    <row r="4" spans="1:21" ht="33.75" customHeight="1" x14ac:dyDescent="0.25">
      <c r="A4" s="552"/>
      <c r="B4" s="561"/>
      <c r="C4" s="42"/>
      <c r="D4" s="570"/>
      <c r="E4" s="932" t="s">
        <v>15</v>
      </c>
      <c r="F4" s="548" t="s">
        <v>55</v>
      </c>
      <c r="G4" s="573">
        <f>SUM(O4:T4)</f>
        <v>3</v>
      </c>
      <c r="H4" s="46">
        <f>U4</f>
        <v>1</v>
      </c>
      <c r="I4" s="573">
        <v>0</v>
      </c>
      <c r="J4" s="573">
        <v>0</v>
      </c>
      <c r="K4" s="573">
        <v>0</v>
      </c>
      <c r="L4" s="573">
        <v>0</v>
      </c>
      <c r="M4" s="28"/>
      <c r="N4" s="945" t="s">
        <v>13</v>
      </c>
      <c r="O4" s="292">
        <f>SUMIFS([1]تیر!$AF$2:$AF$805,[1]تیر!$O$2:$O$805,7101,[1]تیر!$D$2:$D$805,$F$4,[1]تیر!$AC$2:$AC$805,O3)</f>
        <v>2</v>
      </c>
      <c r="P4" s="169">
        <f>SUMIFS([1]تیر!$AF$2:$AF$805,[1]تیر!$O$2:$O$805,7101,[1]تیر!$D$2:$D$805,$F$4,[1]تیر!$AC$2:$AC$805,P3)</f>
        <v>1</v>
      </c>
      <c r="Q4" s="169">
        <f>SUMIFS([1]تیر!$AF$2:$AF$805,[1]تیر!$O$2:$O$805,7101,[1]تیر!$D$2:$D$805,$F$4,[1]تیر!$AC$2:$AC$805,Q3)</f>
        <v>0</v>
      </c>
      <c r="R4" s="169">
        <f>SUMIFS([1]تیر!$AF$2:$AF$805,[1]تیر!$O$2:$O$805,7101,[1]تیر!$D$2:$D$805,$F$4,[1]تیر!$AC$2:$AC$805,R3)</f>
        <v>0</v>
      </c>
      <c r="S4" s="169">
        <f>SUMIFS([1]تیر!$AF$2:$AF$805,[1]تیر!$O$2:$O$805,7101,[1]تیر!$D$2:$D$805,$F$4,[1]تیر!$AC$2:$AC$805,S3)</f>
        <v>0</v>
      </c>
      <c r="T4" s="169">
        <f>SUMIFS([1]تیر!$AF$2:$AF$805,[1]تیر!$O$2:$O$805,7101,[1]تیر!$D$2:$D$805,$F$4,[1]تیر!$AC$2:$AC$805,T3)</f>
        <v>0</v>
      </c>
      <c r="U4" s="107">
        <f>SUMIFS([1]تیر!$AF$2:$AF$805,[1]تیر!$O$2:$O$805,7101,[1]تیر!$D$2:$D$805,$F$4,[1]تیر!$AC$2:$AC$805,U3)</f>
        <v>1</v>
      </c>
    </row>
    <row r="5" spans="1:21" ht="33.75" customHeight="1" x14ac:dyDescent="0.25">
      <c r="A5" s="553">
        <v>1</v>
      </c>
      <c r="B5" s="559" t="s">
        <v>14</v>
      </c>
      <c r="C5" s="545">
        <v>7101</v>
      </c>
      <c r="D5" s="571">
        <v>62.5</v>
      </c>
      <c r="E5" s="1003"/>
      <c r="F5" s="557"/>
      <c r="G5" s="3">
        <f t="shared" ref="G5:G53" si="0">SUM(O5:T5)</f>
        <v>0</v>
      </c>
      <c r="H5" s="47">
        <f t="shared" ref="H5:H53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-58.5</v>
      </c>
      <c r="N5" s="929"/>
      <c r="O5" s="293">
        <f>SUMIFS([1]خرداد!$AF$2:$AF$805,[1]خرداد!$O$2:$O$805,7101,[1]خرداد!$D$2:$D$805,$F$5,[1]خرداد!$AC$2:$AC$805,O3)</f>
        <v>0</v>
      </c>
      <c r="P5" s="168">
        <f>SUMIFS([1]خرداد!$AF$2:$AF$805,[1]خرداد!$O$2:$O$805,7101,[1]خرداد!$D$2:$D$805,$F$5,[1]خرداد!$AC$2:$AC$805,P3)</f>
        <v>0</v>
      </c>
      <c r="Q5" s="168">
        <f>SUMIFS([1]خرداد!$AF$2:$AF$805,[1]خرداد!$O$2:$O$805,7101,[1]خرداد!$D$2:$D$805,$F$5,[1]خرداد!$AC$2:$AC$805,Q3)</f>
        <v>0</v>
      </c>
      <c r="R5" s="168">
        <f>SUMIFS([1]خرداد!$AF$2:$AF$805,[1]خرداد!$O$2:$O$805,7101,[1]خرداد!$D$2:$D$805,$F$5,[1]خرداد!$AC$2:$AC$805,R3)</f>
        <v>0</v>
      </c>
      <c r="S5" s="168">
        <f>SUMIFS([1]خرداد!$AF$2:$AF$805,[1]خرداد!$O$2:$O$805,7101,[1]خرداد!$D$2:$D$805,$F$5,[1]خرداد!$AC$2:$AC$805,S3)</f>
        <v>0</v>
      </c>
      <c r="T5" s="168">
        <f>SUMIFS([1]خرداد!$AF$2:$AF$805,[1]خرداد!$O$2:$O$805,7101,[1]خرداد!$D$2:$D$805,$F$5,[1]خرداد!$AC$2:$AC$805,T3)</f>
        <v>0</v>
      </c>
      <c r="U5" s="108">
        <f>SUMIFS([1]خرداد!$AF$2:$AF$805,[1]خرداد!$O$2:$O$805,7101,[1]خرداد!$D$2:$D$805,$F$5,[1]خرداد!$AC$2:$AC$805,U3)</f>
        <v>0</v>
      </c>
    </row>
    <row r="6" spans="1:21" ht="33.75" customHeight="1" thickBot="1" x14ac:dyDescent="0.3">
      <c r="A6" s="554"/>
      <c r="B6" s="88"/>
      <c r="C6" s="43"/>
      <c r="D6" s="546"/>
      <c r="E6" s="934"/>
      <c r="F6" s="5"/>
      <c r="G6" s="6">
        <f t="shared" si="0"/>
        <v>0</v>
      </c>
      <c r="H6" s="64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352">
        <f>SUMIFS([1]اردیبهشت!$AD$2:$AD$600,[1]اردیبهشت!$N$2:$N$600,7101,[1]اردیبهشت!$D$2:$D$600,$F$6,[1]اردیبهشت!$AA$2:$AA$600,O3)</f>
        <v>0</v>
      </c>
      <c r="P6" s="175">
        <f>SUMIFS([1]اردیبهشت!$AD$2:$AD$600,[1]اردیبهشت!$N$2:$N$600,7101,[1]اردیبهشت!$D$2:$D$600,$F$6,[1]اردیبهشت!$AA$2:$AA$600,P3)</f>
        <v>0</v>
      </c>
      <c r="Q6" s="175">
        <f>SUMIFS([1]اردیبهشت!$AD$2:$AD$600,[1]اردیبهشت!$N$2:$N$600,7101,[1]اردیبهشت!$D$2:$D$600,$F$6,[1]اردیبهشت!$AA$2:$AA$600,Q3)</f>
        <v>0</v>
      </c>
      <c r="R6" s="175">
        <f>SUMIFS([1]اردیبهشت!$AD$2:$AD$600,[1]اردیبهشت!$N$2:$N$600,7101,[1]اردیبهشت!$D$2:$D$600,$F$6,[1]اردیبهشت!$AA$2:$AA$600,R3)</f>
        <v>0</v>
      </c>
      <c r="S6" s="175">
        <f>SUMIFS([1]اردیبهشت!$AD$2:$AD$600,[1]اردیبهشت!$N$2:$N$600,7101,[1]اردیبهشت!$D$2:$D$600,$F$6,[1]اردیبهشت!$AA$2:$AA$600,S3)</f>
        <v>0</v>
      </c>
      <c r="T6" s="175">
        <f>SUMIFS([1]اردیبهشت!$AD$2:$AD$600,[1]اردیبهشت!$N$2:$N$600,7101,[1]اردیبهشت!$D$2:$D$600,$F$6,[1]اردیبهشت!$AA$2:$AA$600,T3)</f>
        <v>0</v>
      </c>
      <c r="U6" s="114">
        <f>SUMIFS([1]اردیبهشت!$AD$2:$AD$600,[1]اردیبهشت!$N$2:$N$600,7101,[1]اردیبهشت!$D$2:$D$600,$F$6,[1]اردیبهشت!$AA$2:$AA$600,U3)</f>
        <v>0</v>
      </c>
    </row>
    <row r="7" spans="1:21" ht="33.75" customHeight="1" x14ac:dyDescent="0.25">
      <c r="A7" s="568"/>
      <c r="B7" s="585"/>
      <c r="C7" s="585"/>
      <c r="D7" s="545"/>
      <c r="E7" s="932" t="s">
        <v>15</v>
      </c>
      <c r="F7" s="20" t="s">
        <v>20</v>
      </c>
      <c r="G7" s="1">
        <f t="shared" si="0"/>
        <v>51.5</v>
      </c>
      <c r="H7" s="49">
        <f t="shared" si="1"/>
        <v>0</v>
      </c>
      <c r="I7" s="1">
        <v>0</v>
      </c>
      <c r="J7" s="1">
        <v>0</v>
      </c>
      <c r="K7" s="1">
        <v>0</v>
      </c>
      <c r="L7" s="1">
        <v>0</v>
      </c>
      <c r="M7" s="69"/>
      <c r="N7" s="541"/>
      <c r="O7" s="292">
        <f>SUMIFS([1]تیر!$AF$2:$AF$805,[1]تیر!$O$2:$O$805,7102,[1]تیر!$D$2:$D$805,$F$7,[1]تیر!$AC$2:$AC$805,O3)</f>
        <v>11</v>
      </c>
      <c r="P7" s="169">
        <f>SUMIFS([1]تیر!$AF$2:$AF$805,[1]تیر!$O$2:$O$805,7102,[1]تیر!$D$2:$D$805,$F$7,[1]تیر!$AC$2:$AC$805,P3)</f>
        <v>11</v>
      </c>
      <c r="Q7" s="169">
        <f>SUMIFS([1]تیر!$AF$2:$AF$805,[1]تیر!$O$2:$O$805,7102,[1]تیر!$D$2:$D$805,$F$7,[1]تیر!$AC$2:$AC$805,Q3)</f>
        <v>0</v>
      </c>
      <c r="R7" s="169">
        <f>SUMIFS([1]تیر!$AF$2:$AF$805,[1]تیر!$O$2:$O$805,7102,[1]تیر!$D$2:$D$805,$F$7,[1]تیر!$AC$2:$AC$805,R3)</f>
        <v>11</v>
      </c>
      <c r="S7" s="169">
        <f>SUMIFS([1]تیر!$AF$2:$AF$805,[1]تیر!$O$2:$O$805,7102,[1]تیر!$D$2:$D$805,$F$7,[1]تیر!$AC$2:$AC$805,S3)</f>
        <v>11</v>
      </c>
      <c r="T7" s="169">
        <f>SUMIFS([1]تیر!$AF$2:$AF$805,[1]تیر!$O$2:$O$805,7102,[1]تیر!$D$2:$D$805,$F$7,[1]تیر!$AC$2:$AC$805,T3)</f>
        <v>7.5</v>
      </c>
      <c r="U7" s="107">
        <f>SUMIFS([1]تیر!$AF$2:$AF$805,[1]تیر!$O$2:$O$805,7102,[1]تیر!$D$2:$D$805,$F$7,[1]تیر!$AC$2:$AC$805,U3)</f>
        <v>0</v>
      </c>
    </row>
    <row r="8" spans="1:21" ht="33.75" customHeight="1" x14ac:dyDescent="0.25">
      <c r="A8" s="568">
        <v>2</v>
      </c>
      <c r="B8" s="587" t="s">
        <v>14</v>
      </c>
      <c r="C8" s="545">
        <v>7102</v>
      </c>
      <c r="D8" s="586">
        <v>62.5</v>
      </c>
      <c r="E8" s="1003"/>
      <c r="F8" s="560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-11</v>
      </c>
      <c r="N8" s="542"/>
      <c r="O8" s="293">
        <f>SUMIFS([1]اردیبهشت!$AD$2:$AD$600,[1]اردیبهشت!$N$2:$N$600,7102,[1]اردیبهشت!$D$2:$D$600,$F$8,[1]اردیبهشت!$AA$2:$AA$600,O3)</f>
        <v>0</v>
      </c>
      <c r="P8" s="168">
        <f>SUMIFS([1]اردیبهشت!$AD$2:$AD$600,[1]اردیبهشت!$N$2:$N$600,7102,[1]اردیبهشت!$D$2:$D$600,$F$8,[1]اردیبهشت!$AA$2:$AA$600,P3)</f>
        <v>0</v>
      </c>
      <c r="Q8" s="168">
        <f>SUMIFS([1]اردیبهشت!$AD$2:$AD$600,[1]اردیبهشت!$N$2:$N$600,7102,[1]اردیبهشت!$D$2:$D$600,$F$8,[1]اردیبهشت!$AA$2:$AA$600,Q3)</f>
        <v>0</v>
      </c>
      <c r="R8" s="168">
        <f>SUMIFS([1]اردیبهشت!$AD$2:$AD$600,[1]اردیبهشت!$N$2:$N$600,7102,[1]اردیبهشت!$D$2:$D$600,$F$8,[1]اردیبهشت!$AA$2:$AA$600,R3)</f>
        <v>0</v>
      </c>
      <c r="S8" s="168">
        <f>SUMIFS([1]اردیبهشت!$AD$2:$AD$600,[1]اردیبهشت!$N$2:$N$600,7102,[1]اردیبهشت!$D$2:$D$600,$F$8,[1]اردیبهشت!$AA$2:$AA$600,S3)</f>
        <v>0</v>
      </c>
      <c r="T8" s="168">
        <f>SUMIFS([1]اردیبهشت!$AD$2:$AD$600,[1]اردیبهشت!$N$2:$N$600,7102,[1]اردیبهشت!$D$2:$D$600,$F$8,[1]اردیبهشت!$AA$2:$AA$600,T3)</f>
        <v>0</v>
      </c>
      <c r="U8" s="108">
        <f>SUMIFS([1]اردیبهشت!$AD$2:$AD$600,[1]اردیبهشت!$N$2:$N$600,7102,[1]اردیبهشت!$D$2:$D$600,$F$8,[1]اردیبهشت!$AA$2:$AA$600,U3)</f>
        <v>0</v>
      </c>
    </row>
    <row r="9" spans="1:21" ht="33.75" customHeight="1" thickBot="1" x14ac:dyDescent="0.3">
      <c r="A9" s="569"/>
      <c r="B9" s="43"/>
      <c r="C9" s="43"/>
      <c r="D9" s="546"/>
      <c r="E9" s="934"/>
      <c r="F9" s="5"/>
      <c r="G9" s="1">
        <f t="shared" si="0"/>
        <v>0</v>
      </c>
      <c r="H9" s="49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543"/>
      <c r="O9" s="352">
        <f>SUMIFS([1]اردیبهشت!$AD$2:$AD$600,[1]اردیبهشت!$N$2:$N$600,7102,[1]اردیبهشت!$D$2:$D$600,$F$9,[1]اردیبهشت!$AA$2:$AA$600,O3)</f>
        <v>0</v>
      </c>
      <c r="P9" s="175">
        <f>SUMIFS([1]اردیبهشت!$AD$2:$AD$600,[1]اردیبهشت!$N$2:$N$600,7102,[1]اردیبهشت!$D$2:$D$600,$F$9,[1]اردیبهشت!$AA$2:$AA$600,P3)</f>
        <v>0</v>
      </c>
      <c r="Q9" s="175">
        <f>SUMIFS([1]اردیبهشت!$AD$2:$AD$600,[1]اردیبهشت!$N$2:$N$600,7102,[1]اردیبهشت!$D$2:$D$600,$F$9,[1]اردیبهشت!$AA$2:$AA$600,Q3)</f>
        <v>0</v>
      </c>
      <c r="R9" s="175">
        <f>SUMIFS([1]اردیبهشت!$AD$2:$AD$600,[1]اردیبهشت!$N$2:$N$600,7102,[1]اردیبهشت!$D$2:$D$600,$F$9,[1]اردیبهشت!$AA$2:$AA$600,R3)</f>
        <v>0</v>
      </c>
      <c r="S9" s="175">
        <f>SUMIFS([1]اردیبهشت!$AD$2:$AD$600,[1]اردیبهشت!$N$2:$N$600,7102,[1]اردیبهشت!$D$2:$D$600,$F$9,[1]اردیبهشت!$AA$2:$AA$600,S3)</f>
        <v>0</v>
      </c>
      <c r="T9" s="175">
        <f>SUMIFS([1]اردیبهشت!$AD$2:$AD$600,[1]اردیبهشت!$N$2:$N$600,7102,[1]اردیبهشت!$D$2:$D$600,$F$9,[1]اردیبهشت!$AA$2:$AA$600,T3)</f>
        <v>0</v>
      </c>
      <c r="U9" s="114">
        <f>SUMIFS([1]اردیبهشت!$AD$2:$AD$600,[1]اردیبهشت!$N$2:$N$600,7102,[1]اردیبهشت!$D$2:$D$600,$F$9,[1]اردیبهشت!$AA$2:$AA$600,U3)</f>
        <v>0</v>
      </c>
    </row>
    <row r="10" spans="1:21" ht="36" customHeight="1" thickBot="1" x14ac:dyDescent="0.3">
      <c r="A10" s="569">
        <v>3</v>
      </c>
      <c r="B10" s="585" t="s">
        <v>14</v>
      </c>
      <c r="C10" s="545">
        <v>7103</v>
      </c>
      <c r="D10" s="2">
        <v>44</v>
      </c>
      <c r="E10" s="545" t="s">
        <v>15</v>
      </c>
      <c r="F10" s="545" t="s">
        <v>12</v>
      </c>
      <c r="G10" s="573">
        <f t="shared" si="0"/>
        <v>40.5</v>
      </c>
      <c r="H10" s="46">
        <f t="shared" si="1"/>
        <v>0</v>
      </c>
      <c r="I10" s="4">
        <v>0</v>
      </c>
      <c r="J10" s="4">
        <v>0</v>
      </c>
      <c r="K10" s="4">
        <v>0</v>
      </c>
      <c r="L10" s="4">
        <v>0</v>
      </c>
      <c r="M10" s="4">
        <f>SUM(G10:L10)-64</f>
        <v>-23.5</v>
      </c>
      <c r="N10" s="542" t="s">
        <v>40</v>
      </c>
      <c r="O10" s="295">
        <f>SUMIFS([1]تیر!$AF$2:$AF$805,[1]تیر!$O$2:$O$805,7103,[1]تیر!$D$2:$D$805,$F$10,[1]تیر!$AC$2:$AC$805,O3)</f>
        <v>11</v>
      </c>
      <c r="P10" s="177">
        <f>SUMIFS([1]تیر!$AF$2:$AF$805,[1]تیر!$O$2:$O$805,7103,[1]تیر!$D$2:$D$805,$F$10,[1]تیر!$AC$2:$AC$805,P3)</f>
        <v>11</v>
      </c>
      <c r="Q10" s="177">
        <f>SUMIFS([1]تیر!$AF$2:$AF$805,[1]تیر!$O$2:$O$805,7103,[1]تیر!$D$2:$D$805,$F$10,[1]تیر!$AC$2:$AC$805,Q3)</f>
        <v>5.5</v>
      </c>
      <c r="R10" s="177">
        <f>SUMIFS([1]تیر!$AF$2:$AF$805,[1]تیر!$O$2:$O$805,7103,[1]تیر!$D$2:$D$805,$F$10,[1]تیر!$AC$2:$AC$805,R3)</f>
        <v>6.5</v>
      </c>
      <c r="S10" s="177">
        <f>SUMIFS([1]تیر!$AF$2:$AF$805,[1]تیر!$O$2:$O$805,7103,[1]تیر!$D$2:$D$805,$F$10,[1]تیر!$AC$2:$AC$805,S3)</f>
        <v>6.5</v>
      </c>
      <c r="T10" s="177">
        <f>SUMIFS([1]تیر!$AF$2:$AF$805,[1]تیر!$O$2:$O$805,7103,[1]تیر!$D$2:$D$805,$F$10,[1]تیر!$AC$2:$AC$805,T3)</f>
        <v>0</v>
      </c>
      <c r="U10" s="113">
        <f>SUMIFS([1]تیر!$AF$2:$AF$805,[1]تیر!$O$2:$O$805,7103,[1]تیر!$D$2:$D$805,$F$10,[1]تیر!$AC$2:$AC$805,U3)</f>
        <v>0</v>
      </c>
    </row>
    <row r="11" spans="1:21" ht="36" customHeight="1" thickBot="1" x14ac:dyDescent="0.3">
      <c r="A11" s="568">
        <v>4</v>
      </c>
      <c r="B11" s="564" t="s">
        <v>18</v>
      </c>
      <c r="C11" s="565">
        <v>7201</v>
      </c>
      <c r="D11" s="565">
        <v>62.5</v>
      </c>
      <c r="E11" s="565" t="s">
        <v>19</v>
      </c>
      <c r="F11" s="140"/>
      <c r="G11" s="21">
        <f t="shared" si="0"/>
        <v>0</v>
      </c>
      <c r="H11" s="63">
        <f t="shared" si="1"/>
        <v>0</v>
      </c>
      <c r="I11" s="141">
        <v>0</v>
      </c>
      <c r="J11" s="141">
        <v>62</v>
      </c>
      <c r="K11" s="141">
        <v>0</v>
      </c>
      <c r="L11" s="141">
        <v>0</v>
      </c>
      <c r="M11" s="141">
        <f>SUM(G11:J11)-62</f>
        <v>0</v>
      </c>
      <c r="N11" s="142" t="s">
        <v>41</v>
      </c>
      <c r="O11" s="296"/>
      <c r="P11" s="201"/>
      <c r="Q11" s="201"/>
      <c r="R11" s="201"/>
      <c r="S11" s="201"/>
      <c r="T11" s="201"/>
      <c r="U11" s="111"/>
    </row>
    <row r="12" spans="1:21" ht="36" customHeight="1" x14ac:dyDescent="0.25">
      <c r="A12" s="985">
        <v>5</v>
      </c>
      <c r="B12" s="974" t="s">
        <v>18</v>
      </c>
      <c r="C12" s="932">
        <v>7202</v>
      </c>
      <c r="D12" s="932">
        <v>62.5</v>
      </c>
      <c r="E12" s="932" t="s">
        <v>15</v>
      </c>
      <c r="F12" s="574" t="s">
        <v>46</v>
      </c>
      <c r="G12" s="21">
        <f t="shared" si="0"/>
        <v>16</v>
      </c>
      <c r="H12" s="63">
        <v>0</v>
      </c>
      <c r="I12" s="21">
        <v>0</v>
      </c>
      <c r="J12" s="21">
        <v>0</v>
      </c>
      <c r="K12" s="21">
        <v>0</v>
      </c>
      <c r="L12" s="21">
        <v>0</v>
      </c>
      <c r="M12" s="21"/>
      <c r="N12" s="540"/>
      <c r="O12" s="298">
        <f>SUMIFS([1]تیر!$AF$2:$AF$805,[1]تیر!$O$2:$O$805,7202,[1]تیر!$D$2:$D$805,$F$12,[1]تیر!$AC$2:$AC$805,O3)</f>
        <v>5</v>
      </c>
      <c r="P12" s="188">
        <f>SUMIFS([1]تیر!$AF$2:$AF$805,[1]تیر!$O$2:$O$805,7202,[1]تیر!$D$2:$D$805,$F$12,[1]تیر!$AC$2:$AC$805,P3)</f>
        <v>11</v>
      </c>
      <c r="Q12" s="188">
        <f>SUMIFS([1]تیر!$AF$2:$AF$805,[1]تیر!$O$2:$O$805,7202,[1]تیر!$D$2:$D$805,$F$12,[1]تیر!$AC$2:$AC$805,Q3)</f>
        <v>0</v>
      </c>
      <c r="R12" s="188">
        <f>SUMIFS([1]تیر!$AF$2:$AF$805,[1]تیر!$O$2:$O$805,7202,[1]تیر!$D$2:$D$805,$F$12,[1]تیر!$AC$2:$AC$805,R3)</f>
        <v>0</v>
      </c>
      <c r="S12" s="188">
        <f>SUMIFS([1]تیر!$AF$2:$AF$805,[1]تیر!$O$2:$O$805,7202,[1]تیر!$D$2:$D$805,$F$12,[1]تیر!$AC$2:$AC$805,S3)</f>
        <v>0</v>
      </c>
      <c r="T12" s="188">
        <f>SUMIFS([1]تیر!$AF$2:$AF$805,[1]تیر!$O$2:$O$805,7202,[1]تیر!$D$2:$D$805,$F$12,[1]تیر!$AC$2:$AC$805,T3)</f>
        <v>0</v>
      </c>
      <c r="U12" s="128">
        <f>SUMIFS([1]تیر!$AF$2:$AF$805,[1]تیر!$O$2:$O$805,7202,[1]تیر!$D$2:$D$805,$F$12,[1]تیر!$AC$2:$AC$805,U3)</f>
        <v>0</v>
      </c>
    </row>
    <row r="13" spans="1:21" ht="36" customHeight="1" x14ac:dyDescent="0.25">
      <c r="A13" s="986"/>
      <c r="B13" s="975"/>
      <c r="C13" s="933"/>
      <c r="D13" s="933"/>
      <c r="E13" s="933"/>
      <c r="F13" s="22" t="s">
        <v>45</v>
      </c>
      <c r="G13" s="3">
        <f t="shared" si="0"/>
        <v>5.5</v>
      </c>
      <c r="H13" s="47">
        <v>0</v>
      </c>
      <c r="I13" s="3">
        <v>0</v>
      </c>
      <c r="J13" s="3">
        <v>0</v>
      </c>
      <c r="K13" s="3">
        <v>0</v>
      </c>
      <c r="L13" s="3">
        <v>0</v>
      </c>
      <c r="M13" s="3">
        <f>(G12+G13+G14)-D12</f>
        <v>-0.5</v>
      </c>
      <c r="N13" s="579"/>
      <c r="O13" s="583">
        <f>SUMIFS([1]تیر!$AF$2:$AF$805,[1]تیر!$O$2:$O$805,7202,[1]تیر!$D$2:$D$805,$F$13,[1]تیر!$AC$2:$AC$805,O3)</f>
        <v>5.5</v>
      </c>
      <c r="P13" s="575">
        <f>SUMIFS([1]تیر!$AF$2:$AF$805,[1]تیر!$O$2:$O$805,7202,[1]تیر!$D$2:$D$805,$F$13,[1]تیر!$AC$2:$AC$805,P3)</f>
        <v>0</v>
      </c>
      <c r="Q13" s="575">
        <f>SUMIFS([1]تیر!$AF$2:$AF$805,[1]تیر!$O$2:$O$805,7202,[1]تیر!$D$2:$D$805,$F$13,[1]تیر!$AC$2:$AC$805,Q3)</f>
        <v>0</v>
      </c>
      <c r="R13" s="575">
        <f>SUMIFS([1]تیر!$AF$2:$AF$805,[1]تیر!$O$2:$O$805,7202,[1]تیر!$D$2:$D$805,$F$13,[1]تیر!$AC$2:$AC$805,R3)</f>
        <v>0</v>
      </c>
      <c r="S13" s="575">
        <f>SUMIFS([1]تیر!$AF$2:$AF$805,[1]تیر!$O$2:$O$805,7202,[1]تیر!$D$2:$D$805,$F$13,[1]تیر!$AC$2:$AC$805,S3)</f>
        <v>0</v>
      </c>
      <c r="T13" s="575">
        <f>SUMIFS([1]تیر!$AF$2:$AF$805,[1]تیر!$O$2:$O$805,7202,[1]تیر!$D$2:$D$805,$F$13,[1]تیر!$AC$2:$AC$805,T3)</f>
        <v>0</v>
      </c>
      <c r="U13" s="581">
        <f>SUMIFS([1]تیر!$AF$2:$AF$805,[1]تیر!$O$2:$O$805,7202,[1]تیر!$D$2:$D$805,$F$13,[1]تیر!$AC$2:$AC$805,U3)</f>
        <v>0</v>
      </c>
    </row>
    <row r="14" spans="1:21" ht="36" customHeight="1" thickBot="1" x14ac:dyDescent="0.3">
      <c r="A14" s="987"/>
      <c r="B14" s="975"/>
      <c r="C14" s="933"/>
      <c r="D14" s="933"/>
      <c r="E14" s="933"/>
      <c r="F14" s="66" t="s">
        <v>159</v>
      </c>
      <c r="G14" s="6">
        <f t="shared" si="0"/>
        <v>40.5</v>
      </c>
      <c r="H14" s="64">
        <v>0</v>
      </c>
      <c r="I14" s="6">
        <v>0</v>
      </c>
      <c r="J14" s="6">
        <v>0</v>
      </c>
      <c r="K14" s="6">
        <v>0</v>
      </c>
      <c r="L14" s="6">
        <v>0</v>
      </c>
      <c r="M14" s="6"/>
      <c r="N14" s="312"/>
      <c r="O14" s="584">
        <f>SUMIFS([1]تیر!$AF$2:$AF$805,[1]تیر!$O$2:$O$805,7202,[1]تیر!$D$2:$D$805,$F$14,[1]تیر!$AC$2:$AC$805,O3)</f>
        <v>0</v>
      </c>
      <c r="P14" s="191">
        <f>SUMIFS([1]تیر!$AF$2:$AF$805,[1]تیر!$O$2:$O$805,7202,[1]تیر!$D$2:$D$805,$F$14,[1]تیر!$AC$2:$AC$805,P3)</f>
        <v>0</v>
      </c>
      <c r="Q14" s="191">
        <f>SUMIFS([1]تیر!$AF$2:$AF$805,[1]تیر!$O$2:$O$805,7202,[1]تیر!$D$2:$D$805,$F$14,[1]تیر!$AC$2:$AC$805,Q3)</f>
        <v>11</v>
      </c>
      <c r="R14" s="191">
        <f>SUMIFS([1]تیر!$AF$2:$AF$805,[1]تیر!$O$2:$O$805,7202,[1]تیر!$D$2:$D$805,$F$14,[1]تیر!$AC$2:$AC$805,R3)</f>
        <v>11</v>
      </c>
      <c r="S14" s="191">
        <f>SUMIFS([1]تیر!$AF$2:$AF$805,[1]تیر!$O$2:$O$805,7202,[1]تیر!$D$2:$D$805,$F$14,[1]تیر!$AC$2:$AC$805,S3)</f>
        <v>11</v>
      </c>
      <c r="T14" s="191">
        <f>SUMIFS([1]تیر!$AF$2:$AF$805,[1]تیر!$O$2:$O$805,7202,[1]تیر!$D$2:$D$805,$F$14,[1]تیر!$AC$2:$AC$805,T3)</f>
        <v>7.5</v>
      </c>
      <c r="U14" s="115">
        <f>SUMIFS([1]تیر!$AF$2:$AF$805,[1]تیر!$O$2:$O$805,7202,[1]تیر!$D$2:$D$805,$F$14,[1]تیر!$AC$2:$AC$805,U3)</f>
        <v>0</v>
      </c>
    </row>
    <row r="15" spans="1:21" ht="36" customHeight="1" thickBot="1" x14ac:dyDescent="0.3">
      <c r="A15" s="45">
        <v>6</v>
      </c>
      <c r="B15" s="41" t="s">
        <v>18</v>
      </c>
      <c r="C15" s="13">
        <v>7203</v>
      </c>
      <c r="D15" s="13">
        <v>62.5</v>
      </c>
      <c r="E15" s="13" t="s">
        <v>15</v>
      </c>
      <c r="F15" s="16" t="s">
        <v>45</v>
      </c>
      <c r="G15" s="14">
        <f t="shared" si="0"/>
        <v>51.5</v>
      </c>
      <c r="H15" s="48">
        <v>0</v>
      </c>
      <c r="I15" s="14">
        <v>0</v>
      </c>
      <c r="J15" s="14">
        <v>0</v>
      </c>
      <c r="K15" s="14">
        <v>0</v>
      </c>
      <c r="L15" s="14">
        <v>0</v>
      </c>
      <c r="M15" s="14">
        <f>(G15+H15+I15+J15+K15)-D15</f>
        <v>-11</v>
      </c>
      <c r="N15" s="61"/>
      <c r="O15" s="295">
        <f>SUMIFS([1]تیر!$AF$2:$AF$805,[1]تیر!$O$2:$O$805,7203,[1]تیر!$D$2:$D$805,$F$15,[1]تیر!$AC$2:$AC$805,O3)</f>
        <v>0</v>
      </c>
      <c r="P15" s="177">
        <f>SUMIFS([1]تیر!$AF$2:$AF$805,[1]تیر!$O$2:$O$805,7203,[1]تیر!$D$2:$D$805,$F$15,[1]تیر!$AC$2:$AC$805,P3)</f>
        <v>11</v>
      </c>
      <c r="Q15" s="177">
        <f>SUMIFS([1]تیر!$AF$2:$AF$805,[1]تیر!$O$2:$O$805,7203,[1]تیر!$D$2:$D$805,$F$15,[1]تیر!$AC$2:$AC$805,Q3)</f>
        <v>11</v>
      </c>
      <c r="R15" s="177">
        <f>SUMIFS([1]تیر!$AF$2:$AF$805,[1]تیر!$O$2:$O$805,7203,[1]تیر!$D$2:$D$805,$F$15,[1]تیر!$AC$2:$AC$805,R3)</f>
        <v>11</v>
      </c>
      <c r="S15" s="177">
        <f>SUMIFS([1]تیر!$AF$2:$AF$805,[1]تیر!$O$2:$O$805,7203,[1]تیر!$D$2:$D$805,$F$15,[1]تیر!$AC$2:$AC$805,S3)</f>
        <v>11</v>
      </c>
      <c r="T15" s="177">
        <f>SUMIFS([1]تیر!$AF$2:$AF$805,[1]تیر!$O$2:$O$805,7203,[1]تیر!$D$2:$D$805,$F$15,[1]تیر!$AC$2:$AC$805,T3)</f>
        <v>7.5</v>
      </c>
      <c r="U15" s="99">
        <f>SUMIFS([1]تیر!$AF$2:$AF$805,[1]تیر!$O$2:$O$805,7203,[1]تیر!$D$2:$D$805,$F$15,[1]تیر!$AC$2:$AC$805,U3)</f>
        <v>0</v>
      </c>
    </row>
    <row r="16" spans="1:21" ht="36" customHeight="1" thickBot="1" x14ac:dyDescent="0.3">
      <c r="A16" s="45">
        <v>7</v>
      </c>
      <c r="B16" s="41" t="s">
        <v>18</v>
      </c>
      <c r="C16" s="13">
        <v>7204</v>
      </c>
      <c r="D16" s="13">
        <v>62.5</v>
      </c>
      <c r="E16" s="13" t="s">
        <v>15</v>
      </c>
      <c r="F16" s="16" t="s">
        <v>144</v>
      </c>
      <c r="G16" s="14">
        <f t="shared" si="0"/>
        <v>62.5</v>
      </c>
      <c r="H16" s="48">
        <f t="shared" si="1"/>
        <v>0</v>
      </c>
      <c r="I16" s="14">
        <v>0</v>
      </c>
      <c r="J16" s="14">
        <v>0</v>
      </c>
      <c r="K16" s="14">
        <v>0</v>
      </c>
      <c r="L16" s="14">
        <v>0</v>
      </c>
      <c r="M16" s="14">
        <f>SUM(G16:J16)-62</f>
        <v>0.5</v>
      </c>
      <c r="N16" s="61"/>
      <c r="O16" s="295">
        <f>SUMIFS([1]تیر!$AF$2:$AF$805,[1]تیر!$O$2:$O$805,7204,[1]تیر!$D$2:$D$805,$F$16,[1]تیر!$AC$2:$AC$805,O3)</f>
        <v>11</v>
      </c>
      <c r="P16" s="177">
        <f>SUMIFS([1]تیر!$AF$2:$AF$805,[1]تیر!$O$2:$O$805,7204,[1]تیر!$D$2:$D$805,$F$16,[1]تیر!$AC$2:$AC$805,P3)</f>
        <v>11</v>
      </c>
      <c r="Q16" s="177">
        <f>SUMIFS([1]تیر!$AF$2:$AF$805,[1]تیر!$O$2:$O$805,7204,[1]تیر!$D$2:$D$805,$F$16,[1]تیر!$AC$2:$AC$805,Q3)</f>
        <v>11</v>
      </c>
      <c r="R16" s="177">
        <f>SUMIFS([1]تیر!$AF$2:$AF$805,[1]تیر!$O$2:$O$805,7204,[1]تیر!$D$2:$D$805,$F$16,[1]تیر!$AC$2:$AC$805,R3)</f>
        <v>11</v>
      </c>
      <c r="S16" s="177">
        <f>SUMIFS([1]تیر!$AF$2:$AF$805,[1]تیر!$O$2:$O$805,7204,[1]تیر!$D$2:$D$805,$F$16,[1]تیر!$AC$2:$AC$805,S3)</f>
        <v>11</v>
      </c>
      <c r="T16" s="177">
        <f>SUMIFS([1]تیر!$AF$2:$AF$805,[1]تیر!$O$2:$O$805,7204,[1]تیر!$D$2:$D$805,$F$16,[1]تیر!$AC$2:$AC$805,T3)</f>
        <v>7.5</v>
      </c>
      <c r="U16" s="99">
        <f>SUMIFS([1]تیر!$AF$2:$AF$805,[1]تیر!$O$2:$O$805,7204,[1]تیر!$D$2:$D$805,$F$16,[1]تیر!$AC$2:$AC$805,U3)</f>
        <v>0</v>
      </c>
    </row>
    <row r="17" spans="1:21" ht="36" customHeight="1" thickBot="1" x14ac:dyDescent="0.3">
      <c r="A17" s="569">
        <v>8</v>
      </c>
      <c r="B17" s="563" t="s">
        <v>21</v>
      </c>
      <c r="C17" s="546">
        <v>7301</v>
      </c>
      <c r="D17" s="546">
        <v>62.5</v>
      </c>
      <c r="E17" s="546" t="s">
        <v>15</v>
      </c>
      <c r="F17" s="576" t="s">
        <v>22</v>
      </c>
      <c r="G17" s="6">
        <f t="shared" si="0"/>
        <v>51.166666666666671</v>
      </c>
      <c r="H17" s="64">
        <f t="shared" si="1"/>
        <v>0</v>
      </c>
      <c r="I17" s="6">
        <v>0</v>
      </c>
      <c r="J17" s="6">
        <v>0</v>
      </c>
      <c r="K17" s="6">
        <v>0</v>
      </c>
      <c r="L17" s="6">
        <v>0</v>
      </c>
      <c r="M17" s="6">
        <f>SUM(G17:L17)-D17</f>
        <v>-11.333333333333329</v>
      </c>
      <c r="N17" s="550"/>
      <c r="O17" s="577">
        <f>SUMIFS([1]تیر!$AF$2:$AF$805,[1]تیر!$O$2:$O$805,7301,[1]تیر!$D$2:$D$805,$F$17,[1]تیر!$AC$2:$AC$805,O3)</f>
        <v>11</v>
      </c>
      <c r="P17" s="577">
        <f>SUMIFS([1]تیر!$AF$2:$AF$805,[1]تیر!$O$2:$O$805,7301,[1]تیر!$D$2:$D$805,$F$17,[1]تیر!$AC$2:$AC$805,P3)</f>
        <v>11</v>
      </c>
      <c r="Q17" s="577">
        <f>SUMIFS([1]تیر!$AF$2:$AF$805,[1]تیر!$O$2:$O$805,7301,[1]تیر!$D$2:$D$805,$F$17,[1]تیر!$AC$2:$AC$805,Q3)</f>
        <v>9.5</v>
      </c>
      <c r="R17" s="577">
        <f>SUMIFS([1]تیر!$AF$2:$AF$805,[1]تیر!$O$2:$O$805,7301,[1]تیر!$D$2:$D$805,$F$17,[1]تیر!$AC$2:$AC$805,R3)</f>
        <v>10.666666666666668</v>
      </c>
      <c r="S17" s="577">
        <f>SUMIFS([1]تیر!$AF$2:$AF$805,[1]تیر!$O$2:$O$805,7301,[1]تیر!$D$2:$D$805,$F$17,[1]تیر!$AC$2:$AC$805,S3)</f>
        <v>2</v>
      </c>
      <c r="T17" s="577">
        <f>SUMIFS([1]تیر!$AF$2:$AF$805,[1]تیر!$O$2:$O$805,7301,[1]تیر!$D$2:$D$805,$F$17,[1]تیر!$AC$2:$AC$805,T3)</f>
        <v>7</v>
      </c>
      <c r="U17" s="578">
        <f>SUMIFS([1]تیر!$AF$2:$AF$805,[1]تیر!$O$2:$O$805,7301,[1]تیر!$D$2:$D$805,$F$17,[1]تیر!$AC$2:$AC$805,U3)</f>
        <v>0</v>
      </c>
    </row>
    <row r="18" spans="1:21" ht="36" customHeight="1" x14ac:dyDescent="0.25">
      <c r="A18" s="568"/>
      <c r="B18" s="585"/>
      <c r="C18" s="585"/>
      <c r="D18" s="545"/>
      <c r="E18" s="932" t="s">
        <v>15</v>
      </c>
      <c r="F18" s="20" t="s">
        <v>17</v>
      </c>
      <c r="G18" s="1">
        <f t="shared" si="0"/>
        <v>45.5</v>
      </c>
      <c r="H18" s="49">
        <f>U18</f>
        <v>0</v>
      </c>
      <c r="I18" s="1">
        <v>8</v>
      </c>
      <c r="J18" s="1">
        <v>0</v>
      </c>
      <c r="K18" s="1">
        <v>0</v>
      </c>
      <c r="L18" s="1">
        <v>0</v>
      </c>
      <c r="M18" s="4"/>
      <c r="N18" s="928" t="s">
        <v>44</v>
      </c>
      <c r="O18" s="292">
        <f>SUMIFS([1]تیر!$AF$2:$AF$805,[1]تیر!$O$2:$O$805,7302,[1]تیر!$D$2:$D$805,$F$18,[1]تیر!$AC$2:$AC$805,O3)</f>
        <v>10</v>
      </c>
      <c r="P18" s="169">
        <f>SUMIFS([1]تیر!$AF$2:$AF$805,[1]تیر!$O$2:$O$805,7302,[1]تیر!$D$2:$D$805,$F$18,[1]تیر!$AC$2:$AC$805,P3)</f>
        <v>9.5</v>
      </c>
      <c r="Q18" s="169">
        <f>SUMIFS([1]تیر!$AF$2:$AF$805,[1]تیر!$O$2:$O$805,7302,[1]تیر!$D$2:$D$805,$F$18,[1]تیر!$AC$2:$AC$805,Q3)</f>
        <v>11</v>
      </c>
      <c r="R18" s="169">
        <f>SUMIFS([1]تیر!$AF$2:$AF$805,[1]تیر!$O$2:$O$805,7302,[1]تیر!$D$2:$D$805,$F$18,[1]تیر!$AC$2:$AC$805,R3)</f>
        <v>4</v>
      </c>
      <c r="S18" s="169">
        <f>SUMIFS([1]تیر!$AF$2:$AF$805,[1]تیر!$O$2:$O$805,7302,[1]تیر!$D$2:$D$805,$F$18,[1]تیر!$AC$2:$AC$805,S3)</f>
        <v>0</v>
      </c>
      <c r="T18" s="169">
        <f>SUMIFS([1]تیر!$AF$2:$AF$805,[1]تیر!$O$2:$O$805,7302,[1]تیر!$D$2:$D$805,$F$18,[1]تیر!$AC$2:$AC$805,T3)</f>
        <v>11</v>
      </c>
      <c r="U18" s="107">
        <f>SUMIFS([1]تیر!$AF$2:$AF$805,[1]تیر!$O$2:$O$805,7302,[1]تیر!$D$2:$D$805,$F$18,[1]تیر!$AC$2:$AC$805,U3)</f>
        <v>0</v>
      </c>
    </row>
    <row r="19" spans="1:21" ht="36" customHeight="1" x14ac:dyDescent="0.25">
      <c r="A19" s="568">
        <v>9</v>
      </c>
      <c r="B19" s="587" t="s">
        <v>21</v>
      </c>
      <c r="C19" s="588">
        <v>7302</v>
      </c>
      <c r="D19" s="545">
        <v>62.5</v>
      </c>
      <c r="E19" s="1003"/>
      <c r="F19" s="27" t="s">
        <v>22</v>
      </c>
      <c r="G19" s="3">
        <f t="shared" si="0"/>
        <v>9</v>
      </c>
      <c r="H19" s="47">
        <f t="shared" si="1"/>
        <v>0</v>
      </c>
      <c r="I19" s="3">
        <v>0</v>
      </c>
      <c r="J19" s="3">
        <v>0</v>
      </c>
      <c r="K19" s="3">
        <v>0</v>
      </c>
      <c r="L19" s="3">
        <v>0</v>
      </c>
      <c r="M19" s="4">
        <f>SUM(G18:L20)-D19</f>
        <v>0</v>
      </c>
      <c r="N19" s="929"/>
      <c r="O19" s="293">
        <f>SUMIFS([1]تیر!$AF$2:$AF$805,[1]تیر!$O$2:$O$805,7302,[1]تیر!$D$2:$D$805,$F$19,[1]تیر!$AC$2:$AC$805,O3)</f>
        <v>0</v>
      </c>
      <c r="P19" s="168">
        <f>SUMIFS([1]تیر!$AF$2:$AF$805,[1]تیر!$O$2:$O$805,7302,[1]تیر!$D$2:$D$805,$F$19,[1]تیر!$AC$2:$AC$805,P3)</f>
        <v>0</v>
      </c>
      <c r="Q19" s="168">
        <f>SUMIFS([1]تیر!$AF$2:$AF$805,[1]تیر!$O$2:$O$805,7302,[1]تیر!$D$2:$D$805,$F$19,[1]تیر!$AC$2:$AC$805,Q3)</f>
        <v>0</v>
      </c>
      <c r="R19" s="168">
        <f>SUMIFS([1]تیر!$AF$2:$AF$805,[1]تیر!$O$2:$O$805,7302,[1]تیر!$D$2:$D$805,$F$19,[1]تیر!$AC$2:$AC$805,R3)</f>
        <v>0</v>
      </c>
      <c r="S19" s="168">
        <f>SUMIFS([1]تیر!$AF$2:$AF$805,[1]تیر!$O$2:$O$805,7302,[1]تیر!$D$2:$D$805,$F$19,[1]تیر!$AC$2:$AC$805,S3)</f>
        <v>9</v>
      </c>
      <c r="T19" s="168">
        <f>SUMIFS([1]تیر!$AF$2:$AF$805,[1]تیر!$O$2:$O$805,7302,[1]تیر!$D$2:$D$805,$F$19,[1]تیر!$AC$2:$AC$805,T3)</f>
        <v>0</v>
      </c>
      <c r="U19" s="108">
        <f>SUMIFS([1]تیر!$AF$2:$AF$805,[1]تیر!$O$2:$O$805,7302,[1]تیر!$D$2:$D$805,$F$19,[1]تیر!$AC$2:$AC$805,U3)</f>
        <v>0</v>
      </c>
    </row>
    <row r="20" spans="1:21" ht="36" customHeight="1" thickBot="1" x14ac:dyDescent="0.3">
      <c r="A20" s="569"/>
      <c r="B20" s="43"/>
      <c r="C20" s="43"/>
      <c r="D20" s="546"/>
      <c r="E20" s="934"/>
      <c r="F20" s="5"/>
      <c r="G20" s="1">
        <f t="shared" si="0"/>
        <v>0</v>
      </c>
      <c r="H20" s="49">
        <f t="shared" si="1"/>
        <v>0</v>
      </c>
      <c r="I20" s="7">
        <v>0</v>
      </c>
      <c r="J20" s="7">
        <v>0</v>
      </c>
      <c r="K20" s="6">
        <v>0</v>
      </c>
      <c r="L20" s="6">
        <v>0</v>
      </c>
      <c r="M20" s="6"/>
      <c r="N20" s="930"/>
      <c r="O20" s="352">
        <f>SUMIFS([1]اردیبهشت!$AD$2:$AD$805,[1]اردیبهشت!$N$2:$N$805,$C$19,[1]اردیبهشت!$D$2:$D$805,$F$19,[1]اردیبهشت!$AA$2:$AA$805,O4)</f>
        <v>0</v>
      </c>
      <c r="P20" s="175">
        <f>SUMIFS([1]اردیبهشت!$AD$2:$AD$805,[1]اردیبهشت!$N$2:$N$805,$C$19,[1]اردیبهشت!$D$2:$D$805,$F$19,[1]اردیبهشت!$AA$2:$AA$805,P4)</f>
        <v>0</v>
      </c>
      <c r="Q20" s="175">
        <f>SUMIFS([1]اردیبهشت!$AD$2:$AD$805,[1]اردیبهشت!$N$2:$N$805,$C$19,[1]اردیبهشت!$D$2:$D$805,$F$19,[1]اردیبهشت!$AA$2:$AA$805,Q4)</f>
        <v>0</v>
      </c>
      <c r="R20" s="175">
        <f>SUMIFS([1]اردیبهشت!$AD$2:$AD$805,[1]اردیبهشت!$N$2:$N$805,$C$19,[1]اردیبهشت!$D$2:$D$805,$F$19,[1]اردیبهشت!$AA$2:$AA$805,R4)</f>
        <v>0</v>
      </c>
      <c r="S20" s="175">
        <f>SUMIFS([1]اردیبهشت!$AD$2:$AD$805,[1]اردیبهشت!$N$2:$N$805,$C$19,[1]اردیبهشت!$D$2:$D$805,$F$19,[1]اردیبهشت!$AA$2:$AA$805,S4)</f>
        <v>0</v>
      </c>
      <c r="T20" s="175">
        <f>SUMIFS([1]اردیبهشت!$AD$2:$AD$805,[1]اردیبهشت!$N$2:$N$805,$C$19,[1]اردیبهشت!$D$2:$D$805,$F$19,[1]اردیبهشت!$AA$2:$AA$805,T4)</f>
        <v>0</v>
      </c>
      <c r="U20" s="114">
        <f>SUMIFS([1]خرداد!$AF$2:$AF$700,[1]خرداد!$O$2:$O$700,7101,[1]خرداد!$D$2:$D$700,$F$4,[1]خرداد!$AC$2:$AC$700,U19)</f>
        <v>0</v>
      </c>
    </row>
    <row r="21" spans="1:21" ht="36" customHeight="1" thickBot="1" x14ac:dyDescent="0.3">
      <c r="A21" s="147">
        <v>10</v>
      </c>
      <c r="B21" s="566" t="s">
        <v>21</v>
      </c>
      <c r="C21" s="547">
        <v>7303</v>
      </c>
      <c r="D21" s="547">
        <v>44</v>
      </c>
      <c r="E21" s="547" t="s">
        <v>19</v>
      </c>
      <c r="F21" s="144"/>
      <c r="G21" s="85">
        <f t="shared" si="0"/>
        <v>0</v>
      </c>
      <c r="H21" s="86">
        <f t="shared" si="1"/>
        <v>0</v>
      </c>
      <c r="I21" s="89">
        <v>0</v>
      </c>
      <c r="J21" s="89">
        <v>0</v>
      </c>
      <c r="K21" s="89">
        <v>0</v>
      </c>
      <c r="L21" s="89">
        <v>0</v>
      </c>
      <c r="M21" s="89">
        <f>SUM(G21:L21)-44</f>
        <v>-44</v>
      </c>
      <c r="N21" s="305" t="s">
        <v>40</v>
      </c>
      <c r="O21" s="536">
        <f>SUMIFS([1]تیر!$AF$2:$AF$805,[1]تیر!$O$2:$O$805,7303,[1]تیر!$D$2:$D$805,$F$21,[1]تیر!$AC$2:$AC$805,O3)</f>
        <v>0</v>
      </c>
      <c r="P21" s="186">
        <f>SUMIFS([1]تیر!$AF$2:$AF$805,[1]تیر!$O$2:$O$805,7303,[1]تیر!$D$2:$D$805,$F$21,[1]تیر!$AC$2:$AC$805,P3)</f>
        <v>0</v>
      </c>
      <c r="Q21" s="186">
        <f>SUMIFS([1]تیر!$AF$2:$AF$805,[1]تیر!$O$2:$O$805,7303,[1]تیر!$D$2:$D$805,$F$21,[1]تیر!$AC$2:$AC$805,Q3)</f>
        <v>0</v>
      </c>
      <c r="R21" s="186">
        <f>SUMIFS([1]تیر!$AF$2:$AF$805,[1]تیر!$O$2:$O$805,7303,[1]تیر!$D$2:$D$805,$F$21,[1]تیر!$AC$2:$AC$805,R3)</f>
        <v>0</v>
      </c>
      <c r="S21" s="186">
        <f>SUMIFS([1]تیر!$AF$2:$AF$805,[1]تیر!$O$2:$O$805,7303,[1]تیر!$D$2:$D$805,$F$21,[1]تیر!$AC$2:$AC$805,S3)</f>
        <v>0</v>
      </c>
      <c r="T21" s="186">
        <f>SUMIFS([1]تیر!$AF$2:$AF$805,[1]تیر!$O$2:$O$805,7303,[1]تیر!$D$2:$D$805,$F$21,[1]تیر!$AC$2:$AC$805,T3)</f>
        <v>0</v>
      </c>
      <c r="U21" s="118">
        <f>SUMIFS([1]تیر!$AF$2:$AF$805,[1]تیر!$O$2:$O$805,7303,[1]تیر!$D$2:$D$805,$F$21,[1]تیر!$AC$2:$AC$805,U3)</f>
        <v>0</v>
      </c>
    </row>
    <row r="22" spans="1:21" ht="36" customHeight="1" x14ac:dyDescent="0.25">
      <c r="A22" s="567"/>
      <c r="B22" s="42"/>
      <c r="C22" s="42"/>
      <c r="D22" s="544"/>
      <c r="E22" s="932" t="s">
        <v>15</v>
      </c>
      <c r="F22" s="20" t="s">
        <v>16</v>
      </c>
      <c r="G22" s="573">
        <f t="shared" si="0"/>
        <v>7.5</v>
      </c>
      <c r="H22" s="46">
        <f t="shared" si="1"/>
        <v>0</v>
      </c>
      <c r="I22" s="573">
        <v>0</v>
      </c>
      <c r="J22" s="573">
        <v>0</v>
      </c>
      <c r="K22" s="573">
        <v>0</v>
      </c>
      <c r="L22" s="573">
        <v>0</v>
      </c>
      <c r="M22" s="21"/>
      <c r="N22" s="931" t="s">
        <v>53</v>
      </c>
      <c r="O22" s="292">
        <f>SUMIFS([1]تیر!$AF$2:$AF$805,[1]تیر!$O$2:$O$805,7401,[1]تیر!$D$2:$D$805,$F$22,[1]تیر!$AC$2:$AC$805,O3)</f>
        <v>2.5</v>
      </c>
      <c r="P22" s="169">
        <f>SUMIFS([1]تیر!$AF$2:$AF$805,[1]تیر!$O$2:$O$805,7401,[1]تیر!$D$2:$D$805,$F$22,[1]تیر!$AC$2:$AC$805,P3)</f>
        <v>0</v>
      </c>
      <c r="Q22" s="169">
        <f>SUMIFS([1]تیر!$AF$2:$AF$805,[1]تیر!$O$2:$O$805,7401,[1]تیر!$D$2:$D$805,$F$22,[1]تیر!$AC$2:$AC$805,Q3)</f>
        <v>2</v>
      </c>
      <c r="R22" s="169">
        <f>SUMIFS([1]تیر!$AF$2:$AF$805,[1]تیر!$O$2:$O$805,7401,[1]تیر!$D$2:$D$805,$F$22,[1]تیر!$AC$2:$AC$805,R3)</f>
        <v>1</v>
      </c>
      <c r="S22" s="169">
        <f>SUMIFS([1]تیر!$AF$2:$AF$805,[1]تیر!$O$2:$O$805,7401,[1]تیر!$D$2:$D$805,$F$22,[1]تیر!$AC$2:$AC$805,S3)</f>
        <v>1.5</v>
      </c>
      <c r="T22" s="169">
        <f>SUMIFS([1]تیر!$AF$2:$AF$805,[1]تیر!$O$2:$O$805,7401,[1]تیر!$D$2:$D$805,$F$22,[1]تیر!$AC$2:$AC$805,T3)</f>
        <v>0.5</v>
      </c>
      <c r="U22" s="107">
        <f>SUMIFS([1]تیر!$AF$2:$AF$805,[1]تیر!$O$2:$O$805,7401,[1]تیر!$D$2:$D$805,$F$22,[1]تیر!$AC$2:$AC$805,U3)</f>
        <v>0</v>
      </c>
    </row>
    <row r="23" spans="1:21" ht="36" customHeight="1" x14ac:dyDescent="0.25">
      <c r="A23" s="568">
        <v>11</v>
      </c>
      <c r="B23" s="587" t="s">
        <v>24</v>
      </c>
      <c r="C23" s="545">
        <v>7401</v>
      </c>
      <c r="D23" s="545">
        <v>62.5</v>
      </c>
      <c r="E23" s="1003"/>
      <c r="F23" s="22" t="s">
        <v>55</v>
      </c>
      <c r="G23" s="3">
        <f t="shared" si="0"/>
        <v>1</v>
      </c>
      <c r="H23" s="47">
        <f t="shared" si="1"/>
        <v>0</v>
      </c>
      <c r="I23" s="3">
        <v>0</v>
      </c>
      <c r="J23" s="3">
        <v>0</v>
      </c>
      <c r="K23" s="3">
        <v>0</v>
      </c>
      <c r="L23" s="205">
        <v>0</v>
      </c>
      <c r="M23" s="4">
        <f>SUM(G22:L24)-D23</f>
        <v>-53</v>
      </c>
      <c r="N23" s="995"/>
      <c r="O23" s="293">
        <f>SUMIFS([1]تیر!$AF$2:$AF$805,[1]تیر!$O$2:$O$805,7401,[1]تیر!$D$2:$D$805,$F$23,[1]تیر!$AC$2:$AC$805,O3)</f>
        <v>0</v>
      </c>
      <c r="P23" s="168">
        <f>SUMIFS([1]تیر!$AF$2:$AF$805,[1]تیر!$O$2:$O$805,7401,[1]تیر!$D$2:$D$805,$F$23,[1]تیر!$AC$2:$AC$805,P3)</f>
        <v>1</v>
      </c>
      <c r="Q23" s="168">
        <f>SUMIFS([1]تیر!$AF$2:$AF$805,[1]تیر!$O$2:$O$805,7401,[1]تیر!$D$2:$D$805,$F$23,[1]تیر!$AC$2:$AC$805,Q3)</f>
        <v>0</v>
      </c>
      <c r="R23" s="168">
        <f>SUMIFS([1]تیر!$AF$2:$AF$805,[1]تیر!$O$2:$O$805,7401,[1]تیر!$D$2:$D$805,$F$23,[1]تیر!$AC$2:$AC$805,R3)</f>
        <v>0</v>
      </c>
      <c r="S23" s="168">
        <f>SUMIFS([1]تیر!$AF$2:$AF$805,[1]تیر!$O$2:$O$805,7401,[1]تیر!$D$2:$D$805,$F$23,[1]تیر!$AC$2:$AC$805,S3)</f>
        <v>0</v>
      </c>
      <c r="T23" s="168">
        <f>SUMIFS([1]تیر!$AF$2:$AF$805,[1]تیر!$O$2:$O$805,7401,[1]تیر!$D$2:$D$805,$F$23,[1]تیر!$AC$2:$AC$805,T3)</f>
        <v>0</v>
      </c>
      <c r="U23" s="108">
        <f>SUMIFS([1]تیر!$AF$2:$AF$805,[1]تیر!$O$2:$O$805,7401,[1]تیر!$D$2:$D$805,$F$23,[1]تیر!$AC$2:$AC$805,U3)</f>
        <v>0</v>
      </c>
    </row>
    <row r="24" spans="1:21" ht="36" customHeight="1" thickBot="1" x14ac:dyDescent="0.3">
      <c r="A24" s="569"/>
      <c r="B24" s="43" t="s">
        <v>24</v>
      </c>
      <c r="C24" s="43"/>
      <c r="D24" s="546"/>
      <c r="E24" s="934"/>
      <c r="F24" s="5" t="s">
        <v>54</v>
      </c>
      <c r="G24" s="6">
        <f t="shared" si="0"/>
        <v>1</v>
      </c>
      <c r="H24" s="64">
        <f t="shared" si="1"/>
        <v>0</v>
      </c>
      <c r="I24" s="7">
        <v>0</v>
      </c>
      <c r="J24" s="7">
        <v>0</v>
      </c>
      <c r="K24" s="6">
        <v>0</v>
      </c>
      <c r="L24" s="6">
        <v>0</v>
      </c>
      <c r="M24" s="6"/>
      <c r="N24" s="930"/>
      <c r="O24" s="294">
        <f>SUMIFS([1]تیر!$AF$2:$AF$805,[1]تیر!$O$2:$O$805,7401,[1]تیر!$D$2:$D$805,$F$24,[1]تیر!$AC$2:$AC$805,O3)</f>
        <v>0</v>
      </c>
      <c r="P24" s="172">
        <f>SUMIFS([1]تیر!$AF$2:$AF$805,[1]تیر!$O$2:$O$805,7401,[1]تیر!$D$2:$D$805,$F$24,[1]تیر!$AC$2:$AC$805,P3)</f>
        <v>0</v>
      </c>
      <c r="Q24" s="172">
        <f>SUMIFS([1]تیر!$AF$2:$AF$805,[1]تیر!$O$2:$O$805,7401,[1]تیر!$D$2:$D$805,$F$24,[1]تیر!$AC$2:$AC$805,Q3)</f>
        <v>0</v>
      </c>
      <c r="R24" s="172">
        <f>SUMIFS([1]تیر!$AF$2:$AF$805,[1]تیر!$O$2:$O$805,7401,[1]تیر!$D$2:$D$805,$F$24,[1]تیر!$AC$2:$AC$805,R3)</f>
        <v>1</v>
      </c>
      <c r="S24" s="172">
        <f>SUMIFS([1]تیر!$AF$2:$AF$805,[1]تیر!$O$2:$O$805,7401,[1]تیر!$D$2:$D$805,$F$24,[1]تیر!$AC$2:$AC$805,S3)</f>
        <v>0</v>
      </c>
      <c r="T24" s="172">
        <f>SUMIFS([1]تیر!$AF$2:$AF$805,[1]تیر!$O$2:$O$805,7401,[1]تیر!$D$2:$D$805,$F$24,[1]تیر!$AC$2:$AC$805,T3)</f>
        <v>0</v>
      </c>
      <c r="U24" s="109">
        <f>SUMIFS([1]تیر!$AF$2:$AF$805,[1]تیر!$O$2:$O$805,7401,[1]تیر!$D$2:$D$805,$F$24,[1]تیر!$AC$2:$AC$805,U3)</f>
        <v>0</v>
      </c>
    </row>
    <row r="25" spans="1:21" ht="36" customHeight="1" x14ac:dyDescent="0.25">
      <c r="A25" s="567"/>
      <c r="B25" s="307"/>
      <c r="C25" s="548"/>
      <c r="D25" s="548"/>
      <c r="E25" s="932" t="s">
        <v>19</v>
      </c>
      <c r="F25" s="20"/>
      <c r="G25" s="573">
        <f t="shared" si="0"/>
        <v>0</v>
      </c>
      <c r="H25" s="46">
        <f t="shared" si="1"/>
        <v>0</v>
      </c>
      <c r="I25" s="573">
        <v>0</v>
      </c>
      <c r="J25" s="573">
        <v>0</v>
      </c>
      <c r="K25" s="573">
        <v>0</v>
      </c>
      <c r="L25" s="573">
        <v>0</v>
      </c>
      <c r="M25" s="21"/>
      <c r="N25" s="931" t="s">
        <v>28</v>
      </c>
      <c r="O25" s="292">
        <f>SUMIFS([1]اردیبهشت!$AD$2:$AD$805,[1]اردیبهشت!$N$2:$N$805,$C$25,[1]اردیبهشت!$D$2:$D$805,$F$25,[1]اردیبهشت!$AA$2:$AA$805,O3)</f>
        <v>0</v>
      </c>
      <c r="P25" s="169">
        <f>SUMIFS([1]اردیبهشت!$AD$2:$AD$805,[1]اردیبهشت!$N$2:$N$805,$C$25,[1]اردیبهشت!$D$2:$D$805,$F$25,[1]اردیبهشت!$AA$2:$AA$805,P3)</f>
        <v>0</v>
      </c>
      <c r="Q25" s="169">
        <f>SUMIFS([1]اردیبهشت!$AD$2:$AD$805,[1]اردیبهشت!$N$2:$N$805,$C$25,[1]اردیبهشت!$D$2:$D$805,$F$25,[1]اردیبهشت!$AA$2:$AA$805,Q3)</f>
        <v>0</v>
      </c>
      <c r="R25" s="169">
        <f>SUMIFS([1]اردیبهشت!$AD$2:$AD$805,[1]اردیبهشت!$N$2:$N$805,$C$25,[1]اردیبهشت!$D$2:$D$805,$F$25,[1]اردیبهشت!$AA$2:$AA$805,R3)</f>
        <v>0</v>
      </c>
      <c r="S25" s="169">
        <f>SUMIFS([1]اردیبهشت!$AD$2:$AD$805,[1]اردیبهشت!$N$2:$N$805,$C$25,[1]اردیبهشت!$D$2:$D$805,$F$25,[1]اردیبهشت!$AA$2:$AA$805,S3)</f>
        <v>0</v>
      </c>
      <c r="T25" s="169">
        <f>SUMIFS([1]اردیبهشت!$AD$2:$AD$805,[1]اردیبهشت!$N$2:$N$805,$C$25,[1]اردیبهشت!$D$2:$D$805,$F$25,[1]اردیبهشت!$AA$2:$AA$805,T3)</f>
        <v>0</v>
      </c>
      <c r="U25" s="107">
        <f>SUMIFS([1]خرداد!$AF$2:$AF$700,[1]خرداد!$O$2:$O$700,7101,[1]خرداد!$D$2:$D$700,$F$4,[1]خرداد!$AC$2:$AC$700,U24)</f>
        <v>0</v>
      </c>
    </row>
    <row r="26" spans="1:21" ht="36" customHeight="1" x14ac:dyDescent="0.25">
      <c r="A26" s="568">
        <v>12</v>
      </c>
      <c r="B26" s="308" t="s">
        <v>25</v>
      </c>
      <c r="C26" s="557">
        <v>7501</v>
      </c>
      <c r="D26" s="545">
        <v>62.5</v>
      </c>
      <c r="E26" s="933"/>
      <c r="F26" s="22" t="s">
        <v>36</v>
      </c>
      <c r="G26" s="3">
        <f t="shared" si="0"/>
        <v>18</v>
      </c>
      <c r="H26" s="47">
        <f t="shared" si="1"/>
        <v>0</v>
      </c>
      <c r="I26" s="3">
        <v>0</v>
      </c>
      <c r="J26" s="3">
        <v>0</v>
      </c>
      <c r="K26" s="3">
        <v>0</v>
      </c>
      <c r="L26" s="3">
        <v>0</v>
      </c>
      <c r="M26" s="1">
        <f>SUM(G25:L27)-D26</f>
        <v>-42.5</v>
      </c>
      <c r="N26" s="929"/>
      <c r="O26" s="293">
        <f>SUMIFS([1]تیر!$AF$2:$AF$805,[1]تیر!$O$2:$O$805,7501,[1]تیر!$D$2:$D$805,$F$26,[1]تیر!$AC$2:$AC$805,O3)</f>
        <v>8</v>
      </c>
      <c r="P26" s="168">
        <f>SUMIFS([1]تیر!$AF$2:$AF$805,[1]تیر!$O$2:$O$805,7501,[1]تیر!$D$2:$D$805,$F$26,[1]تیر!$AC$2:$AC$805,P3)</f>
        <v>6</v>
      </c>
      <c r="Q26" s="168">
        <f>SUMIFS([1]تیر!$AF$2:$AF$805,[1]تیر!$O$2:$O$805,7501,[1]تیر!$D$2:$D$805,$F$26,[1]تیر!$AC$2:$AC$805,Q3)</f>
        <v>2</v>
      </c>
      <c r="R26" s="168">
        <f>SUMIFS([1]تیر!$AF$2:$AF$805,[1]تیر!$O$2:$O$805,7501,[1]تیر!$D$2:$D$805,$F$26,[1]تیر!$AC$2:$AC$805,R3)</f>
        <v>1</v>
      </c>
      <c r="S26" s="168">
        <f>SUMIFS([1]تیر!$AF$2:$AF$805,[1]تیر!$O$2:$O$805,7501,[1]تیر!$D$2:$D$805,$F$26,[1]تیر!$AC$2:$AC$805,S3)</f>
        <v>0</v>
      </c>
      <c r="T26" s="168">
        <f>SUMIFS([1]تیر!$AF$2:$AF$805,[1]تیر!$O$2:$O$805,7501,[1]تیر!$D$2:$D$805,$F$26,[1]تیر!$AC$2:$AC$805,T3)</f>
        <v>1</v>
      </c>
      <c r="U26" s="96">
        <f>SUMIFS([1]تیر!$AF$2:$AF$805,[1]تیر!$O$2:$O$805,7501,[1]تیر!$D$2:$D$805,$F$26,[1]تیر!$AC$2:$AC$805,U3)</f>
        <v>0</v>
      </c>
    </row>
    <row r="27" spans="1:21" ht="36" customHeight="1" thickBot="1" x14ac:dyDescent="0.3">
      <c r="A27" s="569"/>
      <c r="B27" s="310"/>
      <c r="C27" s="549"/>
      <c r="D27" s="549"/>
      <c r="E27" s="934"/>
      <c r="F27" s="5" t="s">
        <v>54</v>
      </c>
      <c r="G27" s="6">
        <f t="shared" si="0"/>
        <v>2</v>
      </c>
      <c r="H27" s="64">
        <f t="shared" si="1"/>
        <v>0</v>
      </c>
      <c r="I27" s="7">
        <v>0</v>
      </c>
      <c r="J27" s="7">
        <v>0</v>
      </c>
      <c r="K27" s="6">
        <v>0</v>
      </c>
      <c r="L27" s="6">
        <v>0</v>
      </c>
      <c r="M27" s="6"/>
      <c r="N27" s="930"/>
      <c r="O27" s="352">
        <f>SUMIFS([1]تیر!$AF$2:$AF$805,[1]تیر!$O$2:$O$805,7501,[1]تیر!$D$2:$D$805,$F$27,[1]تیر!$AC$2:$AC$805,O3)</f>
        <v>2</v>
      </c>
      <c r="P27" s="167">
        <f>SUMIFS([1]تیر!$AF$2:$AF$805,[1]تیر!$O$2:$O$805,7501,[1]تیر!$D$2:$D$805,$F$27,[1]تیر!$AC$2:$AC$805,P3)</f>
        <v>0</v>
      </c>
      <c r="Q27" s="167">
        <f>SUMIFS([1]تیر!$AF$2:$AF$805,[1]تیر!$O$2:$O$805,7501,[1]تیر!$D$2:$D$805,$F$27,[1]تیر!$AC$2:$AC$805,Q3)</f>
        <v>0</v>
      </c>
      <c r="R27" s="167">
        <f>SUMIFS([1]تیر!$AF$2:$AF$805,[1]تیر!$O$2:$O$805,7501,[1]تیر!$D$2:$D$805,$F$27,[1]تیر!$AC$2:$AC$805,R3)</f>
        <v>0</v>
      </c>
      <c r="S27" s="167">
        <f>SUMIFS([1]تیر!$AF$2:$AF$805,[1]تیر!$O$2:$O$805,7501,[1]تیر!$D$2:$D$805,$F$27,[1]تیر!$AC$2:$AC$805,S3)</f>
        <v>0</v>
      </c>
      <c r="T27" s="167">
        <f>SUMIFS([1]تیر!$AF$2:$AF$805,[1]تیر!$O$2:$O$805,7501,[1]تیر!$D$2:$D$805,$F$27,[1]تیر!$AC$2:$AC$805,T3)</f>
        <v>0</v>
      </c>
      <c r="U27" s="161">
        <f>SUMIFS([1]تیر!$AF$2:$AF$805,[1]تیر!$O$2:$O$805,7501,[1]تیر!$D$2:$D$805,$F$27,[1]تیر!$AC$2:$AC$805,U3)</f>
        <v>0</v>
      </c>
    </row>
    <row r="28" spans="1:21" ht="43.5" customHeight="1" x14ac:dyDescent="0.25">
      <c r="A28" s="568"/>
      <c r="B28" s="224"/>
      <c r="C28" s="560"/>
      <c r="D28" s="560"/>
      <c r="E28" s="936" t="s">
        <v>50</v>
      </c>
      <c r="F28" s="27" t="s">
        <v>36</v>
      </c>
      <c r="G28" s="1">
        <f t="shared" si="0"/>
        <v>60.5</v>
      </c>
      <c r="H28" s="49">
        <v>0</v>
      </c>
      <c r="I28" s="93">
        <v>0</v>
      </c>
      <c r="J28" s="93">
        <v>0</v>
      </c>
      <c r="K28" s="93">
        <v>0</v>
      </c>
      <c r="L28" s="93">
        <v>0</v>
      </c>
      <c r="M28" s="4"/>
      <c r="N28" s="988" t="s">
        <v>42</v>
      </c>
      <c r="O28" s="292">
        <f>SUMIFS([1]تیر!$AF$2:$AF$805,[1]تیر!$O$2:$O$805,7502,[1]تیر!$D$2:$D$805,$F$28,[1]تیر!$AC$2:$AC$805,O3)</f>
        <v>9</v>
      </c>
      <c r="P28" s="169">
        <f>SUMIFS([1]تیر!$AF$2:$AF$805,[1]تیر!$O$2:$O$805,7502,[1]تیر!$D$2:$D$805,$F$28,[1]تیر!$AC$2:$AC$805,P3)</f>
        <v>11</v>
      </c>
      <c r="Q28" s="169">
        <f>SUMIFS([1]تیر!$AF$2:$AF$805,[1]تیر!$O$2:$O$805,7502,[1]تیر!$D$2:$D$805,$F$28,[1]تیر!$AC$2:$AC$805,Q3)</f>
        <v>11</v>
      </c>
      <c r="R28" s="169">
        <f>SUMIFS([1]تیر!$AF$2:$AF$805,[1]تیر!$O$2:$O$805,7502,[1]تیر!$D$2:$D$805,$F$28,[1]تیر!$AC$2:$AC$805,R3)</f>
        <v>11</v>
      </c>
      <c r="S28" s="169">
        <f>SUMIFS([1]تیر!$AF$2:$AF$805,[1]تیر!$O$2:$O$805,7502,[1]تیر!$D$2:$D$805,$F$28,[1]تیر!$AC$2:$AC$805,S3)</f>
        <v>11</v>
      </c>
      <c r="T28" s="169">
        <f>SUMIFS([1]تیر!$AF$2:$AF$805,[1]تیر!$O$2:$O$805,7502,[1]تیر!$D$2:$D$805,$F$28,[1]تیر!$AC$2:$AC$805,T3)</f>
        <v>7.5</v>
      </c>
      <c r="U28" s="107">
        <f>SUMIFS([1]تیر!$AF$2:$AF$805,[1]تیر!$O$2:$O$805,7502,[1]تیر!$D$2:$D$805,$F$28,[1]تیر!$AC$2:$AC$805,U3)</f>
        <v>0</v>
      </c>
    </row>
    <row r="29" spans="1:21" ht="43.5" customHeight="1" x14ac:dyDescent="0.25">
      <c r="A29" s="568">
        <v>13</v>
      </c>
      <c r="B29" s="146" t="s">
        <v>25</v>
      </c>
      <c r="C29" s="95">
        <v>7502</v>
      </c>
      <c r="D29" s="545">
        <v>62.5</v>
      </c>
      <c r="E29" s="936"/>
      <c r="F29" s="22"/>
      <c r="G29" s="3">
        <f t="shared" si="0"/>
        <v>0</v>
      </c>
      <c r="H29" s="47">
        <f t="shared" si="1"/>
        <v>0</v>
      </c>
      <c r="I29" s="3">
        <v>0</v>
      </c>
      <c r="J29" s="3">
        <v>0</v>
      </c>
      <c r="K29" s="3">
        <v>0</v>
      </c>
      <c r="L29" s="3">
        <v>0</v>
      </c>
      <c r="M29" s="4">
        <f>SUM(G28:L30)-D29</f>
        <v>-2</v>
      </c>
      <c r="N29" s="929"/>
      <c r="O29" s="293">
        <f>SUMIFS([1]اردیبهشت!$AD$2:$AD$805,[1]اردیبهشت!$N$2:$N$805,$C$29,[1]اردیبهشت!$D$2:$D$805,$F$29,[1]اردیبهشت!$AA$2:$AA$805,O3)</f>
        <v>0</v>
      </c>
      <c r="P29" s="168">
        <f>SUMIFS([1]اردیبهشت!$AD$2:$AD$805,[1]اردیبهشت!$N$2:$N$805,$C$29,[1]اردیبهشت!$D$2:$D$805,$F$29,[1]اردیبهشت!$AA$2:$AA$805,P3)</f>
        <v>0</v>
      </c>
      <c r="Q29" s="168">
        <f>SUMIFS([1]اردیبهشت!$AD$2:$AD$805,[1]اردیبهشت!$N$2:$N$805,$C$29,[1]اردیبهشت!$D$2:$D$805,$F$29,[1]اردیبهشت!$AA$2:$AA$805,Q3)</f>
        <v>0</v>
      </c>
      <c r="R29" s="168">
        <f>SUMIFS([1]اردیبهشت!$AD$2:$AD$805,[1]اردیبهشت!$N$2:$N$805,$C$29,[1]اردیبهشت!$D$2:$D$805,$F$29,[1]اردیبهشت!$AA$2:$AA$805,R3)</f>
        <v>0</v>
      </c>
      <c r="S29" s="168">
        <f>SUMIFS([1]اردیبهشت!$AD$2:$AD$805,[1]اردیبهشت!$N$2:$N$805,$C$29,[1]اردیبهشت!$D$2:$D$805,$F$29,[1]اردیبهشت!$AA$2:$AA$805,S3)</f>
        <v>0</v>
      </c>
      <c r="T29" s="168">
        <f>SUMIFS([1]اردیبهشت!$AD$2:$AD$805,[1]اردیبهشت!$N$2:$N$805,$C$29,[1]اردیبهشت!$D$2:$D$805,$F$29,[1]اردیبهشت!$AA$2:$AA$805,T3)</f>
        <v>0</v>
      </c>
      <c r="U29" s="108">
        <f>SUMIFS([1]خرداد!$AF$2:$AF$700,[1]خرداد!$O$2:$O$700,7101,[1]خرداد!$D$2:$D$700,$F$4,[1]خرداد!$AC$2:$AC$700,U28)</f>
        <v>0</v>
      </c>
    </row>
    <row r="30" spans="1:21" ht="43.5" customHeight="1" thickBot="1" x14ac:dyDescent="0.3">
      <c r="A30" s="569"/>
      <c r="B30" s="310"/>
      <c r="C30" s="549"/>
      <c r="D30" s="549"/>
      <c r="E30" s="937"/>
      <c r="F30" s="5"/>
      <c r="G30" s="6">
        <f t="shared" si="0"/>
        <v>0</v>
      </c>
      <c r="H30" s="64">
        <f t="shared" si="1"/>
        <v>0</v>
      </c>
      <c r="I30" s="7">
        <v>0</v>
      </c>
      <c r="J30" s="7">
        <v>0</v>
      </c>
      <c r="K30" s="6">
        <v>0</v>
      </c>
      <c r="L30" s="6">
        <v>0</v>
      </c>
      <c r="M30" s="6"/>
      <c r="N30" s="930"/>
      <c r="O30" s="352">
        <f>SUMIFS([1]اردیبهشت!$AD$2:$AD$805,[1]اردیبهشت!$N$2:$N$805,$C$29,[1]اردیبهشت!$D$2:$D$805,$F$30,[1]اردیبهشت!$AA$2:$AA$805,O3)</f>
        <v>0</v>
      </c>
      <c r="P30" s="175">
        <f>SUMIFS([1]اردیبهشت!$AD$2:$AD$805,[1]اردیبهشت!$N$2:$N$805,$C$29,[1]اردیبهشت!$D$2:$D$805,$F$30,[1]اردیبهشت!$AA$2:$AA$805,P3)</f>
        <v>0</v>
      </c>
      <c r="Q30" s="175">
        <f>SUMIFS([1]اردیبهشت!$AD$2:$AD$805,[1]اردیبهشت!$N$2:$N$805,$C$29,[1]اردیبهشت!$D$2:$D$805,$F$30,[1]اردیبهشت!$AA$2:$AA$805,Q3)</f>
        <v>0</v>
      </c>
      <c r="R30" s="175">
        <f>SUMIFS([1]اردیبهشت!$AD$2:$AD$805,[1]اردیبهشت!$N$2:$N$805,$C$29,[1]اردیبهشت!$D$2:$D$805,$F$30,[1]اردیبهشت!$AA$2:$AA$805,R3)</f>
        <v>0</v>
      </c>
      <c r="S30" s="175">
        <f>SUMIFS([1]اردیبهشت!$AD$2:$AD$805,[1]اردیبهشت!$N$2:$N$805,$C$29,[1]اردیبهشت!$D$2:$D$805,$F$30,[1]اردیبهشت!$AA$2:$AA$805,S3)</f>
        <v>0</v>
      </c>
      <c r="T30" s="175">
        <f>SUMIFS([1]اردیبهشت!$AD$2:$AD$805,[1]اردیبهشت!$N$2:$N$805,$C$29,[1]اردیبهشت!$D$2:$D$805,$F$30,[1]اردیبهشت!$AA$2:$AA$805,T3)</f>
        <v>0</v>
      </c>
      <c r="U30" s="114">
        <f>SUMIFS([1]خرداد!$AF$2:$AF$700,[1]خرداد!$O$2:$O$700,7101,[1]خرداد!$D$2:$D$700,$F$4,[1]خرداد!$AC$2:$AC$700,U29)</f>
        <v>0</v>
      </c>
    </row>
    <row r="31" spans="1:21" ht="43.5" customHeight="1" x14ac:dyDescent="0.25">
      <c r="A31" s="939">
        <v>14</v>
      </c>
      <c r="B31" s="83" t="s">
        <v>26</v>
      </c>
      <c r="C31" s="538">
        <v>7601</v>
      </c>
      <c r="D31" s="538">
        <v>72</v>
      </c>
      <c r="E31" s="914" t="s">
        <v>15</v>
      </c>
      <c r="F31" s="84" t="s">
        <v>27</v>
      </c>
      <c r="G31" s="85">
        <f t="shared" si="0"/>
        <v>62</v>
      </c>
      <c r="H31" s="86">
        <f t="shared" si="1"/>
        <v>0</v>
      </c>
      <c r="I31" s="85">
        <v>0</v>
      </c>
      <c r="J31" s="85">
        <v>0</v>
      </c>
      <c r="K31" s="85">
        <v>0</v>
      </c>
      <c r="L31" s="85">
        <v>0</v>
      </c>
      <c r="M31" s="87">
        <f>(J31+J32+I32+I31+H31+H32+G32+G31+L31+K31)-D31</f>
        <v>-10</v>
      </c>
      <c r="N31" s="941"/>
      <c r="O31" s="298">
        <f>SUMIFS([1]تیر!$AF$2:$AF$805,[1]تیر!$O$2:$O$805,7601,[1]تیر!$D$2:$D$805,$F$31,[1]تیر!$AC$2:$AC$805,O3)</f>
        <v>12</v>
      </c>
      <c r="P31" s="188">
        <f>SUMIFS([1]تیر!$AF$2:$AF$805,[1]تیر!$O$2:$O$805,7601,[1]تیر!$D$2:$D$805,$F$31,[1]تیر!$AC$2:$AC$805,P3)</f>
        <v>10</v>
      </c>
      <c r="Q31" s="188">
        <f>SUMIFS([1]تیر!$AF$2:$AF$805,[1]تیر!$O$2:$O$805,7601,[1]تیر!$D$2:$D$805,$F$31,[1]تیر!$AC$2:$AC$805,Q3)</f>
        <v>10</v>
      </c>
      <c r="R31" s="188">
        <f>SUMIFS([1]تیر!$AF$2:$AF$805,[1]تیر!$O$2:$O$805,7601,[1]تیر!$D$2:$D$805,$F$31,[1]تیر!$AC$2:$AC$805,R3)</f>
        <v>12</v>
      </c>
      <c r="S31" s="188">
        <f>SUMIFS([1]تیر!$AF$2:$AF$805,[1]تیر!$O$2:$O$805,7601,[1]تیر!$D$2:$D$805,$F$31,[1]تیر!$AC$2:$AC$805,S3)</f>
        <v>12</v>
      </c>
      <c r="T31" s="188">
        <f>SUMIFS([1]تیر!$AF$2:$AF$805,[1]تیر!$O$2:$O$805,7601,[1]تیر!$D$2:$D$805,$F$31,[1]تیر!$AC$2:$AC$805,T3)</f>
        <v>6</v>
      </c>
      <c r="U31" s="128">
        <f>SUMIFS([1]تیر!$AF$2:$AF$805,[1]تیر!$O$2:$O$805,7601,[1]تیر!$D$2:$D$805,$F$31,[1]تیر!$AC$2:$AC$805,U3)</f>
        <v>0</v>
      </c>
    </row>
    <row r="32" spans="1:21" ht="43.5" customHeight="1" thickBot="1" x14ac:dyDescent="0.3">
      <c r="A32" s="940"/>
      <c r="B32" s="123"/>
      <c r="C32" s="539"/>
      <c r="D32" s="539"/>
      <c r="E32" s="915"/>
      <c r="F32" s="124"/>
      <c r="G32" s="93">
        <f t="shared" si="0"/>
        <v>0</v>
      </c>
      <c r="H32" s="92">
        <f t="shared" si="1"/>
        <v>0</v>
      </c>
      <c r="I32" s="125">
        <v>0</v>
      </c>
      <c r="J32" s="125">
        <v>0</v>
      </c>
      <c r="K32" s="126">
        <v>0</v>
      </c>
      <c r="L32" s="126">
        <v>0</v>
      </c>
      <c r="M32" s="127"/>
      <c r="N32" s="917"/>
      <c r="O32" s="584">
        <f>SUMIFS([1]اردیبهشت!$AD$2:$AD$805,[1]اردیبهشت!$N$2:$N$805,$C$31,[1]اردیبهشت!$D$2:$D$805,$F$32,[1]اردیبهشت!$AA$2:$AA$805,O3)</f>
        <v>0</v>
      </c>
      <c r="P32" s="191">
        <f>SUMIFS([1]اردیبهشت!$AD$2:$AD$600,[1]اردیبهشت!$N$2:$N$600,$C$31,[1]اردیبهشت!$D$2:$D$600,$F$32,[1]اردیبهشت!$AA$2:$AA$600,P3)</f>
        <v>0</v>
      </c>
      <c r="Q32" s="191">
        <f>SUMIFS([1]اردیبهشت!$AD$2:$AD$600,[1]اردیبهشت!$N$2:$N$600,$C$31,[1]اردیبهشت!$D$2:$D$600,$F$32,[1]اردیبهشت!$AA$2:$AA$600,Q3)</f>
        <v>0</v>
      </c>
      <c r="R32" s="191">
        <f>SUMIFS([1]اردیبهشت!$AD$2:$AD$600,[1]اردیبهشت!$N$2:$N$600,$C$31,[1]اردیبهشت!$D$2:$D$600,$F$32,[1]اردیبهشت!$AA$2:$AA$600,R3)</f>
        <v>0</v>
      </c>
      <c r="S32" s="191">
        <f>SUMIFS([1]اردیبهشت!$AD$2:$AD$600,[1]اردیبهشت!$N$2:$N$600,$C$31,[1]اردیبهشت!$D$2:$D$600,$F$32,[1]اردیبهشت!$AA$2:$AA$600,S3)</f>
        <v>0</v>
      </c>
      <c r="T32" s="191">
        <f>SUMIFS([1]اردیبهشت!$AD$2:$AD$600,[1]اردیبهشت!$N$2:$N$600,$C$31,[1]اردیبهشت!$D$2:$D$600,$F$32,[1]اردیبهشت!$AA$2:$AA$600,T3)</f>
        <v>0</v>
      </c>
      <c r="U32" s="114">
        <f>SUMIFS([1]خرداد!$AF$2:$AF$700,[1]خرداد!$O$2:$O$700,7101,[1]خرداد!$D$2:$D$700,$F$4,[1]خرداد!$AC$2:$AC$700,U31)</f>
        <v>0</v>
      </c>
    </row>
    <row r="33" spans="1:21" ht="43.5" customHeight="1" x14ac:dyDescent="0.25">
      <c r="A33" s="912">
        <v>15</v>
      </c>
      <c r="B33" s="83" t="s">
        <v>26</v>
      </c>
      <c r="C33" s="538">
        <v>7602</v>
      </c>
      <c r="D33" s="538">
        <v>72</v>
      </c>
      <c r="E33" s="914" t="s">
        <v>15</v>
      </c>
      <c r="F33" s="84" t="s">
        <v>27</v>
      </c>
      <c r="G33" s="573">
        <f t="shared" si="0"/>
        <v>62</v>
      </c>
      <c r="H33" s="46">
        <f t="shared" si="1"/>
        <v>0</v>
      </c>
      <c r="I33" s="85">
        <v>2</v>
      </c>
      <c r="J33" s="85">
        <v>0</v>
      </c>
      <c r="K33" s="85">
        <v>0</v>
      </c>
      <c r="L33" s="85">
        <v>0</v>
      </c>
      <c r="M33" s="87">
        <f>(J33+J34+I34+I33+H33+H34+G34+G33)-D33</f>
        <v>-8</v>
      </c>
      <c r="N33" s="916" t="s">
        <v>29</v>
      </c>
      <c r="O33" s="292">
        <f>SUMIFS([1]تیر!$AF$2:$AF$805,[1]تیر!$O$2:$O$805,7602,[1]تیر!$D$2:$D$805,$F$33,[1]تیر!$AC$2:$AC$805,O3)</f>
        <v>12</v>
      </c>
      <c r="P33" s="169">
        <f>SUMIFS([1]تیر!$AF$2:$AF$805,[1]تیر!$O$2:$O$805,7602,[1]تیر!$D$2:$D$805,$F$33,[1]تیر!$AC$2:$AC$805,P3)</f>
        <v>10</v>
      </c>
      <c r="Q33" s="169">
        <f>SUMIFS([1]تیر!$AF$2:$AF$805,[1]تیر!$O$2:$O$805,7602,[1]تیر!$D$2:$D$805,$F$33,[1]تیر!$AC$2:$AC$805,Q3)</f>
        <v>10</v>
      </c>
      <c r="R33" s="169">
        <f>SUMIFS([1]تیر!$AF$2:$AF$805,[1]تیر!$O$2:$O$805,7602,[1]تیر!$D$2:$D$805,$F$33,[1]تیر!$AC$2:$AC$805,R3)</f>
        <v>12</v>
      </c>
      <c r="S33" s="169">
        <f>SUMIFS([1]تیر!$AF$2:$AF$805,[1]تیر!$O$2:$O$805,7602,[1]تیر!$D$2:$D$805,$F$33,[1]تیر!$AC$2:$AC$805,S3)</f>
        <v>12</v>
      </c>
      <c r="T33" s="169">
        <f>SUMIFS([1]تیر!$AF$2:$AF$805,[1]تیر!$O$2:$O$805,7602,[1]تیر!$D$2:$D$805,$F$33,[1]تیر!$AC$2:$AC$805,T3)</f>
        <v>6</v>
      </c>
      <c r="U33" s="107">
        <f>SUMIFS([1]تیر!$AF$2:$AF$805,[1]تیر!$O$2:$O$805,7602,[1]تیر!$D$2:$D$805,$F$33,[1]تیر!$AC$2:$AC$805,U3)</f>
        <v>0</v>
      </c>
    </row>
    <row r="34" spans="1:21" ht="43.5" customHeight="1" thickBot="1" x14ac:dyDescent="0.3">
      <c r="A34" s="913"/>
      <c r="B34" s="123"/>
      <c r="C34" s="539"/>
      <c r="D34" s="539"/>
      <c r="E34" s="915"/>
      <c r="F34" s="124"/>
      <c r="G34" s="6">
        <f t="shared" si="0"/>
        <v>0</v>
      </c>
      <c r="H34" s="64">
        <f t="shared" si="1"/>
        <v>0</v>
      </c>
      <c r="I34" s="125">
        <v>0</v>
      </c>
      <c r="J34" s="125">
        <v>0</v>
      </c>
      <c r="K34" s="126">
        <v>0</v>
      </c>
      <c r="L34" s="126">
        <v>0</v>
      </c>
      <c r="M34" s="127"/>
      <c r="N34" s="917"/>
      <c r="O34" s="352">
        <f>SUMIFS([1]اردیبهشت!$AD$2:$AD$805,[1]اردیبهشت!$N$2:$N$805,$C$33,[1]اردیبهشت!$D$2:$D$805,$F$34,[1]اردیبهشت!$AA$2:$AA$805,O3)</f>
        <v>0</v>
      </c>
      <c r="P34" s="175">
        <f>SUMIFS([1]اردیبهشت!$AD$2:$AD$600,[1]اردیبهشت!$N$2:$N$600,$C$33,[1]اردیبهشت!$D$2:$D$600,$F$34,[1]اردیبهشت!$AA$2:$AA$600,P3)</f>
        <v>0</v>
      </c>
      <c r="Q34" s="175">
        <f>SUMIFS([1]اردیبهشت!$AD$2:$AD$600,[1]اردیبهشت!$N$2:$N$600,$C$33,[1]اردیبهشت!$D$2:$D$600,$F$34,[1]اردیبهشت!$AA$2:$AA$600,Q3)</f>
        <v>0</v>
      </c>
      <c r="R34" s="175">
        <f>SUMIFS([1]اردیبهشت!$AD$2:$AD$600,[1]اردیبهشت!$N$2:$N$600,$C$33,[1]اردیبهشت!$D$2:$D$600,$F$34,[1]اردیبهشت!$AA$2:$AA$600,R3)</f>
        <v>0</v>
      </c>
      <c r="S34" s="175">
        <f>SUMIFS([1]اردیبهشت!$AD$2:$AD$600,[1]اردیبهشت!$N$2:$N$600,$C$33,[1]اردیبهشت!$D$2:$D$600,$F$34,[1]اردیبهشت!$AA$2:$AA$600,S3)</f>
        <v>0</v>
      </c>
      <c r="T34" s="175">
        <f>SUMIFS([1]اردیبهشت!$AD$2:$AD$600,[1]اردیبهشت!$N$2:$N$600,$C$33,[1]اردیبهشت!$D$2:$D$600,$F$34,[1]اردیبهشت!$AA$2:$AA$600,T3)</f>
        <v>0</v>
      </c>
      <c r="U34" s="114">
        <f>SUMIFS([1]خرداد!$AF$2:$AF$700,[1]خرداد!$O$2:$O$700,7101,[1]خرداد!$D$2:$D$700,$F$4,[1]خرداد!$AC$2:$AC$700,U33)</f>
        <v>0</v>
      </c>
    </row>
    <row r="35" spans="1:21" ht="42.75" customHeight="1" x14ac:dyDescent="0.25">
      <c r="A35" s="912">
        <v>16</v>
      </c>
      <c r="B35" s="555" t="s">
        <v>26</v>
      </c>
      <c r="C35" s="548">
        <v>7603</v>
      </c>
      <c r="D35" s="548">
        <v>72</v>
      </c>
      <c r="E35" s="943" t="s">
        <v>15</v>
      </c>
      <c r="F35" s="84" t="s">
        <v>27</v>
      </c>
      <c r="G35" s="573">
        <f t="shared" si="0"/>
        <v>57</v>
      </c>
      <c r="H35" s="46">
        <f t="shared" si="1"/>
        <v>0</v>
      </c>
      <c r="I35" s="573">
        <v>2</v>
      </c>
      <c r="J35" s="573">
        <v>0</v>
      </c>
      <c r="K35" s="573">
        <v>0</v>
      </c>
      <c r="L35" s="573">
        <v>0</v>
      </c>
      <c r="M35" s="23">
        <f>(J35+J36+I36+I35+H35+H36+G36+G35+L35+L36)-D35</f>
        <v>-13</v>
      </c>
      <c r="N35" s="945" t="s">
        <v>29</v>
      </c>
      <c r="O35" s="292">
        <f>SUMIFS([1]تیر!$AF$2:$AF$805,[1]تیر!$O$2:$O$805,7603,[1]تیر!$D$2:$D$805,$F$35,[1]تیر!$AC$2:$AC$805,O3)</f>
        <v>9</v>
      </c>
      <c r="P35" s="169">
        <f>SUMIFS([1]تیر!$AF$2:$AF$805,[1]تیر!$O$2:$O$805,7603,[1]تیر!$D$2:$D$805,$F$35,[1]تیر!$AC$2:$AC$805,P3)</f>
        <v>10</v>
      </c>
      <c r="Q35" s="169">
        <f>SUMIFS([1]تیر!$AF$2:$AF$805,[1]تیر!$O$2:$O$805,7603,[1]تیر!$D$2:$D$805,$F$35,[1]تیر!$AC$2:$AC$805,Q3)</f>
        <v>10</v>
      </c>
      <c r="R35" s="169">
        <f>SUMIFS([1]تیر!$AF$2:$AF$805,[1]تیر!$O$2:$O$805,7603,[1]تیر!$D$2:$D$805,$F$35,[1]تیر!$AC$2:$AC$805,R3)</f>
        <v>10</v>
      </c>
      <c r="S35" s="169">
        <f>SUMIFS([1]تیر!$AF$2:$AF$805,[1]تیر!$O$2:$O$805,7603,[1]تیر!$D$2:$D$805,$F$35,[1]تیر!$AC$2:$AC$805,S3)</f>
        <v>12</v>
      </c>
      <c r="T35" s="169">
        <f>SUMIFS([1]تیر!$AF$2:$AF$805,[1]تیر!$O$2:$O$805,7603,[1]تیر!$D$2:$D$805,$F$35,[1]تیر!$AC$2:$AC$805,T3)</f>
        <v>6</v>
      </c>
      <c r="U35" s="107">
        <f>SUMIFS([1]تیر!$AF$2:$AF$805,[1]تیر!$O$2:$O$805,7603,[1]تیر!$D$2:$D$805,$F$35,[1]تیر!$AC$2:$AC$805,U3)</f>
        <v>0</v>
      </c>
    </row>
    <row r="36" spans="1:21" ht="42.75" customHeight="1" thickBot="1" x14ac:dyDescent="0.3">
      <c r="A36" s="942"/>
      <c r="B36" s="556"/>
      <c r="C36" s="549"/>
      <c r="D36" s="549"/>
      <c r="E36" s="944"/>
      <c r="F36" s="5"/>
      <c r="G36" s="1">
        <f t="shared" si="0"/>
        <v>0</v>
      </c>
      <c r="H36" s="49">
        <f t="shared" si="1"/>
        <v>0</v>
      </c>
      <c r="I36" s="7">
        <v>0</v>
      </c>
      <c r="J36" s="7">
        <v>0</v>
      </c>
      <c r="K36" s="6">
        <v>0</v>
      </c>
      <c r="L36" s="6">
        <v>0</v>
      </c>
      <c r="M36" s="8"/>
      <c r="N36" s="946"/>
      <c r="O36" s="294">
        <f>SUMIFS([1]اردیبهشت!$AD$2:$AD$805,[1]اردیبهشت!$N$2:$N$805,$C$35,[1]اردیبهشت!$D$2:$D$805,$F$36,[1]اردیبهشت!$AA$2:$AA$805,O3)</f>
        <v>0</v>
      </c>
      <c r="P36" s="172">
        <f>SUMIFS([1]اردیبهشت!$AD$2:$AD$600,[1]اردیبهشت!$N$2:$N$600,$C$35,[1]اردیبهشت!$D$2:$D$600,$F$36,[1]اردیبهشت!$AA$2:$AA$600,P3)</f>
        <v>0</v>
      </c>
      <c r="Q36" s="172">
        <f>SUMIFS([1]اردیبهشت!$AD$2:$AD$600,[1]اردیبهشت!$N$2:$N$600,$C$35,[1]اردیبهشت!$D$2:$D$600,$F$36,[1]اردیبهشت!$AA$2:$AA$600,Q3)</f>
        <v>0</v>
      </c>
      <c r="R36" s="172">
        <f>SUMIFS([1]اردیبهشت!$AD$2:$AD$600,[1]اردیبهشت!$N$2:$N$600,$C$35,[1]اردیبهشت!$D$2:$D$600,$F$36,[1]اردیبهشت!$AA$2:$AA$600,R3)</f>
        <v>0</v>
      </c>
      <c r="S36" s="172">
        <f>SUMIFS([1]اردیبهشت!$AD$2:$AD$600,[1]اردیبهشت!$N$2:$N$600,$C$35,[1]اردیبهشت!$D$2:$D$600,$F$36,[1]اردیبهشت!$AA$2:$AA$600,S3)</f>
        <v>0</v>
      </c>
      <c r="T36" s="172">
        <f>SUMIFS([1]اردیبهشت!$AD$2:$AD$600,[1]اردیبهشت!$N$2:$N$600,$C$35,[1]اردیبهشت!$D$2:$D$600,$F$36,[1]اردیبهشت!$AA$2:$AA$600,T3)</f>
        <v>0</v>
      </c>
      <c r="U36" s="109">
        <f>SUMIFS([1]خرداد!$AF$2:$AF$700,[1]خرداد!$O$2:$O$700,7101,[1]خرداد!$D$2:$D$700,$F$4,[1]خرداد!$AC$2:$AC$700,U35)</f>
        <v>0</v>
      </c>
    </row>
    <row r="37" spans="1:21" ht="42.75" customHeight="1" x14ac:dyDescent="0.25">
      <c r="A37" s="912">
        <v>17</v>
      </c>
      <c r="B37" s="81" t="s">
        <v>26</v>
      </c>
      <c r="C37" s="90">
        <v>7604</v>
      </c>
      <c r="D37" s="551">
        <v>72</v>
      </c>
      <c r="E37" s="947" t="s">
        <v>19</v>
      </c>
      <c r="F37" s="79"/>
      <c r="G37" s="573" t="s">
        <v>83</v>
      </c>
      <c r="H37" s="46">
        <f t="shared" si="1"/>
        <v>0</v>
      </c>
      <c r="I37" s="80">
        <v>0</v>
      </c>
      <c r="J37" s="80">
        <v>72</v>
      </c>
      <c r="K37" s="80">
        <v>0</v>
      </c>
      <c r="L37" s="80">
        <v>0</v>
      </c>
      <c r="M37" s="60"/>
      <c r="N37" s="949" t="s">
        <v>28</v>
      </c>
      <c r="O37" s="390"/>
      <c r="P37" s="204"/>
      <c r="Q37" s="204"/>
      <c r="R37" s="204"/>
      <c r="S37" s="204"/>
      <c r="T37" s="204"/>
      <c r="U37" s="116"/>
    </row>
    <row r="38" spans="1:21" ht="42.75" customHeight="1" thickBot="1" x14ac:dyDescent="0.3">
      <c r="A38" s="913"/>
      <c r="B38" s="562"/>
      <c r="C38" s="309"/>
      <c r="D38" s="558"/>
      <c r="E38" s="948"/>
      <c r="F38" s="24"/>
      <c r="G38" s="1">
        <f t="shared" si="0"/>
        <v>0</v>
      </c>
      <c r="H38" s="49">
        <f t="shared" si="1"/>
        <v>0</v>
      </c>
      <c r="I38" s="25">
        <v>0</v>
      </c>
      <c r="J38" s="25">
        <v>0</v>
      </c>
      <c r="K38" s="4">
        <v>0</v>
      </c>
      <c r="L38" s="4">
        <v>0</v>
      </c>
      <c r="M38" s="60"/>
      <c r="N38" s="950"/>
      <c r="O38" s="391"/>
      <c r="P38" s="194"/>
      <c r="Q38" s="194"/>
      <c r="R38" s="194"/>
      <c r="S38" s="194"/>
      <c r="T38" s="194"/>
      <c r="U38" s="117"/>
    </row>
    <row r="39" spans="1:21" ht="42.75" customHeight="1" x14ac:dyDescent="0.25">
      <c r="A39" s="954">
        <v>18</v>
      </c>
      <c r="B39" s="83" t="s">
        <v>26</v>
      </c>
      <c r="C39" s="538">
        <v>7605</v>
      </c>
      <c r="D39" s="538">
        <v>72</v>
      </c>
      <c r="E39" s="914" t="s">
        <v>15</v>
      </c>
      <c r="F39" s="84" t="s">
        <v>27</v>
      </c>
      <c r="G39" s="85">
        <f t="shared" si="0"/>
        <v>58</v>
      </c>
      <c r="H39" s="86">
        <f t="shared" si="1"/>
        <v>0</v>
      </c>
      <c r="I39" s="85">
        <v>2</v>
      </c>
      <c r="J39" s="85">
        <v>0</v>
      </c>
      <c r="K39" s="85">
        <v>0</v>
      </c>
      <c r="L39" s="153">
        <v>0</v>
      </c>
      <c r="M39" s="87">
        <f>(G39+H39+I39+J39+K39+L39)-D39</f>
        <v>-12</v>
      </c>
      <c r="N39" s="955" t="s">
        <v>29</v>
      </c>
      <c r="O39" s="298">
        <f>SUMIFS([1]تیر!$AF$2:$AF$805,[1]تیر!$O$2:$O$805,7605,[1]تیر!$D$2:$D$805,$F$39,[1]تیر!$AC$2:$AC$805,O3)</f>
        <v>12</v>
      </c>
      <c r="P39" s="188">
        <f>SUMIFS([1]تیر!$AF$2:$AF$805,[1]تیر!$O$2:$O$805,7605,[1]تیر!$D$2:$D$805,$F$39,[1]تیر!$AC$2:$AC$805,P3)</f>
        <v>10</v>
      </c>
      <c r="Q39" s="188">
        <f>SUMIFS([1]تیر!$AF$2:$AF$805,[1]تیر!$O$2:$O$805,7605,[1]تیر!$D$2:$D$805,$F$39,[1]تیر!$AC$2:$AC$805,Q3)</f>
        <v>10</v>
      </c>
      <c r="R39" s="188">
        <f>SUMIFS([1]تیر!$AF$2:$AF$805,[1]تیر!$O$2:$O$805,7605,[1]تیر!$D$2:$D$805,$F$39,[1]تیر!$AC$2:$AC$805,R3)</f>
        <v>12</v>
      </c>
      <c r="S39" s="188">
        <f>SUMIFS([1]تیر!$AF$2:$AF$805,[1]تیر!$O$2:$O$805,7605,[1]تیر!$D$2:$D$805,$F$39,[1]تیر!$AC$2:$AC$805,S3)</f>
        <v>8</v>
      </c>
      <c r="T39" s="188">
        <f>SUMIFS([1]تیر!$AF$2:$AF$805,[1]تیر!$O$2:$O$805,7605,[1]تیر!$D$2:$D$805,$F$39,[1]تیر!$AC$2:$AC$805,T3)</f>
        <v>6</v>
      </c>
      <c r="U39" s="128">
        <f>SUMIFS([1]تیر!$AF$2:$AF$805,[1]تیر!$O$2:$O$805,7605,[1]تیر!$D$2:$D$805,$F$39,[1]تیر!$AC$2:$AC$805,U3)</f>
        <v>0</v>
      </c>
    </row>
    <row r="40" spans="1:21" ht="42.75" customHeight="1" thickBot="1" x14ac:dyDescent="0.3">
      <c r="A40" s="942"/>
      <c r="B40" s="589"/>
      <c r="C40" s="572"/>
      <c r="D40" s="572"/>
      <c r="E40" s="997"/>
      <c r="F40" s="461"/>
      <c r="G40" s="89">
        <f t="shared" si="0"/>
        <v>0</v>
      </c>
      <c r="H40" s="286">
        <f t="shared" si="1"/>
        <v>0</v>
      </c>
      <c r="I40" s="462">
        <v>0</v>
      </c>
      <c r="J40" s="462">
        <v>0</v>
      </c>
      <c r="K40" s="89">
        <v>0</v>
      </c>
      <c r="L40" s="89">
        <v>0</v>
      </c>
      <c r="M40" s="94"/>
      <c r="N40" s="998"/>
      <c r="O40" s="584">
        <f>SUMIFS([1]اردیبهشت!$AD$2:$AD$805,[1]اردیبهشت!$N$2:$N$805,$C$39,[1]اردیبهشت!$D$2:$D$805,$F$40,[1]اردیبهشت!$AA$2:$AA$805,O3)</f>
        <v>0</v>
      </c>
      <c r="P40" s="191">
        <f>SUMIFS([1]اردیبهشت!$AD$2:$AD$600,[1]اردیبهشت!$N$2:$N$600,$C$39,[1]اردیبهشت!$D$2:$D$600,$F$40,[1]اردیبهشت!$AA$2:$AA$600,P3)</f>
        <v>0</v>
      </c>
      <c r="Q40" s="191">
        <f>SUMIFS([1]اردیبهشت!$AD$2:$AD$600,[1]اردیبهشت!$N$2:$N$600,$C$39,[1]اردیبهشت!$D$2:$D$600,$F$40,[1]اردیبهشت!$AA$2:$AA$600,Q3)</f>
        <v>0</v>
      </c>
      <c r="R40" s="191">
        <f>SUMIFS([1]اردیبهشت!$AD$2:$AD$600,[1]اردیبهشت!$N$2:$N$600,$C$39,[1]اردیبهشت!$D$2:$D$600,$F$40,[1]اردیبهشت!$AA$2:$AA$600,R3)</f>
        <v>0</v>
      </c>
      <c r="S40" s="191">
        <f>SUMIFS([1]اردیبهشت!$AD$2:$AD$600,[1]اردیبهشت!$N$2:$N$600,$C$39,[1]اردیبهشت!$D$2:$D$600,$F$40,[1]اردیبهشت!$AA$2:$AA$600,S3)</f>
        <v>0</v>
      </c>
      <c r="T40" s="191">
        <f>SUMIFS([1]اردیبهشت!$AD$2:$AD$600,[1]اردیبهشت!$N$2:$N$600,$C$39,[1]اردیبهشت!$D$2:$D$600,$F$40,[1]اردیبهشت!$AA$2:$AA$600,T3)</f>
        <v>0</v>
      </c>
      <c r="U40" s="115">
        <f>SUMIFS([1]اردیبهشت!$AD$2:$AD$600,[1]اردیبهشت!$N$2:$N$600,$C$39,[1]اردیبهشت!$D$2:$D$600,$F$40,[1]اردیبهشت!$AA$2:$AA$600,U3)</f>
        <v>0</v>
      </c>
    </row>
    <row r="41" spans="1:21" ht="39" customHeight="1" x14ac:dyDescent="0.25">
      <c r="A41" s="567"/>
      <c r="B41" s="307"/>
      <c r="C41" s="548"/>
      <c r="D41" s="548"/>
      <c r="E41" s="932" t="s">
        <v>15</v>
      </c>
      <c r="F41" s="84" t="s">
        <v>27</v>
      </c>
      <c r="G41" s="573">
        <f t="shared" si="0"/>
        <v>0</v>
      </c>
      <c r="H41" s="46">
        <f t="shared" si="1"/>
        <v>0</v>
      </c>
      <c r="I41" s="573">
        <v>0</v>
      </c>
      <c r="J41" s="573">
        <v>0</v>
      </c>
      <c r="K41" s="573">
        <v>0</v>
      </c>
      <c r="L41" s="573">
        <v>0</v>
      </c>
      <c r="M41" s="28"/>
      <c r="N41" s="945" t="s">
        <v>13</v>
      </c>
      <c r="O41" s="292">
        <f>SUMIFS([1]تیر!$AF$2:$AF$805,[1]تیر!$O$2:$O$805,7701,[1]تیر!$D$2:$D$805,$F$41,[1]تیر!$AC$2:$AC$805,O3)</f>
        <v>0</v>
      </c>
      <c r="P41" s="169">
        <f>SUMIFS([1]تیر!$AF$2:$AF$805,[1]تیر!$O$2:$O$805,7701,[1]تیر!$D$2:$D$805,$F$41,[1]تیر!$AC$2:$AC$805,P3)</f>
        <v>0</v>
      </c>
      <c r="Q41" s="169">
        <f>SUMIFS([1]تیر!$AF$2:$AF$805,[1]تیر!$O$2:$O$805,7701,[1]تیر!$D$2:$D$805,$F$41,[1]تیر!$AC$2:$AC$805,Q3)</f>
        <v>0</v>
      </c>
      <c r="R41" s="169">
        <f>SUMIFS([1]تیر!$AF$2:$AF$805,[1]تیر!$O$2:$O$805,7701,[1]تیر!$D$2:$D$805,$F$41,[1]تیر!$AC$2:$AC$805,R3)</f>
        <v>0</v>
      </c>
      <c r="S41" s="169">
        <f>SUMIFS([1]تیر!$AF$2:$AF$805,[1]تیر!$O$2:$O$805,7701,[1]تیر!$D$2:$D$805,$F$41,[1]تیر!$AC$2:$AC$805,S3)</f>
        <v>0</v>
      </c>
      <c r="T41" s="169">
        <f>SUMIFS([1]تیر!$AF$2:$AF$805,[1]تیر!$O$2:$O$805,7701,[1]تیر!$D$2:$D$805,$F$41,[1]تیر!$AC$2:$AC$805,T3)</f>
        <v>0</v>
      </c>
      <c r="U41" s="107">
        <f>SUMIFS([1]تیر!$AF$2:$AF$805,[1]تیر!$O$2:$O$805,7701,[1]تیر!$D$2:$D$805,$F$41,[1]تیر!$AC$2:$AC$805,U3)</f>
        <v>0</v>
      </c>
    </row>
    <row r="42" spans="1:21" ht="39" customHeight="1" thickBot="1" x14ac:dyDescent="0.3">
      <c r="A42" s="568">
        <v>19</v>
      </c>
      <c r="B42" s="308" t="s">
        <v>30</v>
      </c>
      <c r="C42" s="557">
        <v>7701</v>
      </c>
      <c r="D42" s="557">
        <v>62.5</v>
      </c>
      <c r="E42" s="933"/>
      <c r="F42" s="29"/>
      <c r="G42" s="3">
        <f t="shared" si="0"/>
        <v>0</v>
      </c>
      <c r="H42" s="47">
        <f t="shared" si="1"/>
        <v>0</v>
      </c>
      <c r="I42" s="3">
        <v>0</v>
      </c>
      <c r="J42" s="25">
        <v>0</v>
      </c>
      <c r="K42" s="25">
        <v>0</v>
      </c>
      <c r="L42" s="70">
        <v>0</v>
      </c>
      <c r="M42" s="4">
        <f>(J41+J42+J43+I43+I42+I41+H41+H42+H43+G43+G42+G41)-D42</f>
        <v>-62.5</v>
      </c>
      <c r="N42" s="956"/>
      <c r="O42" s="293">
        <f>SUMIFS([1]اردیبهشت!$AD$2:$AD$805,[1]اردیبهشت!$N$2:$N$805,$C$42,[1]اردیبهشت!$D$2:$D$805,$F$42,[1]اردیبهشت!$AA$2:$AA$805,O3)</f>
        <v>0</v>
      </c>
      <c r="P42" s="168">
        <f>SUMIFS([1]اردیبهشت!$AD$2:$AD$805,[1]اردیبهشت!$N$2:$N$805,$C$42,[1]اردیبهشت!$D$2:$D$805,$F$42,[1]اردیبهشت!$AA$2:$AA$805,P3)</f>
        <v>0</v>
      </c>
      <c r="Q42" s="168">
        <f>SUMIFS([1]اردیبهشت!$AD$2:$AD$805,[1]اردیبهشت!$N$2:$N$805,$C$42,[1]اردیبهشت!$D$2:$D$805,$F$42,[1]اردیبهشت!$AA$2:$AA$805,Q3)</f>
        <v>0</v>
      </c>
      <c r="R42" s="168">
        <f>SUMIFS([1]اردیبهشت!$AD$2:$AD$805,[1]اردیبهشت!$N$2:$N$805,$C$42,[1]اردیبهشت!$D$2:$D$805,$F$42,[1]اردیبهشت!$AA$2:$AA$805,R3)</f>
        <v>0</v>
      </c>
      <c r="S42" s="168">
        <f>SUMIFS([1]اردیبهشت!$AD$2:$AD$805,[1]اردیبهشت!$N$2:$N$805,$C$42,[1]اردیبهشت!$D$2:$D$805,$F$42,[1]اردیبهشت!$AA$2:$AA$805,S3)</f>
        <v>0</v>
      </c>
      <c r="T42" s="168">
        <f>SUMIFS([1]اردیبهشت!$AD$2:$AD$805,[1]اردیبهشت!$N$2:$N$805,$C$42,[1]اردیبهشت!$D$2:$D$805,$F$42,[1]اردیبهشت!$AA$2:$AA$805,T3)</f>
        <v>0</v>
      </c>
      <c r="U42" s="108">
        <f>SUMIFS([1]اردیبهشت!$AD$2:$AD$600,[1]اردیبهشت!$N$2:$N$600,$C$42,[1]اردیبهشت!$D$2:$D$600,$F$42,[1]اردیبهشت!$AA$2:$AA$600,U3)</f>
        <v>0</v>
      </c>
    </row>
    <row r="43" spans="1:21" ht="39" hidden="1" customHeight="1" thickBot="1" x14ac:dyDescent="0.25">
      <c r="A43" s="568"/>
      <c r="B43" s="309"/>
      <c r="C43" s="558"/>
      <c r="D43" s="558"/>
      <c r="E43" s="933"/>
      <c r="F43" s="57"/>
      <c r="G43" s="4">
        <f t="shared" si="0"/>
        <v>0</v>
      </c>
      <c r="H43" s="67">
        <f t="shared" si="1"/>
        <v>0</v>
      </c>
      <c r="I43" s="25">
        <v>0</v>
      </c>
      <c r="J43" s="25">
        <v>0</v>
      </c>
      <c r="K43" s="25">
        <v>0</v>
      </c>
      <c r="L43" s="25">
        <v>0</v>
      </c>
      <c r="M43" s="65"/>
      <c r="N43" s="950"/>
      <c r="O43" s="352">
        <f>SUMIFS([1]اردیبهشت!$AD$2:$AD$805,[1]اردیبهشت!$N$2:$N$805,$C$42,[1]اردیبهشت!$D$2:$D$805,$F$43,[1]اردیبهشت!$AA$2:$AA$805,O3)</f>
        <v>0</v>
      </c>
      <c r="P43" s="175">
        <f>SUMIFS([1]اردیبهشت!$AD$2:$AD$805,[1]اردیبهشت!$N$2:$N$805,$C$42,[1]اردیبهشت!$D$2:$D$805,$F$43,[1]اردیبهشت!$AA$2:$AA$805,P3)</f>
        <v>0</v>
      </c>
      <c r="Q43" s="175">
        <f>SUMIFS([1]اردیبهشت!$AD$2:$AD$805,[1]اردیبهشت!$N$2:$N$805,$C$42,[1]اردیبهشت!$D$2:$D$805,$F$43,[1]اردیبهشت!$AA$2:$AA$805,Q3)</f>
        <v>0</v>
      </c>
      <c r="R43" s="175">
        <f>SUMIFS([1]اردیبهشت!$AD$2:$AD$805,[1]اردیبهشت!$N$2:$N$805,$C$42,[1]اردیبهشت!$D$2:$D$805,$F$43,[1]اردیبهشت!$AA$2:$AA$805,R3)</f>
        <v>0</v>
      </c>
      <c r="S43" s="175">
        <f>SUMIFS([1]اردیبهشت!$AD$2:$AD$805,[1]اردیبهشت!$N$2:$N$805,$C$42,[1]اردیبهشت!$D$2:$D$805,$F$43,[1]اردیبهشت!$AA$2:$AA$805,S3)</f>
        <v>0</v>
      </c>
      <c r="T43" s="175">
        <f>SUMIFS([1]اردیبهشت!$AD$2:$AD$805,[1]اردیبهشت!$N$2:$N$805,$C$42,[1]اردیبهشت!$D$2:$D$805,$F$43,[1]اردیبهشت!$AA$2:$AA$805,T3)</f>
        <v>0</v>
      </c>
      <c r="U43" s="114">
        <f>SUMIFS([1]اردیبهشت!$AD$2:$AD$600,[1]اردیبهشت!$N$2:$N$600,$C$42,[1]اردیبهشت!$D$2:$D$600,$F$43,[1]اردیبهشت!$AA$2:$AA$600,U3)</f>
        <v>0</v>
      </c>
    </row>
    <row r="44" spans="1:21" ht="39" customHeight="1" thickBot="1" x14ac:dyDescent="0.3">
      <c r="A44" s="45">
        <v>20</v>
      </c>
      <c r="B44" s="12" t="s">
        <v>63</v>
      </c>
      <c r="C44" s="13">
        <v>8001</v>
      </c>
      <c r="D44" s="13">
        <v>62.5</v>
      </c>
      <c r="E44" s="13" t="s">
        <v>15</v>
      </c>
      <c r="F44" s="31" t="s">
        <v>54</v>
      </c>
      <c r="G44" s="14">
        <f t="shared" si="0"/>
        <v>2</v>
      </c>
      <c r="H44" s="48">
        <f t="shared" si="1"/>
        <v>0</v>
      </c>
      <c r="I44" s="14">
        <v>0</v>
      </c>
      <c r="J44" s="14">
        <v>0</v>
      </c>
      <c r="K44" s="14">
        <v>0</v>
      </c>
      <c r="L44" s="14">
        <v>0</v>
      </c>
      <c r="M44" s="14">
        <f>SUM(G44:J44)-62</f>
        <v>-60</v>
      </c>
      <c r="N44" s="18" t="s">
        <v>31</v>
      </c>
      <c r="O44" s="297">
        <f>SUMIFS([1]تیر!$AF$2:$AF$805,[1]تیر!$O$2:$O$805,8001,[1]تیر!$D$2:$D$805,$F$44,[1]تیر!$AC$2:$AC$805,O3)</f>
        <v>0</v>
      </c>
      <c r="P44" s="182">
        <f>SUMIFS([1]تیر!$AF$2:$AF$805,[1]تیر!$O$2:$O$805,8001,[1]تیر!$D$2:$D$805,$F$44,[1]تیر!$AC$2:$AC$805,P3)</f>
        <v>2</v>
      </c>
      <c r="Q44" s="182">
        <f>SUMIFS([1]تیر!$AF$2:$AF$805,[1]تیر!$O$2:$O$805,8001,[1]تیر!$D$2:$D$805,$F$44,[1]تیر!$AC$2:$AC$805,Q3)</f>
        <v>0</v>
      </c>
      <c r="R44" s="182">
        <f>SUMIFS([1]تیر!$AF$2:$AF$805,[1]تیر!$O$2:$O$805,8001,[1]تیر!$D$2:$D$805,$F$44,[1]تیر!$AC$2:$AC$805,R3)</f>
        <v>0</v>
      </c>
      <c r="S44" s="182">
        <f>SUMIFS([1]تیر!$AF$2:$AF$805,[1]تیر!$O$2:$O$805,8001,[1]تیر!$D$2:$D$805,$F$44,[1]تیر!$AC$2:$AC$805,S3)</f>
        <v>0</v>
      </c>
      <c r="T44" s="182">
        <f>SUMIFS([1]تیر!$AF$2:$AF$805,[1]تیر!$O$2:$O$805,8001,[1]تیر!$D$2:$D$805,$F$44,[1]تیر!$AC$2:$AC$805,T3)</f>
        <v>0</v>
      </c>
      <c r="U44" s="156">
        <f>SUMIFS([1]تیر!$AF$2:$AF$805,[1]تیر!$O$2:$O$805,8001,[1]تیر!$D$2:$D$805,$F$44,[1]تیر!$AC$2:$AC$805,U3)</f>
        <v>0</v>
      </c>
    </row>
    <row r="45" spans="1:21" ht="38.25" customHeight="1" thickBot="1" x14ac:dyDescent="0.3">
      <c r="A45" s="45">
        <v>21</v>
      </c>
      <c r="B45" s="12" t="s">
        <v>32</v>
      </c>
      <c r="C45" s="13">
        <v>8002</v>
      </c>
      <c r="D45" s="13">
        <v>44</v>
      </c>
      <c r="E45" s="13" t="s">
        <v>15</v>
      </c>
      <c r="F45" s="31"/>
      <c r="G45" s="14">
        <f t="shared" si="0"/>
        <v>0</v>
      </c>
      <c r="H45" s="48">
        <f t="shared" si="1"/>
        <v>0</v>
      </c>
      <c r="I45" s="14">
        <v>0</v>
      </c>
      <c r="J45" s="14">
        <v>0</v>
      </c>
      <c r="K45" s="14">
        <v>0</v>
      </c>
      <c r="L45" s="14">
        <v>0</v>
      </c>
      <c r="M45" s="14">
        <f>SUM(G45:L45)-(D45)</f>
        <v>-44</v>
      </c>
      <c r="N45" s="17" t="s">
        <v>40</v>
      </c>
      <c r="O45" s="536">
        <f>SUMIFS([1]تیر!$AF$2:$AF$805,[1]تیر!$O$2:$O$805,8002,[1]تیر!$D$2:$D$805,$F$45,[1]تیر!$AC$2:$AC$805,O3)</f>
        <v>0</v>
      </c>
      <c r="P45" s="186">
        <f>SUMIFS([1]تیر!$AF$2:$AF$805,[1]تیر!$O$2:$O$805,8002,[1]تیر!$D$2:$D$805,$F$45,[1]تیر!$AC$2:$AC$805,P3)</f>
        <v>0</v>
      </c>
      <c r="Q45" s="186">
        <f>SUMIFS([1]تیر!$AF$2:$AF$805,[1]تیر!$O$2:$O$805,8002,[1]تیر!$D$2:$D$805,$F$45,[1]تیر!$AC$2:$AC$805,Q3)</f>
        <v>0</v>
      </c>
      <c r="R45" s="186">
        <f>SUMIFS([1]تیر!$AF$2:$AF$805,[1]تیر!$O$2:$O$805,8002,[1]تیر!$D$2:$D$805,$F$45,[1]تیر!$AC$2:$AC$805,R3)</f>
        <v>0</v>
      </c>
      <c r="S45" s="186">
        <f>SUMIFS([1]تیر!$AF$2:$AF$805,[1]تیر!$O$2:$O$805,8002,[1]تیر!$D$2:$D$805,$F$45,[1]تیر!$AC$2:$AC$805,S3)</f>
        <v>0</v>
      </c>
      <c r="T45" s="186">
        <f>SUMIFS([1]تیر!$AF$2:$AF$805,[1]تیر!$O$2:$O$805,8002,[1]تیر!$D$2:$D$805,$F$45,[1]تیر!$AC$2:$AC$805,T3)</f>
        <v>0</v>
      </c>
      <c r="U45" s="118">
        <f>SUMIFS([1]تیر!$AF$2:$AF$805,[1]تیر!$O$2:$O$805,8002,[1]تیر!$D$2:$D$805,$F$45,[1]تیر!$AC$2:$AC$805,U3)</f>
        <v>0</v>
      </c>
    </row>
    <row r="46" spans="1:21" ht="36" customHeight="1" x14ac:dyDescent="0.25">
      <c r="A46" s="957">
        <v>22</v>
      </c>
      <c r="B46" s="974" t="s">
        <v>33</v>
      </c>
      <c r="C46" s="943" t="s">
        <v>33</v>
      </c>
      <c r="D46" s="932">
        <v>62.5</v>
      </c>
      <c r="E46" s="1002">
        <f>G46+G47+G48+G49</f>
        <v>138</v>
      </c>
      <c r="F46" s="32" t="s">
        <v>16</v>
      </c>
      <c r="G46" s="573">
        <f t="shared" si="0"/>
        <v>37</v>
      </c>
      <c r="H46" s="46">
        <f t="shared" si="1"/>
        <v>0</v>
      </c>
      <c r="I46" s="573">
        <v>0</v>
      </c>
      <c r="J46" s="573">
        <v>0</v>
      </c>
      <c r="K46" s="573">
        <v>0</v>
      </c>
      <c r="L46" s="573">
        <v>0</v>
      </c>
      <c r="M46" s="573">
        <f>(SUM(G46:L46))-D46</f>
        <v>-25.5</v>
      </c>
      <c r="N46" s="33"/>
      <c r="O46" s="292">
        <f>SUMIFS([1]تیر!$AF$2:$AF$805,[1]تیر!$O$2:$O$805,"مونتاژ",[1]تیر!$D$2:$D$805,$F$46,[1]تیر!$AC$2:$AC$805,O3)</f>
        <v>5.5</v>
      </c>
      <c r="P46" s="169">
        <f>SUMIFS([1]تیر!$AF$2:$AF$805,[1]تیر!$O$2:$O$805,"مونتاژ",[1]تیر!$D$2:$D$805,$F$46,[1]تیر!$AC$2:$AC$805,P3)</f>
        <v>2</v>
      </c>
      <c r="Q46" s="169">
        <f>SUMIFS([1]تیر!$AF$2:$AF$805,[1]تیر!$O$2:$O$805,"مونتاژ",[1]تیر!$D$2:$D$805,$F$46,[1]تیر!$AC$2:$AC$805,Q3)</f>
        <v>7</v>
      </c>
      <c r="R46" s="169">
        <f>SUMIFS([1]تیر!$AF$2:$AF$805,[1]تیر!$O$2:$O$805,"مونتاژ",[1]تیر!$D$2:$D$805,$F$46,[1]تیر!$AC$2:$AC$805,R3)</f>
        <v>9</v>
      </c>
      <c r="S46" s="169">
        <f>SUMIFS([1]تیر!$AF$2:$AF$805,[1]تیر!$O$2:$O$805,"مونتاژ",[1]تیر!$D$2:$D$805,$F$46,[1]تیر!$AC$2:$AC$805,S3)</f>
        <v>6.5</v>
      </c>
      <c r="T46" s="169">
        <f>SUMIFS([1]تیر!$AF$2:$AF$805,[1]تیر!$O$2:$O$805,"مونتاژ",[1]تیر!$D$2:$D$805,$F$46,[1]تیر!$AC$2:$AC$805,T3)</f>
        <v>7</v>
      </c>
      <c r="U46" s="107">
        <f>SUMIFS([1]تیر!$AF$2:$AF$805,[1]تیر!$O$2:$O$805,"مونتاژ",[1]تیر!$D$2:$D$805,$F$46,[1]تیر!$AC$2:$AC$805,U3)</f>
        <v>0</v>
      </c>
    </row>
    <row r="47" spans="1:21" ht="36" customHeight="1" x14ac:dyDescent="0.25">
      <c r="A47" s="958"/>
      <c r="B47" s="975"/>
      <c r="C47" s="965"/>
      <c r="D47" s="933"/>
      <c r="E47" s="965"/>
      <c r="F47" s="29" t="s">
        <v>22</v>
      </c>
      <c r="G47" s="3">
        <f>SUM(O47:T47)+1</f>
        <v>1</v>
      </c>
      <c r="H47" s="47">
        <f t="shared" si="1"/>
        <v>0</v>
      </c>
      <c r="I47" s="3">
        <v>0</v>
      </c>
      <c r="J47" s="3">
        <v>0</v>
      </c>
      <c r="K47" s="3">
        <v>0</v>
      </c>
      <c r="L47" s="3">
        <v>0</v>
      </c>
      <c r="M47" s="3">
        <f>(SUM(G47:L47))-D46</f>
        <v>-61.5</v>
      </c>
      <c r="N47" s="58"/>
      <c r="O47" s="293">
        <f>SUMIFS([1]تیر!$AF$2:$AF$805,[1]تیر!$O$2:$O$805,"مونتاژ",[1]تیر!$D$2:$D$805,$F$47,[1]تیر!$AC$2:$AC$805,O3)</f>
        <v>0</v>
      </c>
      <c r="P47" s="168">
        <f>SUMIFS([1]تیر!$AF$2:$AF$805,[1]تیر!$O$2:$O$805,"مونتاژ",[1]تیر!$D$2:$D$805,$F$47,[1]تیر!$AC$2:$AC$805,P3)</f>
        <v>0</v>
      </c>
      <c r="Q47" s="168">
        <f>SUMIFS([1]تیر!$AF$2:$AF$805,[1]تیر!$O$2:$O$805,"مونتاژ",[1]تیر!$D$2:$D$805,$F$47,[1]تیر!$AC$2:$AC$805,Q3)</f>
        <v>0</v>
      </c>
      <c r="R47" s="168">
        <f>SUMIFS([1]تیر!$AF$2:$AF$805,[1]تیر!$O$2:$O$805,"مونتاژ",[1]تیر!$D$2:$D$805,$F$47,[1]تیر!$AC$2:$AC$805,R3)</f>
        <v>0</v>
      </c>
      <c r="S47" s="168">
        <f>SUMIFS([1]تیر!$AF$2:$AF$805,[1]تیر!$O$2:$O$805,"مونتاژ",[1]تیر!$D$2:$D$805,$F$47,[1]تیر!$AC$2:$AC$805,S3)</f>
        <v>0</v>
      </c>
      <c r="T47" s="168">
        <f>SUMIFS([1]تیر!$AF$2:$AF$805,[1]تیر!$O$2:$O$805,"مونتاژ",[1]تیر!$D$2:$D$805,$F$47,[1]تیر!$AC$2:$AC$805,T3)</f>
        <v>0</v>
      </c>
      <c r="U47" s="108">
        <f>SUMIFS([1]تیر!$AF$2:$AF$805,[1]تیر!$O$2:$O$805,"مونتاژ",[1]تیر!$D$2:$D$805,$F$47,[1]تیر!$AC$2:$AC$805,U3)</f>
        <v>0</v>
      </c>
    </row>
    <row r="48" spans="1:21" ht="36" customHeight="1" x14ac:dyDescent="0.25">
      <c r="A48" s="959"/>
      <c r="B48" s="975"/>
      <c r="C48" s="966"/>
      <c r="D48" s="933"/>
      <c r="E48" s="966"/>
      <c r="F48" s="29" t="s">
        <v>54</v>
      </c>
      <c r="G48" s="3">
        <f t="shared" si="0"/>
        <v>71</v>
      </c>
      <c r="H48" s="47">
        <f t="shared" si="1"/>
        <v>0</v>
      </c>
      <c r="I48" s="3">
        <v>0</v>
      </c>
      <c r="J48" s="3">
        <v>0</v>
      </c>
      <c r="K48" s="3">
        <v>0</v>
      </c>
      <c r="L48" s="3">
        <v>0</v>
      </c>
      <c r="M48" s="3">
        <f>(SUM(G48:L48))-62</f>
        <v>9</v>
      </c>
      <c r="N48" s="62"/>
      <c r="O48" s="293">
        <f>SUMIFS([1]تیر!$AF$2:$AF$805,[1]تیر!$O$2:$O$805,"مونتاژ",[1]تیر!$D$2:$D$805,$F$48,[1]تیر!$AC$2:$AC$805,O3)</f>
        <v>7</v>
      </c>
      <c r="P48" s="168">
        <f>SUMIFS([1]تیر!$AF$2:$AF$805,[1]تیر!$O$2:$O$805,"مونتاژ",[1]تیر!$D$2:$D$805,$F$48,[1]تیر!$AC$2:$AC$805,P3)</f>
        <v>9</v>
      </c>
      <c r="Q48" s="168">
        <f>SUMIFS([1]تیر!$AF$2:$AF$805,[1]تیر!$O$2:$O$805,"مونتاژ",[1]تیر!$D$2:$D$805,$F$48,[1]تیر!$AC$2:$AC$805,Q3)</f>
        <v>18</v>
      </c>
      <c r="R48" s="168">
        <f>SUMIFS([1]تیر!$AF$2:$AF$805,[1]تیر!$O$2:$O$805,"مونتاژ",[1]تیر!$D$2:$D$805,$F$48,[1]تیر!$AC$2:$AC$805,R3)</f>
        <v>20</v>
      </c>
      <c r="S48" s="168">
        <f>SUMIFS([1]تیر!$AF$2:$AF$805,[1]تیر!$O$2:$O$805,"مونتاژ",[1]تیر!$D$2:$D$805,$F$48,[1]تیر!$AC$2:$AC$805,S3)</f>
        <v>11</v>
      </c>
      <c r="T48" s="168">
        <f>SUMIFS([1]تیر!$AF$2:$AF$805,[1]تیر!$O$2:$O$805,"مونتاژ",[1]تیر!$D$2:$D$805,$F$48,[1]تیر!$AC$2:$AC$805,T3)</f>
        <v>6</v>
      </c>
      <c r="U48" s="108">
        <f>SUMIFS([1]تیر!$AF$2:$AF$805,[1]تیر!$O$2:$O$805,"مونتاژ",[1]تیر!$D$2:$D$805,$F$48,[1]تیر!$AC$2:$AC$805,U3)</f>
        <v>0</v>
      </c>
    </row>
    <row r="49" spans="1:21" ht="36" customHeight="1" thickBot="1" x14ac:dyDescent="0.3">
      <c r="A49" s="960"/>
      <c r="B49" s="975"/>
      <c r="C49" s="944"/>
      <c r="D49" s="934"/>
      <c r="E49" s="944"/>
      <c r="F49" s="30" t="s">
        <v>55</v>
      </c>
      <c r="G49" s="6">
        <f t="shared" si="0"/>
        <v>29</v>
      </c>
      <c r="H49" s="64">
        <f t="shared" si="1"/>
        <v>7</v>
      </c>
      <c r="I49" s="7">
        <v>0</v>
      </c>
      <c r="J49" s="7">
        <v>0</v>
      </c>
      <c r="K49" s="7">
        <v>0</v>
      </c>
      <c r="L49" s="7">
        <v>0</v>
      </c>
      <c r="M49" s="7">
        <f>SUM(G49:J49)-62</f>
        <v>-26</v>
      </c>
      <c r="N49" s="34"/>
      <c r="O49" s="352">
        <f>SUMIFS([1]تیر!$AF$2:$AF$805,[1]تیر!$O$2:$O$805,"مونتاژ",[1]تیر!$D$2:$D$805,$F$49,[1]تیر!$AC$2:$AC$805,O3)</f>
        <v>6</v>
      </c>
      <c r="P49" s="175">
        <f>SUMIFS([1]تیر!$AF$2:$AF$805,[1]تیر!$O$2:$O$805,"مونتاژ",[1]تیر!$D$2:$D$805,$F$49,[1]تیر!$AC$2:$AC$805,P3)</f>
        <v>5</v>
      </c>
      <c r="Q49" s="175">
        <f>SUMIFS([1]تیر!$AF$2:$AF$805,[1]تیر!$O$2:$O$805,"مونتاژ",[1]تیر!$D$2:$D$805,$F$49,[1]تیر!$AC$2:$AC$805,Q3)</f>
        <v>11</v>
      </c>
      <c r="R49" s="175">
        <f>SUMIFS([1]تیر!$AF$2:$AF$805,[1]تیر!$O$2:$O$805,"مونتاژ",[1]تیر!$D$2:$D$805,$F$49,[1]تیر!$AC$2:$AC$805,R3)</f>
        <v>0</v>
      </c>
      <c r="S49" s="175">
        <f>SUMIFS([1]تیر!$AF$2:$AF$805,[1]تیر!$O$2:$O$805,"مونتاژ",[1]تیر!$D$2:$D$805,$F$49,[1]تیر!$AC$2:$AC$805,S3)</f>
        <v>0</v>
      </c>
      <c r="T49" s="175">
        <f>SUMIFS([1]تیر!$AF$2:$AF$805,[1]تیر!$O$2:$O$805,"مونتاژ",[1]تیر!$D$2:$D$805,$F$49,[1]تیر!$AC$2:$AC$805,T3)</f>
        <v>7</v>
      </c>
      <c r="U49" s="114">
        <f>SUMIFS([1]تیر!$AF$2:$AF$805,[1]تیر!$O$2:$O$805,"مونتاژ",[1]تیر!$D$2:$D$805,$F$49,[1]تیر!$AC$2:$AC$805,U3)</f>
        <v>7</v>
      </c>
    </row>
    <row r="50" spans="1:21" ht="36" customHeight="1" x14ac:dyDescent="0.25">
      <c r="A50" s="967">
        <v>23</v>
      </c>
      <c r="B50" s="975"/>
      <c r="C50" s="943" t="s">
        <v>34</v>
      </c>
      <c r="D50" s="932">
        <v>62.5</v>
      </c>
      <c r="E50" s="932"/>
      <c r="F50" s="32" t="s">
        <v>16</v>
      </c>
      <c r="G50" s="573">
        <f t="shared" si="0"/>
        <v>10</v>
      </c>
      <c r="H50" s="46">
        <f t="shared" si="1"/>
        <v>0</v>
      </c>
      <c r="I50" s="573">
        <v>0</v>
      </c>
      <c r="J50" s="573">
        <v>0</v>
      </c>
      <c r="K50" s="573">
        <v>0</v>
      </c>
      <c r="L50" s="573">
        <v>0</v>
      </c>
      <c r="M50" s="573">
        <f>SUM(G50:L50)-62</f>
        <v>-52</v>
      </c>
      <c r="N50" s="56"/>
      <c r="O50" s="292">
        <f>SUMIFS([1]تیر!$AF$2:$AF$805,[1]تیر!$O$2:$O$805,"دمونتاژ",[1]تیر!$D$2:$D$805,$F$50,[1]تیر!$AC$2:$AC$805,O3)</f>
        <v>0</v>
      </c>
      <c r="P50" s="169">
        <f>SUMIFS([1]تیر!$AF$2:$AF$805,[1]تیر!$O$2:$O$805,"دمونتاژ",[1]تیر!$D$2:$D$805,$F$50,[1]تیر!$AC$2:$AC$805,P3)</f>
        <v>6</v>
      </c>
      <c r="Q50" s="169">
        <f>SUMIFS([1]تیر!$AF$2:$AF$805,[1]تیر!$O$2:$O$805,"دمونتاژ",[1]تیر!$D$2:$D$805,$F$50,[1]تیر!$AC$2:$AC$805,Q3)</f>
        <v>1</v>
      </c>
      <c r="R50" s="169">
        <f>SUMIFS([1]تیر!$AF$2:$AF$805,[1]تیر!$O$2:$O$805,"دمونتاژ",[1]تیر!$D$2:$D$805,$F$50,[1]تیر!$AC$2:$AC$805,R3)</f>
        <v>0</v>
      </c>
      <c r="S50" s="169">
        <f>SUMIFS([1]تیر!$AF$2:$AF$805,[1]تیر!$O$2:$O$805,"دمونتاژ",[1]تیر!$D$2:$D$805,$F$50,[1]تیر!$AC$2:$AC$805,S3)</f>
        <v>3</v>
      </c>
      <c r="T50" s="169">
        <f>SUMIFS([1]تیر!$AF$2:$AF$805,[1]تیر!$O$2:$O$805,"دمونتاژ",[1]تیر!$D$2:$D$805,$F$50,[1]تیر!$AC$2:$AC$805,T3)</f>
        <v>0</v>
      </c>
      <c r="U50" s="107">
        <f>SUMIFS([1]تیر!$AF$2:$AF$805,[1]تیر!$O$2:$O$805,"دمونتاژ",[1]تیر!$D$2:$D$805,$F$50,[1]تیر!$AC$2:$AC$805,U3)</f>
        <v>0</v>
      </c>
    </row>
    <row r="51" spans="1:21" ht="36" customHeight="1" x14ac:dyDescent="0.25">
      <c r="A51" s="967"/>
      <c r="B51" s="975"/>
      <c r="C51" s="965"/>
      <c r="D51" s="933"/>
      <c r="E51" s="933"/>
      <c r="F51" s="29" t="s">
        <v>55</v>
      </c>
      <c r="G51" s="3">
        <f t="shared" si="0"/>
        <v>6</v>
      </c>
      <c r="H51" s="47">
        <f t="shared" si="1"/>
        <v>0</v>
      </c>
      <c r="I51" s="3">
        <v>0</v>
      </c>
      <c r="J51" s="3">
        <v>0</v>
      </c>
      <c r="K51" s="3">
        <v>0</v>
      </c>
      <c r="L51" s="3">
        <v>0</v>
      </c>
      <c r="M51" s="3">
        <f>SUM(G51:L51)-62</f>
        <v>-56</v>
      </c>
      <c r="N51" s="62"/>
      <c r="O51" s="293">
        <f>SUMIFS([1]تیر!$AF$2:$AF$805,[1]تیر!$O$2:$O$805,"دمونتاژ",[1]تیر!$D$2:$D$805,$F$51,[1]تیر!$AC$2:$AC$805,O3)</f>
        <v>2</v>
      </c>
      <c r="P51" s="168">
        <f>SUMIFS([1]تیر!$AF$2:$AF$805,[1]تیر!$O$2:$O$805,"دمونتاژ",[1]تیر!$D$2:$D$805,$F$51,[1]تیر!$AC$2:$AC$805,P3)</f>
        <v>4</v>
      </c>
      <c r="Q51" s="168">
        <f>SUMIFS([1]تیر!$AF$2:$AF$805,[1]تیر!$O$2:$O$805,"دمونتاژ",[1]تیر!$D$2:$D$805,$F$51,[1]تیر!$AC$2:$AC$805,Q3)</f>
        <v>0</v>
      </c>
      <c r="R51" s="168">
        <f>SUMIFS([1]تیر!$AF$2:$AF$805,[1]تیر!$O$2:$O$805,"دمونتاژ",[1]تیر!$D$2:$D$805,$F$51,[1]تیر!$AC$2:$AC$805,R3)</f>
        <v>0</v>
      </c>
      <c r="S51" s="168">
        <f>SUMIFS([1]تیر!$AF$2:$AF$805,[1]تیر!$O$2:$O$805,"دمونتاژ",[1]تیر!$D$2:$D$805,$F$51,[1]تیر!$AC$2:$AC$805,S3)</f>
        <v>0</v>
      </c>
      <c r="T51" s="168">
        <f>SUMIFS([1]تیر!$AF$2:$AF$805,[1]تیر!$O$2:$O$805,"دمونتاژ",[1]تیر!$D$2:$D$805,$F$51,[1]تیر!$AC$2:$AC$805,T3)</f>
        <v>0</v>
      </c>
      <c r="U51" s="108">
        <f>SUMIFS([1]تیر!$AF$2:$AF$805,[1]تیر!$O$2:$O$805,"دمونتاژ",[1]تیر!$D$2:$D$805,$F$51,[1]تیر!$AC$2:$AC$805,U3)</f>
        <v>0</v>
      </c>
    </row>
    <row r="52" spans="1:21" ht="36" customHeight="1" x14ac:dyDescent="0.25">
      <c r="A52" s="967"/>
      <c r="B52" s="975"/>
      <c r="C52" s="965"/>
      <c r="D52" s="933"/>
      <c r="E52" s="933"/>
      <c r="F52" s="29" t="s">
        <v>54</v>
      </c>
      <c r="G52" s="3">
        <f t="shared" si="0"/>
        <v>7</v>
      </c>
      <c r="H52" s="47">
        <f t="shared" si="1"/>
        <v>0</v>
      </c>
      <c r="I52" s="3">
        <v>0</v>
      </c>
      <c r="J52" s="3">
        <v>0</v>
      </c>
      <c r="K52" s="3">
        <v>0</v>
      </c>
      <c r="L52" s="3">
        <v>0</v>
      </c>
      <c r="M52" s="3">
        <f>SUM(G52:L52)-62</f>
        <v>-55</v>
      </c>
      <c r="N52" s="62"/>
      <c r="O52" s="293">
        <f>SUMIFS([1]تیر!$AF$2:$AF$805,[1]تیر!$O$2:$O$805,"دمونتاژ",[1]تیر!$D$2:$D$805,$F$52,[1]تیر!$AC$2:$AC$805,O3)</f>
        <v>2</v>
      </c>
      <c r="P52" s="168">
        <f>SUMIFS([1]تیر!$AF$2:$AF$805,[1]تیر!$O$2:$O$805,"دمونتاژ",[1]تیر!$D$2:$D$805,$F$52,[1]تیر!$AC$2:$AC$805,P3)</f>
        <v>0</v>
      </c>
      <c r="Q52" s="168">
        <f>SUMIFS([1]تیر!$AF$2:$AF$805,[1]تیر!$O$2:$O$805,"دمونتاژ",[1]تیر!$D$2:$D$805,$F$52,[1]تیر!$AC$2:$AC$805,Q3)</f>
        <v>4</v>
      </c>
      <c r="R52" s="168">
        <f>SUMIFS([1]تیر!$AF$2:$AF$805,[1]تیر!$O$2:$O$805,"دمونتاژ",[1]تیر!$D$2:$D$805,$F$52,[1]تیر!$AC$2:$AC$805,R3)</f>
        <v>0</v>
      </c>
      <c r="S52" s="168">
        <f>SUMIFS([1]تیر!$AF$2:$AF$805,[1]تیر!$O$2:$O$805,"دمونتاژ",[1]تیر!$D$2:$D$805,$F$52,[1]تیر!$AC$2:$AC$805,S3)</f>
        <v>0</v>
      </c>
      <c r="T52" s="168">
        <f>SUMIFS([1]تیر!$AF$2:$AF$805,[1]تیر!$O$2:$O$805,"دمونتاژ",[1]تیر!$D$2:$D$805,$F$52,[1]تیر!$AC$2:$AC$805,T3)+1</f>
        <v>1</v>
      </c>
      <c r="U52" s="108">
        <f>SUMIFS([1]تیر!$AF$2:$AF$805,[1]تیر!$O$2:$O$805,"دمونتاژ",[1]تیر!$D$2:$D$805,$F$52,[1]تیر!$AC$2:$AC$805,U3)</f>
        <v>0</v>
      </c>
    </row>
    <row r="53" spans="1:21" ht="36" customHeight="1" thickBot="1" x14ac:dyDescent="0.3">
      <c r="A53" s="967"/>
      <c r="B53" s="976"/>
      <c r="C53" s="966"/>
      <c r="D53" s="934"/>
      <c r="E53" s="934"/>
      <c r="F53" s="558"/>
      <c r="G53" s="4">
        <f t="shared" si="0"/>
        <v>0</v>
      </c>
      <c r="H53" s="49">
        <f t="shared" si="1"/>
        <v>0</v>
      </c>
      <c r="I53" s="25">
        <v>0</v>
      </c>
      <c r="J53" s="25">
        <v>0</v>
      </c>
      <c r="K53" s="25">
        <v>0</v>
      </c>
      <c r="L53" s="25">
        <v>0</v>
      </c>
      <c r="M53" s="25">
        <f>SUM(G53:L53)-62</f>
        <v>-62</v>
      </c>
      <c r="N53" s="58"/>
      <c r="O53" s="294">
        <f>SUMIFS([1]تیر!$AF$2:$AF$805,[1]تیر!$O$2:$O$805,"دمونتاژ",[1]تیر!$D$2:$D$805,$F$53,[1]تیر!$AC$2:$AC$805,O3)</f>
        <v>0</v>
      </c>
      <c r="P53" s="172">
        <f>SUMIFS([1]تیر!$AF$2:$AF$805,[1]تیر!$O$2:$O$805,"دمونتاژ",[1]تیر!$D$2:$D$805,$F$53,[1]تیر!$AC$2:$AC$805,P3)</f>
        <v>0</v>
      </c>
      <c r="Q53" s="172">
        <f>SUMIFS([1]تیر!$AF$2:$AF$805,[1]تیر!$O$2:$O$805,"دمونتاژ",[1]تیر!$D$2:$D$805,$F$53,[1]تیر!$AC$2:$AC$805,Q3)</f>
        <v>0</v>
      </c>
      <c r="R53" s="172">
        <f>SUMIFS([1]تیر!$AF$2:$AF$805,[1]تیر!$O$2:$O$805,"دمونتاژ",[1]تیر!$D$2:$D$805,$F$53,[1]تیر!$AC$2:$AC$805,R3)</f>
        <v>0</v>
      </c>
      <c r="S53" s="172">
        <f>SUMIFS([1]تیر!$AF$2:$AF$805,[1]تیر!$O$2:$O$805,"دمونتاژ",[1]تیر!$D$2:$D$805,$F$53,[1]تیر!$AC$2:$AC$805,S3)</f>
        <v>0</v>
      </c>
      <c r="T53" s="172">
        <f>SUMIFS([1]تیر!$AF$2:$AF$805,[1]تیر!$O$2:$O$805,"دمونتاژ",[1]تیر!$D$2:$D$805,$F$53,[1]تیر!$AC$2:$AC$805,T3)</f>
        <v>0</v>
      </c>
      <c r="U53" s="109">
        <f>SUMIFS([1]تیر!$AF$2:$AF$805,[1]تیر!$O$2:$O$805,"دمونتاژ",[1]تیر!$D$2:$D$805,$F$53,[1]تیر!$AC$2:$AC$805,U3)</f>
        <v>0</v>
      </c>
    </row>
    <row r="54" spans="1:21" ht="48.75" customHeight="1" thickBot="1" x14ac:dyDescent="0.3">
      <c r="A54" s="951" t="s">
        <v>49</v>
      </c>
      <c r="B54" s="952"/>
      <c r="C54" s="952"/>
      <c r="D54" s="952"/>
      <c r="E54" s="952"/>
      <c r="F54" s="953"/>
      <c r="G54" s="148">
        <f t="shared" ref="G54:L54" si="2">SUM(G4:G53)</f>
        <v>868.66666666666674</v>
      </c>
      <c r="H54" s="148">
        <f t="shared" si="2"/>
        <v>8</v>
      </c>
      <c r="I54" s="148">
        <f t="shared" si="2"/>
        <v>14</v>
      </c>
      <c r="J54" s="148">
        <f t="shared" si="2"/>
        <v>134</v>
      </c>
      <c r="K54" s="148">
        <f t="shared" si="2"/>
        <v>0</v>
      </c>
      <c r="L54" s="148">
        <f t="shared" si="2"/>
        <v>0</v>
      </c>
      <c r="M54" s="149">
        <f>SUMIFS(M4:M53,F4:F53,"*")</f>
        <v>-511.33333333333331</v>
      </c>
      <c r="N54" s="306"/>
      <c r="O54" s="302">
        <f>SUM(O4:O53)</f>
        <v>155.5</v>
      </c>
      <c r="P54" s="198">
        <f t="shared" ref="P54:U54" si="3">SUM(P4:P53)</f>
        <v>162.5</v>
      </c>
      <c r="Q54" s="198">
        <f t="shared" si="3"/>
        <v>155</v>
      </c>
      <c r="R54" s="198">
        <f t="shared" si="3"/>
        <v>154.16666666666669</v>
      </c>
      <c r="S54" s="198">
        <f t="shared" si="3"/>
        <v>138.5</v>
      </c>
      <c r="T54" s="198">
        <f t="shared" si="3"/>
        <v>102</v>
      </c>
      <c r="U54" s="150">
        <f t="shared" si="3"/>
        <v>8</v>
      </c>
    </row>
    <row r="55" spans="1:21" x14ac:dyDescent="0.25">
      <c r="G55" s="582"/>
    </row>
  </sheetData>
  <mergeCells count="45">
    <mergeCell ref="A12:A14"/>
    <mergeCell ref="B12:B14"/>
    <mergeCell ref="C12:C14"/>
    <mergeCell ref="D12:D14"/>
    <mergeCell ref="E12:E14"/>
    <mergeCell ref="A1:L2"/>
    <mergeCell ref="O1:U2"/>
    <mergeCell ref="E4:E6"/>
    <mergeCell ref="N4:N6"/>
    <mergeCell ref="E7:E9"/>
    <mergeCell ref="A33:A34"/>
    <mergeCell ref="E33:E34"/>
    <mergeCell ref="N33:N34"/>
    <mergeCell ref="E18:E20"/>
    <mergeCell ref="N18:N20"/>
    <mergeCell ref="E22:E24"/>
    <mergeCell ref="N22:N24"/>
    <mergeCell ref="E25:E27"/>
    <mergeCell ref="N25:N27"/>
    <mergeCell ref="E28:E30"/>
    <mergeCell ref="N28:N30"/>
    <mergeCell ref="A31:A32"/>
    <mergeCell ref="E31:E32"/>
    <mergeCell ref="N31:N32"/>
    <mergeCell ref="A35:A36"/>
    <mergeCell ref="E35:E36"/>
    <mergeCell ref="N35:N36"/>
    <mergeCell ref="A37:A38"/>
    <mergeCell ref="E37:E38"/>
    <mergeCell ref="N37:N38"/>
    <mergeCell ref="A54:F54"/>
    <mergeCell ref="A39:A40"/>
    <mergeCell ref="E39:E40"/>
    <mergeCell ref="N39:N40"/>
    <mergeCell ref="E41:E43"/>
    <mergeCell ref="N41:N43"/>
    <mergeCell ref="A46:A49"/>
    <mergeCell ref="B46:B53"/>
    <mergeCell ref="C46:C49"/>
    <mergeCell ref="D46:D49"/>
    <mergeCell ref="E46:E49"/>
    <mergeCell ref="A50:A53"/>
    <mergeCell ref="C50:C53"/>
    <mergeCell ref="D50:D53"/>
    <mergeCell ref="E50:E53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G47 T52 O31:U51 O53:U54 O52:S52 U52" formula="1"/>
    <ignoredError sqref="M5:M54" formulaRange="1"/>
  </ignoredErrors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3A8A-2C3E-4FEC-BA58-667FA76CCC97}">
  <sheetPr>
    <pageSetUpPr fitToPage="1"/>
  </sheetPr>
  <dimension ref="A1:U56"/>
  <sheetViews>
    <sheetView rightToLeft="1" view="pageLayout" zoomScaleNormal="100" workbookViewId="0">
      <selection activeCell="N62" sqref="N62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20" width="6.42578125" style="52" hidden="1" customWidth="1"/>
    <col min="21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17</v>
      </c>
      <c r="O2" s="926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291" t="s">
        <v>167</v>
      </c>
      <c r="P3" s="291" t="s">
        <v>168</v>
      </c>
      <c r="Q3" s="291" t="s">
        <v>169</v>
      </c>
      <c r="R3" s="291" t="s">
        <v>170</v>
      </c>
      <c r="S3" s="291" t="s">
        <v>171</v>
      </c>
      <c r="T3" s="291" t="s">
        <v>172</v>
      </c>
      <c r="U3" s="291" t="s">
        <v>173</v>
      </c>
    </row>
    <row r="4" spans="1:21" ht="33.75" customHeight="1" x14ac:dyDescent="0.25">
      <c r="A4" s="593"/>
      <c r="B4" s="611"/>
      <c r="C4" s="42"/>
      <c r="D4" s="617"/>
      <c r="E4" s="932" t="s">
        <v>15</v>
      </c>
      <c r="F4" s="598" t="s">
        <v>55</v>
      </c>
      <c r="G4" s="623">
        <f>SUM(O4:T4)</f>
        <v>24</v>
      </c>
      <c r="H4" s="46">
        <f>U4</f>
        <v>0</v>
      </c>
      <c r="I4" s="623">
        <v>0</v>
      </c>
      <c r="J4" s="623">
        <v>0</v>
      </c>
      <c r="K4" s="623">
        <v>0</v>
      </c>
      <c r="L4" s="623">
        <v>0</v>
      </c>
      <c r="M4" s="28"/>
      <c r="N4" s="945" t="s">
        <v>13</v>
      </c>
      <c r="O4" s="292">
        <f>SUMIFS([1]تیر!$AF$2:$AF$805,[1]تیر!$O$2:$O$805,7101,[1]تیر!$D$2:$D$805,$F$4,[1]تیر!$AC$2:$AC$805,O3)</f>
        <v>0</v>
      </c>
      <c r="P4" s="169">
        <f>SUMIFS([1]تیر!$AF$2:$AF$805,[1]تیر!$O$2:$O$805,7101,[1]تیر!$D$2:$D$805,$F$4,[1]تیر!$AC$2:$AC$805,P3)</f>
        <v>0</v>
      </c>
      <c r="Q4" s="169">
        <f>SUMIFS([1]تیر!$AF$2:$AF$805,[1]تیر!$O$2:$O$805,7101,[1]تیر!$D$2:$D$805,$F$4,[1]تیر!$AC$2:$AC$805,Q3)</f>
        <v>7</v>
      </c>
      <c r="R4" s="169">
        <f>SUMIFS([1]تیر!$AF$2:$AF$805,[1]تیر!$O$2:$O$805,7101,[1]تیر!$D$2:$D$805,$F$4,[1]تیر!$AC$2:$AC$805,R3)</f>
        <v>11</v>
      </c>
      <c r="S4" s="169">
        <f>SUMIFS([1]تیر!$AF$2:$AF$805,[1]تیر!$O$2:$O$805,7101,[1]تیر!$D$2:$D$805,$F$4,[1]تیر!$AC$2:$AC$805,S3)</f>
        <v>5</v>
      </c>
      <c r="T4" s="169">
        <f>SUMIFS([1]تیر!$AF$2:$AF$805,[1]تیر!$O$2:$O$805,7101,[1]تیر!$D$2:$D$805,$F$4,[1]تیر!$AC$2:$AC$805,T3)</f>
        <v>1</v>
      </c>
      <c r="U4" s="107">
        <f>SUMIFS([1]تیر!$AF$2:$AF$805,[1]تیر!$O$2:$O$805,7101,[1]تیر!$D$2:$D$805,$F$4,[1]تیر!$AC$2:$AC$805,U3)</f>
        <v>0</v>
      </c>
    </row>
    <row r="5" spans="1:21" ht="33.75" customHeight="1" x14ac:dyDescent="0.25">
      <c r="A5" s="594">
        <v>1</v>
      </c>
      <c r="B5" s="605" t="s">
        <v>14</v>
      </c>
      <c r="C5" s="603">
        <v>7101</v>
      </c>
      <c r="D5" s="618">
        <v>62.5</v>
      </c>
      <c r="E5" s="1003"/>
      <c r="F5" s="599"/>
      <c r="G5" s="3">
        <f t="shared" ref="G5:G53" si="0">SUM(O5:T5)</f>
        <v>0</v>
      </c>
      <c r="H5" s="47">
        <f t="shared" ref="H5:H53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-38.5</v>
      </c>
      <c r="N5" s="929"/>
      <c r="O5" s="293">
        <f>SUMIFS([1]خرداد!$AF$2:$AF$805,[1]خرداد!$O$2:$O$805,7101,[1]خرداد!$D$2:$D$805,$F$5,[1]خرداد!$AC$2:$AC$805,O3)</f>
        <v>0</v>
      </c>
      <c r="P5" s="168">
        <f>SUMIFS([1]خرداد!$AF$2:$AF$805,[1]خرداد!$O$2:$O$805,7101,[1]خرداد!$D$2:$D$805,$F$5,[1]خرداد!$AC$2:$AC$805,P3)</f>
        <v>0</v>
      </c>
      <c r="Q5" s="168">
        <f>SUMIFS([1]خرداد!$AF$2:$AF$805,[1]خرداد!$O$2:$O$805,7101,[1]خرداد!$D$2:$D$805,$F$5,[1]خرداد!$AC$2:$AC$805,Q3)</f>
        <v>0</v>
      </c>
      <c r="R5" s="168">
        <f>SUMIFS([1]خرداد!$AF$2:$AF$805,[1]خرداد!$O$2:$O$805,7101,[1]خرداد!$D$2:$D$805,$F$5,[1]خرداد!$AC$2:$AC$805,R3)</f>
        <v>0</v>
      </c>
      <c r="S5" s="168">
        <f>SUMIFS([1]خرداد!$AF$2:$AF$805,[1]خرداد!$O$2:$O$805,7101,[1]خرداد!$D$2:$D$805,$F$5,[1]خرداد!$AC$2:$AC$805,S3)</f>
        <v>0</v>
      </c>
      <c r="T5" s="168">
        <f>SUMIFS([1]خرداد!$AF$2:$AF$805,[1]خرداد!$O$2:$O$805,7101,[1]خرداد!$D$2:$D$805,$F$5,[1]خرداد!$AC$2:$AC$805,T3)</f>
        <v>0</v>
      </c>
      <c r="U5" s="108">
        <f>SUMIFS([1]خرداد!$AF$2:$AF$805,[1]خرداد!$O$2:$O$805,7101,[1]خرداد!$D$2:$D$805,$F$5,[1]خرداد!$AC$2:$AC$805,U3)</f>
        <v>0</v>
      </c>
    </row>
    <row r="6" spans="1:21" ht="33.75" customHeight="1" thickBot="1" x14ac:dyDescent="0.3">
      <c r="A6" s="595"/>
      <c r="B6" s="88"/>
      <c r="C6" s="43"/>
      <c r="D6" s="604"/>
      <c r="E6" s="934"/>
      <c r="F6" s="5"/>
      <c r="G6" s="6">
        <f t="shared" si="0"/>
        <v>0</v>
      </c>
      <c r="H6" s="64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352">
        <f>SUMIFS([1]اردیبهشت!$AD$2:$AD$600,[1]اردیبهشت!$N$2:$N$600,7101,[1]اردیبهشت!$D$2:$D$600,$F$6,[1]اردیبهشت!$AA$2:$AA$600,O3)</f>
        <v>0</v>
      </c>
      <c r="P6" s="175">
        <f>SUMIFS([1]اردیبهشت!$AD$2:$AD$600,[1]اردیبهشت!$N$2:$N$600,7101,[1]اردیبهشت!$D$2:$D$600,$F$6,[1]اردیبهشت!$AA$2:$AA$600,P3)</f>
        <v>0</v>
      </c>
      <c r="Q6" s="175">
        <f>SUMIFS([1]اردیبهشت!$AD$2:$AD$600,[1]اردیبهشت!$N$2:$N$600,7101,[1]اردیبهشت!$D$2:$D$600,$F$6,[1]اردیبهشت!$AA$2:$AA$600,Q3)</f>
        <v>0</v>
      </c>
      <c r="R6" s="175">
        <f>SUMIFS([1]اردیبهشت!$AD$2:$AD$600,[1]اردیبهشت!$N$2:$N$600,7101,[1]اردیبهشت!$D$2:$D$600,$F$6,[1]اردیبهشت!$AA$2:$AA$600,R3)</f>
        <v>0</v>
      </c>
      <c r="S6" s="175">
        <f>SUMIFS([1]اردیبهشت!$AD$2:$AD$600,[1]اردیبهشت!$N$2:$N$600,7101,[1]اردیبهشت!$D$2:$D$600,$F$6,[1]اردیبهشت!$AA$2:$AA$600,S3)</f>
        <v>0</v>
      </c>
      <c r="T6" s="175">
        <f>SUMIFS([1]اردیبهشت!$AD$2:$AD$600,[1]اردیبهشت!$N$2:$N$600,7101,[1]اردیبهشت!$D$2:$D$600,$F$6,[1]اردیبهشت!$AA$2:$AA$600,T3)</f>
        <v>0</v>
      </c>
      <c r="U6" s="114">
        <f>SUMIFS([1]اردیبهشت!$AD$2:$AD$600,[1]اردیبهشت!$N$2:$N$600,7101,[1]اردیبهشت!$D$2:$D$600,$F$6,[1]اردیبهشت!$AA$2:$AA$600,U3)</f>
        <v>0</v>
      </c>
    </row>
    <row r="7" spans="1:21" ht="33.75" customHeight="1" x14ac:dyDescent="0.25">
      <c r="A7" s="615"/>
      <c r="B7" s="624"/>
      <c r="C7" s="624"/>
      <c r="D7" s="603"/>
      <c r="E7" s="932" t="s">
        <v>15</v>
      </c>
      <c r="F7" s="20" t="s">
        <v>20</v>
      </c>
      <c r="G7" s="1">
        <f t="shared" si="0"/>
        <v>62.5</v>
      </c>
      <c r="H7" s="49">
        <f t="shared" si="1"/>
        <v>0</v>
      </c>
      <c r="I7" s="1">
        <v>0</v>
      </c>
      <c r="J7" s="1">
        <v>0</v>
      </c>
      <c r="K7" s="1">
        <v>0</v>
      </c>
      <c r="L7" s="1">
        <v>0</v>
      </c>
      <c r="M7" s="69"/>
      <c r="N7" s="608"/>
      <c r="O7" s="292">
        <f>SUMIFS([1]تیر!$AF$2:$AF$805,[1]تیر!$O$2:$O$805,7102,[1]تیر!$D$2:$D$805,$F$7,[1]تیر!$AC$2:$AC$805,O3)</f>
        <v>11</v>
      </c>
      <c r="P7" s="169">
        <f>SUMIFS([1]تیر!$AF$2:$AF$805,[1]تیر!$O$2:$O$805,7102,[1]تیر!$D$2:$D$805,$F$7,[1]تیر!$AC$2:$AC$805,P3)</f>
        <v>11</v>
      </c>
      <c r="Q7" s="169">
        <f>SUMIFS([1]تیر!$AF$2:$AF$805,[1]تیر!$O$2:$O$805,7102,[1]تیر!$D$2:$D$805,$F$7,[1]تیر!$AC$2:$AC$805,Q3)</f>
        <v>11</v>
      </c>
      <c r="R7" s="169">
        <f>SUMIFS([1]تیر!$AF$2:$AF$805,[1]تیر!$O$2:$O$805,7102,[1]تیر!$D$2:$D$805,$F$7,[1]تیر!$AC$2:$AC$805,R3)</f>
        <v>11</v>
      </c>
      <c r="S7" s="169">
        <f>SUMIFS([1]تیر!$AF$2:$AF$805,[1]تیر!$O$2:$O$805,7102,[1]تیر!$D$2:$D$805,$F$7,[1]تیر!$AC$2:$AC$805,S3)</f>
        <v>11</v>
      </c>
      <c r="T7" s="169">
        <f>SUMIFS([1]تیر!$AF$2:$AF$805,[1]تیر!$O$2:$O$805,7102,[1]تیر!$D$2:$D$805,$F$7,[1]تیر!$AC$2:$AC$805,T3)</f>
        <v>7.5</v>
      </c>
      <c r="U7" s="107">
        <f>SUMIFS([1]تیر!$AF$2:$AF$805,[1]تیر!$O$2:$O$805,7102,[1]تیر!$D$2:$D$805,$F$7,[1]تیر!$AC$2:$AC$805,U3)</f>
        <v>0</v>
      </c>
    </row>
    <row r="8" spans="1:21" ht="33.75" customHeight="1" x14ac:dyDescent="0.25">
      <c r="A8" s="615">
        <v>2</v>
      </c>
      <c r="B8" s="587" t="s">
        <v>14</v>
      </c>
      <c r="C8" s="603">
        <v>7102</v>
      </c>
      <c r="D8" s="586">
        <v>62.5</v>
      </c>
      <c r="E8" s="1003"/>
      <c r="F8" s="619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0</v>
      </c>
      <c r="N8" s="609"/>
      <c r="O8" s="293">
        <f>SUMIFS([1]اردیبهشت!$AD$2:$AD$600,[1]اردیبهشت!$N$2:$N$600,7102,[1]اردیبهشت!$D$2:$D$600,$F$8,[1]اردیبهشت!$AA$2:$AA$600,O3)</f>
        <v>0</v>
      </c>
      <c r="P8" s="168">
        <f>SUMIFS([1]اردیبهشت!$AD$2:$AD$600,[1]اردیبهشت!$N$2:$N$600,7102,[1]اردیبهشت!$D$2:$D$600,$F$8,[1]اردیبهشت!$AA$2:$AA$600,P3)</f>
        <v>0</v>
      </c>
      <c r="Q8" s="168">
        <f>SUMIFS([1]اردیبهشت!$AD$2:$AD$600,[1]اردیبهشت!$N$2:$N$600,7102,[1]اردیبهشت!$D$2:$D$600,$F$8,[1]اردیبهشت!$AA$2:$AA$600,Q3)</f>
        <v>0</v>
      </c>
      <c r="R8" s="168">
        <f>SUMIFS([1]اردیبهشت!$AD$2:$AD$600,[1]اردیبهشت!$N$2:$N$600,7102,[1]اردیبهشت!$D$2:$D$600,$F$8,[1]اردیبهشت!$AA$2:$AA$600,R3)</f>
        <v>0</v>
      </c>
      <c r="S8" s="168">
        <f>SUMIFS([1]اردیبهشت!$AD$2:$AD$600,[1]اردیبهشت!$N$2:$N$600,7102,[1]اردیبهشت!$D$2:$D$600,$F$8,[1]اردیبهشت!$AA$2:$AA$600,S3)</f>
        <v>0</v>
      </c>
      <c r="T8" s="168">
        <f>SUMIFS([1]اردیبهشت!$AD$2:$AD$600,[1]اردیبهشت!$N$2:$N$600,7102,[1]اردیبهشت!$D$2:$D$600,$F$8,[1]اردیبهشت!$AA$2:$AA$600,T3)</f>
        <v>0</v>
      </c>
      <c r="U8" s="108">
        <f>SUMIFS([1]اردیبهشت!$AD$2:$AD$600,[1]اردیبهشت!$N$2:$N$600,7102,[1]اردیبهشت!$D$2:$D$600,$F$8,[1]اردیبهشت!$AA$2:$AA$600,U3)</f>
        <v>0</v>
      </c>
    </row>
    <row r="9" spans="1:21" ht="33.75" customHeight="1" thickBot="1" x14ac:dyDescent="0.3">
      <c r="A9" s="616"/>
      <c r="B9" s="43"/>
      <c r="C9" s="43"/>
      <c r="D9" s="604"/>
      <c r="E9" s="934"/>
      <c r="F9" s="5"/>
      <c r="G9" s="1">
        <f t="shared" si="0"/>
        <v>0</v>
      </c>
      <c r="H9" s="49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610"/>
      <c r="O9" s="352">
        <f>SUMIFS([1]اردیبهشت!$AD$2:$AD$600,[1]اردیبهشت!$N$2:$N$600,7102,[1]اردیبهشت!$D$2:$D$600,$F$9,[1]اردیبهشت!$AA$2:$AA$600,O3)</f>
        <v>0</v>
      </c>
      <c r="P9" s="175">
        <f>SUMIFS([1]اردیبهشت!$AD$2:$AD$600,[1]اردیبهشت!$N$2:$N$600,7102,[1]اردیبهشت!$D$2:$D$600,$F$9,[1]اردیبهشت!$AA$2:$AA$600,P3)</f>
        <v>0</v>
      </c>
      <c r="Q9" s="175">
        <f>SUMIFS([1]اردیبهشت!$AD$2:$AD$600,[1]اردیبهشت!$N$2:$N$600,7102,[1]اردیبهشت!$D$2:$D$600,$F$9,[1]اردیبهشت!$AA$2:$AA$600,Q3)</f>
        <v>0</v>
      </c>
      <c r="R9" s="175">
        <f>SUMIFS([1]اردیبهشت!$AD$2:$AD$600,[1]اردیبهشت!$N$2:$N$600,7102,[1]اردیبهشت!$D$2:$D$600,$F$9,[1]اردیبهشت!$AA$2:$AA$600,R3)</f>
        <v>0</v>
      </c>
      <c r="S9" s="175">
        <f>SUMIFS([1]اردیبهشت!$AD$2:$AD$600,[1]اردیبهشت!$N$2:$N$600,7102,[1]اردیبهشت!$D$2:$D$600,$F$9,[1]اردیبهشت!$AA$2:$AA$600,S3)</f>
        <v>0</v>
      </c>
      <c r="T9" s="175">
        <f>SUMIFS([1]اردیبهشت!$AD$2:$AD$600,[1]اردیبهشت!$N$2:$N$600,7102,[1]اردیبهشت!$D$2:$D$600,$F$9,[1]اردیبهشت!$AA$2:$AA$600,T3)</f>
        <v>0</v>
      </c>
      <c r="U9" s="114">
        <f>SUMIFS([1]اردیبهشت!$AD$2:$AD$600,[1]اردیبهشت!$N$2:$N$600,7102,[1]اردیبهشت!$D$2:$D$600,$F$9,[1]اردیبهشت!$AA$2:$AA$600,U3)</f>
        <v>0</v>
      </c>
    </row>
    <row r="10" spans="1:21" ht="36" customHeight="1" thickBot="1" x14ac:dyDescent="0.3">
      <c r="A10" s="616">
        <v>3</v>
      </c>
      <c r="B10" s="624" t="s">
        <v>14</v>
      </c>
      <c r="C10" s="603">
        <v>7103</v>
      </c>
      <c r="D10" s="2">
        <v>44</v>
      </c>
      <c r="E10" s="603" t="s">
        <v>15</v>
      </c>
      <c r="F10" s="603" t="s">
        <v>12</v>
      </c>
      <c r="G10" s="623">
        <f t="shared" si="0"/>
        <v>32.5</v>
      </c>
      <c r="H10" s="46">
        <f t="shared" si="1"/>
        <v>0</v>
      </c>
      <c r="I10" s="4">
        <v>0</v>
      </c>
      <c r="J10" s="4">
        <v>0</v>
      </c>
      <c r="K10" s="4">
        <v>0</v>
      </c>
      <c r="L10" s="4">
        <v>0</v>
      </c>
      <c r="M10" s="4">
        <f>SUM(G10:L10)-64</f>
        <v>-31.5</v>
      </c>
      <c r="N10" s="609" t="s">
        <v>40</v>
      </c>
      <c r="O10" s="295">
        <f>SUMIFS([1]تیر!$AF$2:$AF$805,[1]تیر!$O$2:$O$805,7103,[1]تیر!$D$2:$D$805,$F$10,[1]تیر!$AC$2:$AC$805,O3)</f>
        <v>6.5</v>
      </c>
      <c r="P10" s="177">
        <f>SUMIFS([1]تیر!$AF$2:$AF$805,[1]تیر!$O$2:$O$805,7103,[1]تیر!$D$2:$D$805,$F$10,[1]تیر!$AC$2:$AC$805,P3)</f>
        <v>6.5</v>
      </c>
      <c r="Q10" s="177">
        <f>SUMIFS([1]تیر!$AF$2:$AF$805,[1]تیر!$O$2:$O$805,7103,[1]تیر!$D$2:$D$805,$F$10,[1]تیر!$AC$2:$AC$805,Q3)</f>
        <v>6.5</v>
      </c>
      <c r="R10" s="177">
        <f>SUMIFS([1]تیر!$AF$2:$AF$805,[1]تیر!$O$2:$O$805,7103,[1]تیر!$D$2:$D$805,$F$10,[1]تیر!$AC$2:$AC$805,R3)</f>
        <v>6.5</v>
      </c>
      <c r="S10" s="177">
        <f>SUMIFS([1]تیر!$AF$2:$AF$805,[1]تیر!$O$2:$O$805,7103,[1]تیر!$D$2:$D$805,$F$10,[1]تیر!$AC$2:$AC$805,S3)</f>
        <v>6.5</v>
      </c>
      <c r="T10" s="177">
        <f>SUMIFS([1]تیر!$AF$2:$AF$805,[1]تیر!$O$2:$O$805,7103,[1]تیر!$D$2:$D$805,$F$10,[1]تیر!$AC$2:$AC$805,T3)</f>
        <v>0</v>
      </c>
      <c r="U10" s="113">
        <f>SUMIFS([1]تیر!$AF$2:$AF$805,[1]تیر!$O$2:$O$805,7103,[1]تیر!$D$2:$D$805,$F$10,[1]تیر!$AC$2:$AC$805,U3)</f>
        <v>0</v>
      </c>
    </row>
    <row r="11" spans="1:21" ht="36" customHeight="1" thickBot="1" x14ac:dyDescent="0.3">
      <c r="A11" s="615">
        <v>4</v>
      </c>
      <c r="B11" s="620" t="s">
        <v>18</v>
      </c>
      <c r="C11" s="621">
        <v>7201</v>
      </c>
      <c r="D11" s="621">
        <v>62.5</v>
      </c>
      <c r="E11" s="621" t="s">
        <v>19</v>
      </c>
      <c r="F11" s="140"/>
      <c r="G11" s="21">
        <f t="shared" si="0"/>
        <v>0</v>
      </c>
      <c r="H11" s="63">
        <f t="shared" si="1"/>
        <v>0</v>
      </c>
      <c r="I11" s="141">
        <v>0</v>
      </c>
      <c r="J11" s="141">
        <v>62</v>
      </c>
      <c r="K11" s="141">
        <v>0</v>
      </c>
      <c r="L11" s="141">
        <v>0</v>
      </c>
      <c r="M11" s="141">
        <f>SUM(G11:J11)-62</f>
        <v>0</v>
      </c>
      <c r="N11" s="142" t="s">
        <v>41</v>
      </c>
      <c r="O11" s="296"/>
      <c r="P11" s="201"/>
      <c r="Q11" s="201"/>
      <c r="R11" s="201"/>
      <c r="S11" s="201"/>
      <c r="T11" s="201"/>
      <c r="U11" s="111"/>
    </row>
    <row r="12" spans="1:21" ht="36" customHeight="1" x14ac:dyDescent="0.25">
      <c r="A12" s="985">
        <v>5</v>
      </c>
      <c r="B12" s="974" t="s">
        <v>18</v>
      </c>
      <c r="C12" s="932">
        <v>7202</v>
      </c>
      <c r="D12" s="932">
        <v>62.5</v>
      </c>
      <c r="E12" s="932" t="s">
        <v>15</v>
      </c>
      <c r="F12" s="574" t="s">
        <v>46</v>
      </c>
      <c r="G12" s="21">
        <f t="shared" si="0"/>
        <v>7.5</v>
      </c>
      <c r="H12" s="63">
        <v>0</v>
      </c>
      <c r="I12" s="21">
        <v>0</v>
      </c>
      <c r="J12" s="21">
        <v>0</v>
      </c>
      <c r="K12" s="21">
        <v>0</v>
      </c>
      <c r="L12" s="21">
        <v>0</v>
      </c>
      <c r="M12" s="21"/>
      <c r="N12" s="607"/>
      <c r="O12" s="298">
        <f>SUMIFS([1]تیر!$AF$2:$AF$805,[1]تیر!$O$2:$O$805,7202,[1]تیر!$D$2:$D$805,$F$12,[1]تیر!$AC$2:$AC$805,O3)</f>
        <v>0</v>
      </c>
      <c r="P12" s="188">
        <f>SUMIFS([1]تیر!$AF$2:$AF$805,[1]تیر!$O$2:$O$805,7202,[1]تیر!$D$2:$D$805,$F$12,[1]تیر!$AC$2:$AC$805,P3)</f>
        <v>0</v>
      </c>
      <c r="Q12" s="188">
        <f>SUMIFS([1]تیر!$AF$2:$AF$805,[1]تیر!$O$2:$O$805,7202,[1]تیر!$D$2:$D$805,$F$12,[1]تیر!$AC$2:$AC$805,Q3)</f>
        <v>0</v>
      </c>
      <c r="R12" s="188">
        <f>SUMIFS([1]تیر!$AF$2:$AF$805,[1]تیر!$O$2:$O$805,7202,[1]تیر!$D$2:$D$805,$F$12,[1]تیر!$AC$2:$AC$805,R3)</f>
        <v>7.5</v>
      </c>
      <c r="S12" s="188">
        <f>SUMIFS([1]تیر!$AF$2:$AF$805,[1]تیر!$O$2:$O$805,7202,[1]تیر!$D$2:$D$805,$F$12,[1]تیر!$AC$2:$AC$805,S3)</f>
        <v>0</v>
      </c>
      <c r="T12" s="188">
        <f>SUMIFS([1]تیر!$AF$2:$AF$805,[1]تیر!$O$2:$O$805,7202,[1]تیر!$D$2:$D$805,$F$12,[1]تیر!$AC$2:$AC$805,T3)</f>
        <v>0</v>
      </c>
      <c r="U12" s="128">
        <f>SUMIFS([1]تیر!$AF$2:$AF$805,[1]تیر!$O$2:$O$805,7202,[1]تیر!$D$2:$D$805,$F$12,[1]تیر!$AC$2:$AC$805,U3)</f>
        <v>0</v>
      </c>
    </row>
    <row r="13" spans="1:21" ht="36" customHeight="1" x14ac:dyDescent="0.25">
      <c r="A13" s="986"/>
      <c r="B13" s="975"/>
      <c r="C13" s="933"/>
      <c r="D13" s="933"/>
      <c r="E13" s="933"/>
      <c r="F13" s="22"/>
      <c r="G13" s="3">
        <f t="shared" si="0"/>
        <v>0</v>
      </c>
      <c r="H13" s="47">
        <v>0</v>
      </c>
      <c r="I13" s="3">
        <v>0</v>
      </c>
      <c r="J13" s="3">
        <v>0</v>
      </c>
      <c r="K13" s="3">
        <v>0</v>
      </c>
      <c r="L13" s="3">
        <v>0</v>
      </c>
      <c r="M13" s="3">
        <f>(G12+G13+G14)-(D12)+(J14)</f>
        <v>0</v>
      </c>
      <c r="N13" s="579"/>
      <c r="O13" s="583">
        <f>SUMIFS([1]تیر!$AF$2:$AF$805,[1]تیر!$O$2:$O$805,7202,[1]تیر!$D$2:$D$805,$F$13,[1]تیر!$AC$2:$AC$805,O3)</f>
        <v>0</v>
      </c>
      <c r="P13" s="575">
        <f>SUMIFS([1]تیر!$AF$2:$AF$805,[1]تیر!$O$2:$O$805,7202,[1]تیر!$D$2:$D$805,$F$13,[1]تیر!$AC$2:$AC$805,P3)</f>
        <v>0</v>
      </c>
      <c r="Q13" s="575">
        <f>SUMIFS([1]تیر!$AF$2:$AF$805,[1]تیر!$O$2:$O$805,7202,[1]تیر!$D$2:$D$805,$F$13,[1]تیر!$AC$2:$AC$805,Q3)</f>
        <v>0</v>
      </c>
      <c r="R13" s="575">
        <f>SUMIFS([1]تیر!$AF$2:$AF$805,[1]تیر!$O$2:$O$805,7202,[1]تیر!$D$2:$D$805,$F$13,[1]تیر!$AC$2:$AC$805,R3)</f>
        <v>0</v>
      </c>
      <c r="S13" s="575">
        <f>SUMIFS([1]تیر!$AF$2:$AF$805,[1]تیر!$O$2:$O$805,7202,[1]تیر!$D$2:$D$805,$F$13,[1]تیر!$AC$2:$AC$805,S3)</f>
        <v>0</v>
      </c>
      <c r="T13" s="575">
        <f>SUMIFS([1]تیر!$AF$2:$AF$805,[1]تیر!$O$2:$O$805,7202,[1]تیر!$D$2:$D$805,$F$13,[1]تیر!$AC$2:$AC$805,T3)</f>
        <v>0</v>
      </c>
      <c r="U13" s="581">
        <f>SUMIFS([1]تیر!$AF$2:$AF$805,[1]تیر!$O$2:$O$805,7202,[1]تیر!$D$2:$D$805,$F$13,[1]تیر!$AC$2:$AC$805,U3)</f>
        <v>0</v>
      </c>
    </row>
    <row r="14" spans="1:21" ht="36" customHeight="1" thickBot="1" x14ac:dyDescent="0.3">
      <c r="A14" s="987"/>
      <c r="B14" s="975"/>
      <c r="C14" s="933"/>
      <c r="D14" s="933"/>
      <c r="E14" s="933"/>
      <c r="F14" s="66" t="s">
        <v>159</v>
      </c>
      <c r="G14" s="6">
        <f t="shared" si="0"/>
        <v>33</v>
      </c>
      <c r="H14" s="64">
        <v>0</v>
      </c>
      <c r="I14" s="6">
        <v>0</v>
      </c>
      <c r="J14" s="6">
        <v>22</v>
      </c>
      <c r="K14" s="6">
        <v>0</v>
      </c>
      <c r="L14" s="6">
        <v>0</v>
      </c>
      <c r="M14" s="6"/>
      <c r="N14" s="312" t="s">
        <v>28</v>
      </c>
      <c r="O14" s="584">
        <f>SUMIFS([1]تیر!$AF$2:$AF$805,[1]تیر!$O$2:$O$805,7202,[1]تیر!$D$2:$D$805,$F$14,[1]تیر!$AC$2:$AC$805,O3)</f>
        <v>11</v>
      </c>
      <c r="P14" s="191">
        <f>SUMIFS([1]تیر!$AF$2:$AF$805,[1]تیر!$O$2:$O$805,7202,[1]تیر!$D$2:$D$805,$F$14,[1]تیر!$AC$2:$AC$805,P3)</f>
        <v>11</v>
      </c>
      <c r="Q14" s="191">
        <f>SUMIFS([1]تیر!$AF$2:$AF$805,[1]تیر!$O$2:$O$805,7202,[1]تیر!$D$2:$D$805,$F$14,[1]تیر!$AC$2:$AC$805,Q3)</f>
        <v>11</v>
      </c>
      <c r="R14" s="191">
        <f>SUMIFS([1]تیر!$AF$2:$AF$805,[1]تیر!$O$2:$O$805,7202,[1]تیر!$D$2:$D$805,$F$14,[1]تیر!$AC$2:$AC$805,R3)</f>
        <v>0</v>
      </c>
      <c r="S14" s="191">
        <f>SUMIFS([1]تیر!$AF$2:$AF$805,[1]تیر!$O$2:$O$805,7202,[1]تیر!$D$2:$D$805,$F$14,[1]تیر!$AC$2:$AC$805,S3)</f>
        <v>0</v>
      </c>
      <c r="T14" s="191">
        <f>SUMIFS([1]تیر!$AF$2:$AF$805,[1]تیر!$O$2:$O$805,7202,[1]تیر!$D$2:$D$805,$F$14,[1]تیر!$AC$2:$AC$805,T3)</f>
        <v>0</v>
      </c>
      <c r="U14" s="115">
        <f>SUMIFS([1]تیر!$AF$2:$AF$805,[1]تیر!$O$2:$O$805,7202,[1]تیر!$D$2:$D$805,$F$14,[1]تیر!$AC$2:$AC$805,U3)</f>
        <v>0</v>
      </c>
    </row>
    <row r="15" spans="1:21" ht="36" customHeight="1" thickBot="1" x14ac:dyDescent="0.3">
      <c r="A15" s="45">
        <v>6</v>
      </c>
      <c r="B15" s="41" t="s">
        <v>18</v>
      </c>
      <c r="C15" s="13">
        <v>7203</v>
      </c>
      <c r="D15" s="13">
        <v>62.5</v>
      </c>
      <c r="E15" s="13" t="s">
        <v>15</v>
      </c>
      <c r="F15" s="16" t="s">
        <v>45</v>
      </c>
      <c r="G15" s="14">
        <f t="shared" si="0"/>
        <v>57</v>
      </c>
      <c r="H15" s="48">
        <v>0</v>
      </c>
      <c r="I15" s="14">
        <v>0</v>
      </c>
      <c r="J15" s="14">
        <v>0</v>
      </c>
      <c r="K15" s="14">
        <v>0</v>
      </c>
      <c r="L15" s="14">
        <v>0</v>
      </c>
      <c r="M15" s="14">
        <f>(G15+H15+I15+J15+K15)-D15</f>
        <v>-5.5</v>
      </c>
      <c r="N15" s="61"/>
      <c r="O15" s="295">
        <f>SUMIFS([1]تیر!$AF$2:$AF$805,[1]تیر!$O$2:$O$805,7203,[1]تیر!$D$2:$D$805,$F$15,[1]تیر!$AC$2:$AC$805,O3)</f>
        <v>11</v>
      </c>
      <c r="P15" s="177">
        <f>SUMIFS([1]تیر!$AF$2:$AF$805,[1]تیر!$O$2:$O$805,7203,[1]تیر!$D$2:$D$805,$F$15,[1]تیر!$AC$2:$AC$805,P3)</f>
        <v>5.5</v>
      </c>
      <c r="Q15" s="177">
        <f>SUMIFS([1]تیر!$AF$2:$AF$805,[1]تیر!$O$2:$O$805,7203,[1]تیر!$D$2:$D$805,$F$15,[1]تیر!$AC$2:$AC$805,Q3)</f>
        <v>11</v>
      </c>
      <c r="R15" s="177">
        <f>SUMIFS([1]تیر!$AF$2:$AF$805,[1]تیر!$O$2:$O$805,7203,[1]تیر!$D$2:$D$805,$F$15,[1]تیر!$AC$2:$AC$805,R3)</f>
        <v>11</v>
      </c>
      <c r="S15" s="177">
        <f>SUMIFS([1]تیر!$AF$2:$AF$805,[1]تیر!$O$2:$O$805,7203,[1]تیر!$D$2:$D$805,$F$15,[1]تیر!$AC$2:$AC$805,S3)</f>
        <v>11</v>
      </c>
      <c r="T15" s="177">
        <f>SUMIFS([1]تیر!$AF$2:$AF$805,[1]تیر!$O$2:$O$805,7203,[1]تیر!$D$2:$D$805,$F$15,[1]تیر!$AC$2:$AC$805,T3)</f>
        <v>7.5</v>
      </c>
      <c r="U15" s="99">
        <f>SUMIFS([1]تیر!$AF$2:$AF$805,[1]تیر!$O$2:$O$805,7203,[1]تیر!$D$2:$D$805,$F$15,[1]تیر!$AC$2:$AC$805,U3)</f>
        <v>0</v>
      </c>
    </row>
    <row r="16" spans="1:21" ht="36" customHeight="1" thickBot="1" x14ac:dyDescent="0.3">
      <c r="A16" s="45">
        <v>7</v>
      </c>
      <c r="B16" s="41" t="s">
        <v>18</v>
      </c>
      <c r="C16" s="13">
        <v>7204</v>
      </c>
      <c r="D16" s="13">
        <v>62.5</v>
      </c>
      <c r="E16" s="13" t="s">
        <v>15</v>
      </c>
      <c r="F16" s="16" t="s">
        <v>144</v>
      </c>
      <c r="G16" s="14">
        <f t="shared" si="0"/>
        <v>62.5</v>
      </c>
      <c r="H16" s="48">
        <f t="shared" si="1"/>
        <v>5.5</v>
      </c>
      <c r="I16" s="14">
        <v>0</v>
      </c>
      <c r="J16" s="14">
        <v>0</v>
      </c>
      <c r="K16" s="14">
        <v>0</v>
      </c>
      <c r="L16" s="14">
        <v>0</v>
      </c>
      <c r="M16" s="14">
        <f>SUM(G16:J16)-62</f>
        <v>6</v>
      </c>
      <c r="N16" s="61"/>
      <c r="O16" s="295">
        <f>SUMIFS([1]تیر!$AF$2:$AF$805,[1]تیر!$O$2:$O$805,7204,[1]تیر!$D$2:$D$805,$F$16,[1]تیر!$AC$2:$AC$805,O3)</f>
        <v>11</v>
      </c>
      <c r="P16" s="177">
        <f>SUMIFS([1]تیر!$AF$2:$AF$805,[1]تیر!$O$2:$O$805,7204,[1]تیر!$D$2:$D$805,$F$16,[1]تیر!$AC$2:$AC$805,P3)</f>
        <v>11</v>
      </c>
      <c r="Q16" s="177">
        <f>SUMIFS([1]تیر!$AF$2:$AF$805,[1]تیر!$O$2:$O$805,7204,[1]تیر!$D$2:$D$805,$F$16,[1]تیر!$AC$2:$AC$805,Q3)</f>
        <v>11</v>
      </c>
      <c r="R16" s="177">
        <f>SUMIFS([1]تیر!$AF$2:$AF$805,[1]تیر!$O$2:$O$805,7204,[1]تیر!$D$2:$D$805,$F$16,[1]تیر!$AC$2:$AC$805,R3)</f>
        <v>11</v>
      </c>
      <c r="S16" s="177">
        <f>SUMIFS([1]تیر!$AF$2:$AF$805,[1]تیر!$O$2:$O$805,7204,[1]تیر!$D$2:$D$805,$F$16,[1]تیر!$AC$2:$AC$805,S3)</f>
        <v>11</v>
      </c>
      <c r="T16" s="177">
        <f>SUMIFS([1]تیر!$AF$2:$AF$805,[1]تیر!$O$2:$O$805,7204,[1]تیر!$D$2:$D$805,$F$16,[1]تیر!$AC$2:$AC$805,T3)</f>
        <v>7.5</v>
      </c>
      <c r="U16" s="99">
        <f>SUMIFS([1]تیر!$AF$2:$AF$805,[1]تیر!$O$2:$O$805,7204,[1]تیر!$D$2:$D$805,$F$16,[1]تیر!$AC$2:$AC$805,U3)</f>
        <v>5.5</v>
      </c>
    </row>
    <row r="17" spans="1:21" ht="36" customHeight="1" thickBot="1" x14ac:dyDescent="0.3">
      <c r="A17" s="616">
        <v>8</v>
      </c>
      <c r="B17" s="612" t="s">
        <v>21</v>
      </c>
      <c r="C17" s="604">
        <v>7301</v>
      </c>
      <c r="D17" s="604">
        <v>62.5</v>
      </c>
      <c r="E17" s="604" t="s">
        <v>15</v>
      </c>
      <c r="F17" s="576" t="s">
        <v>22</v>
      </c>
      <c r="G17" s="6">
        <f t="shared" si="0"/>
        <v>57.666666666666664</v>
      </c>
      <c r="H17" s="64">
        <f t="shared" si="1"/>
        <v>0</v>
      </c>
      <c r="I17" s="6">
        <v>4.5</v>
      </c>
      <c r="J17" s="6">
        <v>0</v>
      </c>
      <c r="K17" s="6">
        <v>0</v>
      </c>
      <c r="L17" s="6">
        <v>0</v>
      </c>
      <c r="M17" s="6">
        <f>SUM(G17:L17)-D17</f>
        <v>-0.3333333333333357</v>
      </c>
      <c r="N17" s="592" t="s">
        <v>29</v>
      </c>
      <c r="O17" s="577">
        <f>SUMIFS([1]تیر!$AF$2:$AF$805,[1]تیر!$O$2:$O$805,7301,[1]تیر!$D$2:$D$805,$F$17,[1]تیر!$AC$2:$AC$805,O3)</f>
        <v>10</v>
      </c>
      <c r="P17" s="577">
        <f>SUMIFS([1]تیر!$AF$2:$AF$805,[1]تیر!$O$2:$O$805,7301,[1]تیر!$D$2:$D$805,$F$17,[1]تیر!$AC$2:$AC$805,P3)</f>
        <v>10.666666666666666</v>
      </c>
      <c r="Q17" s="577">
        <f>SUMIFS([1]تیر!$AF$2:$AF$805,[1]تیر!$O$2:$O$805,7301,[1]تیر!$D$2:$D$805,$F$17,[1]تیر!$AC$2:$AC$805,Q3)</f>
        <v>11</v>
      </c>
      <c r="R17" s="577">
        <f>SUMIFS([1]تیر!$AF$2:$AF$805,[1]تیر!$O$2:$O$805,7301,[1]تیر!$D$2:$D$805,$F$17,[1]تیر!$AC$2:$AC$805,R3)</f>
        <v>9</v>
      </c>
      <c r="S17" s="577">
        <f>SUMIFS([1]تیر!$AF$2:$AF$805,[1]تیر!$O$2:$O$805,7301,[1]تیر!$D$2:$D$805,$F$17,[1]تیر!$AC$2:$AC$805,S3)</f>
        <v>11</v>
      </c>
      <c r="T17" s="577">
        <f>SUMIFS([1]تیر!$AF$2:$AF$805,[1]تیر!$O$2:$O$805,7301,[1]تیر!$D$2:$D$805,$F$17,[1]تیر!$AC$2:$AC$805,T3)</f>
        <v>6</v>
      </c>
      <c r="U17" s="578">
        <f>SUMIFS([1]تیر!$AF$2:$AF$805,[1]تیر!$O$2:$O$805,7301,[1]تیر!$D$2:$D$805,$F$17,[1]تیر!$AC$2:$AC$805,U3)</f>
        <v>0</v>
      </c>
    </row>
    <row r="18" spans="1:21" ht="36" hidden="1" customHeight="1" x14ac:dyDescent="0.25">
      <c r="A18" s="614"/>
      <c r="B18" s="611"/>
      <c r="C18" s="42"/>
      <c r="D18" s="602"/>
      <c r="E18" s="932" t="s">
        <v>15</v>
      </c>
      <c r="F18" s="20"/>
      <c r="G18" s="623">
        <f t="shared" si="0"/>
        <v>0</v>
      </c>
      <c r="H18" s="46">
        <f>U18</f>
        <v>0</v>
      </c>
      <c r="I18" s="623">
        <v>0</v>
      </c>
      <c r="J18" s="623">
        <v>0</v>
      </c>
      <c r="K18" s="623">
        <v>0</v>
      </c>
      <c r="L18" s="623">
        <v>0</v>
      </c>
      <c r="M18" s="21"/>
      <c r="N18" s="945" t="s">
        <v>44</v>
      </c>
      <c r="O18" s="292">
        <f>SUMIFS([1]تیر!$AF$2:$AF$805,[1]تیر!$O$2:$O$805,7302,[1]تیر!$D$2:$D$805,$F$18,[1]تیر!$AC$2:$AC$805,O3)</f>
        <v>0</v>
      </c>
      <c r="P18" s="169">
        <f>SUMIFS([1]تیر!$AF$2:$AF$805,[1]تیر!$O$2:$O$805,7302,[1]تیر!$D$2:$D$805,$F$18,[1]تیر!$AC$2:$AC$805,P3)</f>
        <v>0</v>
      </c>
      <c r="Q18" s="169">
        <f>SUMIFS([1]تیر!$AF$2:$AF$805,[1]تیر!$O$2:$O$805,7302,[1]تیر!$D$2:$D$805,$F$18,[1]تیر!$AC$2:$AC$805,Q3)</f>
        <v>0</v>
      </c>
      <c r="R18" s="169">
        <f>SUMIFS([1]تیر!$AF$2:$AF$805,[1]تیر!$O$2:$O$805,7302,[1]تیر!$D$2:$D$805,$F$18,[1]تیر!$AC$2:$AC$805,R3)</f>
        <v>0</v>
      </c>
      <c r="S18" s="169">
        <f>SUMIFS([1]تیر!$AF$2:$AF$805,[1]تیر!$O$2:$O$805,7302,[1]تیر!$D$2:$D$805,$F$18,[1]تیر!$AC$2:$AC$805,S3)</f>
        <v>0</v>
      </c>
      <c r="T18" s="169">
        <f>SUMIFS([1]تیر!$AF$2:$AF$805,[1]تیر!$O$2:$O$805,7302,[1]تیر!$D$2:$D$805,$F$18,[1]تیر!$AC$2:$AC$805,T3)</f>
        <v>0</v>
      </c>
      <c r="U18" s="107">
        <f>SUMIFS([1]تیر!$AF$2:$AF$805,[1]تیر!$O$2:$O$805,7302,[1]تیر!$D$2:$D$805,$F$18,[1]تیر!$AC$2:$AC$805,U3)</f>
        <v>0</v>
      </c>
    </row>
    <row r="19" spans="1:21" ht="36" customHeight="1" thickBot="1" x14ac:dyDescent="0.3">
      <c r="A19" s="615">
        <v>9</v>
      </c>
      <c r="B19" s="605" t="s">
        <v>21</v>
      </c>
      <c r="C19" s="588">
        <v>7302</v>
      </c>
      <c r="D19" s="603">
        <v>62.5</v>
      </c>
      <c r="E19" s="1003"/>
      <c r="F19" s="27" t="s">
        <v>17</v>
      </c>
      <c r="G19" s="3">
        <f t="shared" si="0"/>
        <v>52</v>
      </c>
      <c r="H19" s="47">
        <f t="shared" si="1"/>
        <v>0</v>
      </c>
      <c r="I19" s="3">
        <v>7</v>
      </c>
      <c r="J19" s="3">
        <v>0</v>
      </c>
      <c r="K19" s="3">
        <v>0</v>
      </c>
      <c r="L19" s="3">
        <v>0</v>
      </c>
      <c r="M19" s="4">
        <f>SUM(G18:L20)-D19</f>
        <v>-3.5</v>
      </c>
      <c r="N19" s="929"/>
      <c r="O19" s="293">
        <f>SUMIFS([1]تیر!$AF$2:$AF$805,[1]تیر!$O$2:$O$805,7302,[1]تیر!$D$2:$D$805,$F$19,[1]تیر!$AC$2:$AC$805,O3)</f>
        <v>9.5</v>
      </c>
      <c r="P19" s="168">
        <f>SUMIFS([1]تیر!$AF$2:$AF$805,[1]تیر!$O$2:$O$805,7302,[1]تیر!$D$2:$D$805,$F$19,[1]تیر!$AC$2:$AC$805,P3)</f>
        <v>9</v>
      </c>
      <c r="Q19" s="168">
        <f>SUMIFS([1]تیر!$AF$2:$AF$805,[1]تیر!$O$2:$O$805,7302,[1]تیر!$D$2:$D$805,$F$19,[1]تیر!$AC$2:$AC$805,Q3)</f>
        <v>11</v>
      </c>
      <c r="R19" s="168">
        <f>SUMIFS([1]تیر!$AF$2:$AF$805,[1]تیر!$O$2:$O$805,7302,[1]تیر!$D$2:$D$805,$F$19,[1]تیر!$AC$2:$AC$805,R3)</f>
        <v>8</v>
      </c>
      <c r="S19" s="168">
        <f>SUMIFS([1]تیر!$AF$2:$AF$805,[1]تیر!$O$2:$O$805,7302,[1]تیر!$D$2:$D$805,$F$19,[1]تیر!$AC$2:$AC$805,S3)</f>
        <v>9.5</v>
      </c>
      <c r="T19" s="168">
        <f>SUMIFS([1]تیر!$AF$2:$AF$805,[1]تیر!$O$2:$O$805,7302,[1]تیر!$D$2:$D$805,$F$19,[1]تیر!$AC$2:$AC$805,T3)</f>
        <v>5</v>
      </c>
      <c r="U19" s="108">
        <f>SUMIFS([1]تیر!$AF$2:$AF$805,[1]تیر!$O$2:$O$805,7302,[1]تیر!$D$2:$D$805,$F$19,[1]تیر!$AC$2:$AC$805,U3)</f>
        <v>0</v>
      </c>
    </row>
    <row r="20" spans="1:21" ht="36" hidden="1" customHeight="1" thickBot="1" x14ac:dyDescent="0.3">
      <c r="A20" s="616"/>
      <c r="B20" s="612"/>
      <c r="C20" s="43"/>
      <c r="D20" s="604"/>
      <c r="E20" s="934"/>
      <c r="F20" s="5"/>
      <c r="G20" s="6">
        <f t="shared" si="0"/>
        <v>0</v>
      </c>
      <c r="H20" s="64">
        <f t="shared" si="1"/>
        <v>0</v>
      </c>
      <c r="I20" s="7">
        <v>0</v>
      </c>
      <c r="J20" s="7">
        <v>0</v>
      </c>
      <c r="K20" s="6">
        <v>0</v>
      </c>
      <c r="L20" s="6">
        <v>0</v>
      </c>
      <c r="M20" s="6"/>
      <c r="N20" s="930"/>
      <c r="O20" s="294">
        <f>SUMIFS([1]اردیبهشت!$AD$2:$AD$805,[1]اردیبهشت!$N$2:$N$805,$C$19,[1]اردیبهشت!$D$2:$D$805,$F$19,[1]اردیبهشت!$AA$2:$AA$805,O4)</f>
        <v>0</v>
      </c>
      <c r="P20" s="172">
        <f>SUMIFS([1]اردیبهشت!$AD$2:$AD$805,[1]اردیبهشت!$N$2:$N$805,$C$19,[1]اردیبهشت!$D$2:$D$805,$F$19,[1]اردیبهشت!$AA$2:$AA$805,P4)</f>
        <v>0</v>
      </c>
      <c r="Q20" s="172">
        <f>SUMIFS([1]اردیبهشت!$AD$2:$AD$805,[1]اردیبهشت!$N$2:$N$805,$C$19,[1]اردیبهشت!$D$2:$D$805,$F$19,[1]اردیبهشت!$AA$2:$AA$805,Q4)</f>
        <v>0</v>
      </c>
      <c r="R20" s="172">
        <f>SUMIFS([1]اردیبهشت!$AD$2:$AD$805,[1]اردیبهشت!$N$2:$N$805,$C$19,[1]اردیبهشت!$D$2:$D$805,$F$19,[1]اردیبهشت!$AA$2:$AA$805,R4)</f>
        <v>0</v>
      </c>
      <c r="S20" s="172">
        <f>SUMIFS([1]اردیبهشت!$AD$2:$AD$805,[1]اردیبهشت!$N$2:$N$805,$C$19,[1]اردیبهشت!$D$2:$D$805,$F$19,[1]اردیبهشت!$AA$2:$AA$805,S4)</f>
        <v>0</v>
      </c>
      <c r="T20" s="172">
        <f>SUMIFS([1]اردیبهشت!$AD$2:$AD$805,[1]اردیبهشت!$N$2:$N$805,$C$19,[1]اردیبهشت!$D$2:$D$805,$F$19,[1]اردیبهشت!$AA$2:$AA$805,T4)</f>
        <v>0</v>
      </c>
      <c r="U20" s="109">
        <f>SUMIFS([1]خرداد!$AF$2:$AF$700,[1]خرداد!$O$2:$O$700,7101,[1]خرداد!$D$2:$D$700,$F$4,[1]خرداد!$AC$2:$AC$700,U19)</f>
        <v>0</v>
      </c>
    </row>
    <row r="21" spans="1:21" ht="36" customHeight="1" thickBot="1" x14ac:dyDescent="0.3">
      <c r="A21" s="147">
        <v>10</v>
      </c>
      <c r="B21" s="207" t="s">
        <v>21</v>
      </c>
      <c r="C21" s="129">
        <v>7303</v>
      </c>
      <c r="D21" s="129">
        <v>44</v>
      </c>
      <c r="E21" s="129" t="s">
        <v>19</v>
      </c>
      <c r="F21" s="208"/>
      <c r="G21" s="209">
        <f t="shared" si="0"/>
        <v>0</v>
      </c>
      <c r="H21" s="210">
        <f t="shared" si="1"/>
        <v>0</v>
      </c>
      <c r="I21" s="209">
        <v>0</v>
      </c>
      <c r="J21" s="209">
        <v>0</v>
      </c>
      <c r="K21" s="209">
        <v>0</v>
      </c>
      <c r="L21" s="209">
        <v>0</v>
      </c>
      <c r="M21" s="209">
        <f>SUM(G21:L21)-44</f>
        <v>-44</v>
      </c>
      <c r="N21" s="313" t="s">
        <v>40</v>
      </c>
      <c r="O21" s="297">
        <f>SUMIFS([1]تیر!$AF$2:$AF$805,[1]تیر!$O$2:$O$805,7303,[1]تیر!$D$2:$D$805,$F$21,[1]تیر!$AC$2:$AC$805,O3)</f>
        <v>0</v>
      </c>
      <c r="P21" s="182">
        <f>SUMIFS([1]تیر!$AF$2:$AF$805,[1]تیر!$O$2:$O$805,7303,[1]تیر!$D$2:$D$805,$F$21,[1]تیر!$AC$2:$AC$805,P3)</f>
        <v>0</v>
      </c>
      <c r="Q21" s="182">
        <f>SUMIFS([1]تیر!$AF$2:$AF$805,[1]تیر!$O$2:$O$805,7303,[1]تیر!$D$2:$D$805,$F$21,[1]تیر!$AC$2:$AC$805,Q3)</f>
        <v>0</v>
      </c>
      <c r="R21" s="182">
        <f>SUMIFS([1]تیر!$AF$2:$AF$805,[1]تیر!$O$2:$O$805,7303,[1]تیر!$D$2:$D$805,$F$21,[1]تیر!$AC$2:$AC$805,R3)</f>
        <v>0</v>
      </c>
      <c r="S21" s="182">
        <f>SUMIFS([1]تیر!$AF$2:$AF$805,[1]تیر!$O$2:$O$805,7303,[1]تیر!$D$2:$D$805,$F$21,[1]تیر!$AC$2:$AC$805,S3)</f>
        <v>0</v>
      </c>
      <c r="T21" s="182">
        <f>SUMIFS([1]تیر!$AF$2:$AF$805,[1]تیر!$O$2:$O$805,7303,[1]تیر!$D$2:$D$805,$F$21,[1]تیر!$AC$2:$AC$805,T3)</f>
        <v>0</v>
      </c>
      <c r="U21" s="156">
        <f>SUMIFS([1]تیر!$AF$2:$AF$805,[1]تیر!$O$2:$O$805,7303,[1]تیر!$D$2:$D$805,$F$21,[1]تیر!$AC$2:$AC$805,U3)</f>
        <v>0</v>
      </c>
    </row>
    <row r="22" spans="1:21" ht="36" hidden="1" customHeight="1" thickBot="1" x14ac:dyDescent="0.3">
      <c r="A22" s="614"/>
      <c r="B22" s="42"/>
      <c r="C22" s="42"/>
      <c r="D22" s="602"/>
      <c r="E22" s="932" t="s">
        <v>15</v>
      </c>
      <c r="F22" s="20"/>
      <c r="G22" s="623">
        <f t="shared" si="0"/>
        <v>0</v>
      </c>
      <c r="H22" s="46">
        <f t="shared" si="1"/>
        <v>0</v>
      </c>
      <c r="I22" s="623">
        <v>0</v>
      </c>
      <c r="J22" s="623">
        <v>0</v>
      </c>
      <c r="K22" s="623">
        <v>0</v>
      </c>
      <c r="L22" s="623">
        <v>0</v>
      </c>
      <c r="M22" s="21"/>
      <c r="N22" s="931" t="s">
        <v>53</v>
      </c>
      <c r="O22" s="292">
        <f>SUMIFS([1]تیر!$AF$2:$AF$805,[1]تیر!$O$2:$O$805,7401,[1]تیر!$D$2:$D$805,$F$22,[1]تیر!$AC$2:$AC$805,O3)</f>
        <v>0</v>
      </c>
      <c r="P22" s="169">
        <f>SUMIFS([1]تیر!$AF$2:$AF$805,[1]تیر!$O$2:$O$805,7401,[1]تیر!$D$2:$D$805,$F$22,[1]تیر!$AC$2:$AC$805,P3)</f>
        <v>0</v>
      </c>
      <c r="Q22" s="169">
        <f>SUMIFS([1]تیر!$AF$2:$AF$805,[1]تیر!$O$2:$O$805,7401,[1]تیر!$D$2:$D$805,$F$22,[1]تیر!$AC$2:$AC$805,Q3)</f>
        <v>0</v>
      </c>
      <c r="R22" s="169">
        <f>SUMIFS([1]تیر!$AF$2:$AF$805,[1]تیر!$O$2:$O$805,7401,[1]تیر!$D$2:$D$805,$F$22,[1]تیر!$AC$2:$AC$805,R3)</f>
        <v>0</v>
      </c>
      <c r="S22" s="169">
        <f>SUMIFS([1]تیر!$AF$2:$AF$805,[1]تیر!$O$2:$O$805,7401,[1]تیر!$D$2:$D$805,$F$22,[1]تیر!$AC$2:$AC$805,S3)</f>
        <v>0</v>
      </c>
      <c r="T22" s="169">
        <f>SUMIFS([1]تیر!$AF$2:$AF$805,[1]تیر!$O$2:$O$805,7401,[1]تیر!$D$2:$D$805,$F$22,[1]تیر!$AC$2:$AC$805,T3)</f>
        <v>0</v>
      </c>
      <c r="U22" s="107">
        <f>SUMIFS([1]تیر!$AF$2:$AF$805,[1]تیر!$O$2:$O$805,7401,[1]تیر!$D$2:$D$805,$F$22,[1]تیر!$AC$2:$AC$805,U3)</f>
        <v>0</v>
      </c>
    </row>
    <row r="23" spans="1:21" ht="36" customHeight="1" thickBot="1" x14ac:dyDescent="0.3">
      <c r="A23" s="615">
        <v>11</v>
      </c>
      <c r="B23" s="587" t="s">
        <v>24</v>
      </c>
      <c r="C23" s="603">
        <v>7401</v>
      </c>
      <c r="D23" s="603">
        <v>62.5</v>
      </c>
      <c r="E23" s="1003"/>
      <c r="F23" s="20" t="s">
        <v>16</v>
      </c>
      <c r="G23" s="3">
        <f t="shared" si="0"/>
        <v>5.5</v>
      </c>
      <c r="H23" s="47">
        <f t="shared" si="1"/>
        <v>0</v>
      </c>
      <c r="I23" s="3">
        <v>0</v>
      </c>
      <c r="J23" s="3">
        <v>0</v>
      </c>
      <c r="K23" s="3">
        <v>0</v>
      </c>
      <c r="L23" s="205">
        <v>0</v>
      </c>
      <c r="M23" s="4">
        <f>SUM(G22:L24)-D23</f>
        <v>-57</v>
      </c>
      <c r="N23" s="995"/>
      <c r="O23" s="293">
        <f>SUMIFS([1]تیر!$AF$2:$AF$805,[1]تیر!$O$2:$O$805,7401,[1]تیر!$D$2:$D$805,$F$23,[1]تیر!$AC$2:$AC$805,O3)</f>
        <v>0</v>
      </c>
      <c r="P23" s="168">
        <f>SUMIFS([1]تیر!$AF$2:$AF$805,[1]تیر!$O$2:$O$805,7401,[1]تیر!$D$2:$D$805,$F$23,[1]تیر!$AC$2:$AC$805,P3)</f>
        <v>2</v>
      </c>
      <c r="Q23" s="168">
        <f>SUMIFS([1]تیر!$AF$2:$AF$805,[1]تیر!$O$2:$O$805,7401,[1]تیر!$D$2:$D$805,$F$23,[1]تیر!$AC$2:$AC$805,Q3)</f>
        <v>2.5</v>
      </c>
      <c r="R23" s="168">
        <f>SUMIFS([1]تیر!$AF$2:$AF$805,[1]تیر!$O$2:$O$805,7401,[1]تیر!$D$2:$D$805,$F$23,[1]تیر!$AC$2:$AC$805,R3)</f>
        <v>1</v>
      </c>
      <c r="S23" s="168">
        <f>SUMIFS([1]تیر!$AF$2:$AF$805,[1]تیر!$O$2:$O$805,7401,[1]تیر!$D$2:$D$805,$F$23,[1]تیر!$AC$2:$AC$805,S3)</f>
        <v>0</v>
      </c>
      <c r="T23" s="168">
        <f>SUMIFS([1]تیر!$AF$2:$AF$805,[1]تیر!$O$2:$O$805,7401,[1]تیر!$D$2:$D$805,$F$23,[1]تیر!$AC$2:$AC$805,T3)</f>
        <v>0</v>
      </c>
      <c r="U23" s="108">
        <f>SUMIFS([1]تیر!$AF$2:$AF$805,[1]تیر!$O$2:$O$805,7401,[1]تیر!$D$2:$D$805,$F$23,[1]تیر!$AC$2:$AC$805,U3)</f>
        <v>0</v>
      </c>
    </row>
    <row r="24" spans="1:21" ht="36" hidden="1" customHeight="1" thickBot="1" x14ac:dyDescent="0.3">
      <c r="A24" s="616"/>
      <c r="B24" s="43" t="s">
        <v>24</v>
      </c>
      <c r="C24" s="43"/>
      <c r="D24" s="604"/>
      <c r="E24" s="934"/>
      <c r="F24" s="5"/>
      <c r="G24" s="6">
        <f t="shared" si="0"/>
        <v>0</v>
      </c>
      <c r="H24" s="64">
        <f t="shared" si="1"/>
        <v>0</v>
      </c>
      <c r="I24" s="7">
        <v>0</v>
      </c>
      <c r="J24" s="7">
        <v>0</v>
      </c>
      <c r="K24" s="6">
        <v>0</v>
      </c>
      <c r="L24" s="6">
        <v>0</v>
      </c>
      <c r="M24" s="6"/>
      <c r="N24" s="930"/>
      <c r="O24" s="294">
        <f>SUMIFS([1]تیر!$AF$2:$AF$805,[1]تیر!$O$2:$O$805,7401,[1]تیر!$D$2:$D$805,$F$24,[1]تیر!$AC$2:$AC$805,O3)</f>
        <v>0</v>
      </c>
      <c r="P24" s="172">
        <f>SUMIFS([1]تیر!$AF$2:$AF$805,[1]تیر!$O$2:$O$805,7401,[1]تیر!$D$2:$D$805,$F$24,[1]تیر!$AC$2:$AC$805,P3)</f>
        <v>0</v>
      </c>
      <c r="Q24" s="172">
        <f>SUMIFS([1]تیر!$AF$2:$AF$805,[1]تیر!$O$2:$O$805,7401,[1]تیر!$D$2:$D$805,$F$24,[1]تیر!$AC$2:$AC$805,Q3)</f>
        <v>0</v>
      </c>
      <c r="R24" s="172">
        <f>SUMIFS([1]تیر!$AF$2:$AF$805,[1]تیر!$O$2:$O$805,7401,[1]تیر!$D$2:$D$805,$F$24,[1]تیر!$AC$2:$AC$805,R3)</f>
        <v>0</v>
      </c>
      <c r="S24" s="172">
        <f>SUMIFS([1]تیر!$AF$2:$AF$805,[1]تیر!$O$2:$O$805,7401,[1]تیر!$D$2:$D$805,$F$24,[1]تیر!$AC$2:$AC$805,S3)</f>
        <v>0</v>
      </c>
      <c r="T24" s="172">
        <f>SUMIFS([1]تیر!$AF$2:$AF$805,[1]تیر!$O$2:$O$805,7401,[1]تیر!$D$2:$D$805,$F$24,[1]تیر!$AC$2:$AC$805,T3)</f>
        <v>0</v>
      </c>
      <c r="U24" s="109">
        <f>SUMIFS([1]تیر!$AF$2:$AF$805,[1]تیر!$O$2:$O$805,7401,[1]تیر!$D$2:$D$805,$F$24,[1]تیر!$AC$2:$AC$805,U3)</f>
        <v>0</v>
      </c>
    </row>
    <row r="25" spans="1:21" ht="36" customHeight="1" x14ac:dyDescent="0.25">
      <c r="A25" s="614"/>
      <c r="B25" s="307"/>
      <c r="C25" s="598"/>
      <c r="D25" s="598"/>
      <c r="E25" s="932" t="s">
        <v>19</v>
      </c>
      <c r="F25" s="20"/>
      <c r="G25" s="623">
        <f t="shared" si="0"/>
        <v>0</v>
      </c>
      <c r="H25" s="46">
        <f t="shared" si="1"/>
        <v>0</v>
      </c>
      <c r="I25" s="623">
        <v>0</v>
      </c>
      <c r="J25" s="623">
        <v>0</v>
      </c>
      <c r="K25" s="623">
        <v>0</v>
      </c>
      <c r="L25" s="623">
        <v>0</v>
      </c>
      <c r="M25" s="21"/>
      <c r="N25" s="931" t="s">
        <v>28</v>
      </c>
      <c r="O25" s="292">
        <f>SUMIFS([1]اردیبهشت!$AD$2:$AD$805,[1]اردیبهشت!$N$2:$N$805,$C$25,[1]اردیبهشت!$D$2:$D$805,$F$25,[1]اردیبهشت!$AA$2:$AA$805,O3)</f>
        <v>0</v>
      </c>
      <c r="P25" s="169">
        <f>SUMIFS([1]اردیبهشت!$AD$2:$AD$805,[1]اردیبهشت!$N$2:$N$805,$C$25,[1]اردیبهشت!$D$2:$D$805,$F$25,[1]اردیبهشت!$AA$2:$AA$805,P3)</f>
        <v>0</v>
      </c>
      <c r="Q25" s="169">
        <f>SUMIFS([1]اردیبهشت!$AD$2:$AD$805,[1]اردیبهشت!$N$2:$N$805,$C$25,[1]اردیبهشت!$D$2:$D$805,$F$25,[1]اردیبهشت!$AA$2:$AA$805,Q3)</f>
        <v>0</v>
      </c>
      <c r="R25" s="169">
        <f>SUMIFS([1]اردیبهشت!$AD$2:$AD$805,[1]اردیبهشت!$N$2:$N$805,$C$25,[1]اردیبهشت!$D$2:$D$805,$F$25,[1]اردیبهشت!$AA$2:$AA$805,R3)</f>
        <v>0</v>
      </c>
      <c r="S25" s="169">
        <f>SUMIFS([1]اردیبهشت!$AD$2:$AD$805,[1]اردیبهشت!$N$2:$N$805,$C$25,[1]اردیبهشت!$D$2:$D$805,$F$25,[1]اردیبهشت!$AA$2:$AA$805,S3)</f>
        <v>0</v>
      </c>
      <c r="T25" s="169">
        <f>SUMIFS([1]اردیبهشت!$AD$2:$AD$805,[1]اردیبهشت!$N$2:$N$805,$C$25,[1]اردیبهشت!$D$2:$D$805,$F$25,[1]اردیبهشت!$AA$2:$AA$805,T3)</f>
        <v>0</v>
      </c>
      <c r="U25" s="107">
        <f>SUMIFS([1]خرداد!$AF$2:$AF$700,[1]خرداد!$O$2:$O$700,7101,[1]خرداد!$D$2:$D$700,$F$4,[1]خرداد!$AC$2:$AC$700,U24)</f>
        <v>0</v>
      </c>
    </row>
    <row r="26" spans="1:21" ht="36" customHeight="1" x14ac:dyDescent="0.25">
      <c r="A26" s="615">
        <v>12</v>
      </c>
      <c r="B26" s="308" t="s">
        <v>25</v>
      </c>
      <c r="C26" s="599">
        <v>7501</v>
      </c>
      <c r="D26" s="603">
        <v>62.5</v>
      </c>
      <c r="E26" s="933"/>
      <c r="F26" s="22" t="s">
        <v>36</v>
      </c>
      <c r="G26" s="3">
        <f t="shared" si="0"/>
        <v>12</v>
      </c>
      <c r="H26" s="47">
        <f t="shared" si="1"/>
        <v>0</v>
      </c>
      <c r="I26" s="3">
        <v>0</v>
      </c>
      <c r="J26" s="3">
        <v>0</v>
      </c>
      <c r="K26" s="3">
        <v>0</v>
      </c>
      <c r="L26" s="3">
        <v>0</v>
      </c>
      <c r="M26" s="1">
        <f>SUM(G25:L27)-D26</f>
        <v>-42.5</v>
      </c>
      <c r="N26" s="929"/>
      <c r="O26" s="293">
        <f>SUMIFS([1]تیر!$AF$2:$AF$805,[1]تیر!$O$2:$O$805,7501,[1]تیر!$D$2:$D$805,$F$26,[1]تیر!$AC$2:$AC$805,O3)</f>
        <v>0</v>
      </c>
      <c r="P26" s="168">
        <f>SUMIFS([1]تیر!$AF$2:$AF$805,[1]تیر!$O$2:$O$805,7501,[1]تیر!$D$2:$D$805,$F$26,[1]تیر!$AC$2:$AC$805,P3)</f>
        <v>0</v>
      </c>
      <c r="Q26" s="168">
        <f>SUMIFS([1]تیر!$AF$2:$AF$805,[1]تیر!$O$2:$O$805,7501,[1]تیر!$D$2:$D$805,$F$26,[1]تیر!$AC$2:$AC$805,Q3)</f>
        <v>1</v>
      </c>
      <c r="R26" s="168">
        <f>SUMIFS([1]تیر!$AF$2:$AF$805,[1]تیر!$O$2:$O$805,7501,[1]تیر!$D$2:$D$805,$F$26,[1]تیر!$AC$2:$AC$805,R3)</f>
        <v>3</v>
      </c>
      <c r="S26" s="168">
        <f>SUMIFS([1]تیر!$AF$2:$AF$805,[1]تیر!$O$2:$O$805,7501,[1]تیر!$D$2:$D$805,$F$26,[1]تیر!$AC$2:$AC$805,S3)</f>
        <v>6</v>
      </c>
      <c r="T26" s="168">
        <f>SUMIFS([1]تیر!$AF$2:$AF$805,[1]تیر!$O$2:$O$805,7501,[1]تیر!$D$2:$D$805,$F$26,[1]تیر!$AC$2:$AC$805,T3)</f>
        <v>2</v>
      </c>
      <c r="U26" s="96">
        <f>SUMIFS([1]تیر!$AF$2:$AF$805,[1]تیر!$O$2:$O$805,7501,[1]تیر!$D$2:$D$805,$F$26,[1]تیر!$AC$2:$AC$805,U3)</f>
        <v>0</v>
      </c>
    </row>
    <row r="27" spans="1:21" ht="36" customHeight="1" thickBot="1" x14ac:dyDescent="0.3">
      <c r="A27" s="616"/>
      <c r="B27" s="310"/>
      <c r="C27" s="601"/>
      <c r="D27" s="601"/>
      <c r="E27" s="934"/>
      <c r="F27" s="5" t="s">
        <v>54</v>
      </c>
      <c r="G27" s="6">
        <f t="shared" si="0"/>
        <v>8</v>
      </c>
      <c r="H27" s="64">
        <f t="shared" si="1"/>
        <v>0</v>
      </c>
      <c r="I27" s="7">
        <v>0</v>
      </c>
      <c r="J27" s="7">
        <v>0</v>
      </c>
      <c r="K27" s="6">
        <v>0</v>
      </c>
      <c r="L27" s="6">
        <v>0</v>
      </c>
      <c r="M27" s="6"/>
      <c r="N27" s="930"/>
      <c r="O27" s="352">
        <f>SUMIFS([1]تیر!$AF$2:$AF$805,[1]تیر!$O$2:$O$805,7501,[1]تیر!$D$2:$D$805,$F$27,[1]تیر!$AC$2:$AC$805,O3)</f>
        <v>0</v>
      </c>
      <c r="P27" s="167">
        <f>SUMIFS([1]تیر!$AF$2:$AF$805,[1]تیر!$O$2:$O$805,7501,[1]تیر!$D$2:$D$805,$F$27,[1]تیر!$AC$2:$AC$805,P3)</f>
        <v>2</v>
      </c>
      <c r="Q27" s="167">
        <f>SUMIFS([1]تیر!$AF$2:$AF$805,[1]تیر!$O$2:$O$805,7501,[1]تیر!$D$2:$D$805,$F$27,[1]تیر!$AC$2:$AC$805,Q3)</f>
        <v>0</v>
      </c>
      <c r="R27" s="167">
        <f>SUMIFS([1]تیر!$AF$2:$AF$805,[1]تیر!$O$2:$O$805,7501,[1]تیر!$D$2:$D$805,$F$27,[1]تیر!$AC$2:$AC$805,R3)</f>
        <v>3</v>
      </c>
      <c r="S27" s="167">
        <f>SUMIFS([1]تیر!$AF$2:$AF$805,[1]تیر!$O$2:$O$805,7501,[1]تیر!$D$2:$D$805,$F$27,[1]تیر!$AC$2:$AC$805,S3)</f>
        <v>0</v>
      </c>
      <c r="T27" s="167">
        <f>SUMIFS([1]تیر!$AF$2:$AF$805,[1]تیر!$O$2:$O$805,7501,[1]تیر!$D$2:$D$805,$F$27,[1]تیر!$AC$2:$AC$805,T3)</f>
        <v>3</v>
      </c>
      <c r="U27" s="161">
        <f>SUMIFS([1]تیر!$AF$2:$AF$805,[1]تیر!$O$2:$O$805,7501,[1]تیر!$D$2:$D$805,$F$27,[1]تیر!$AC$2:$AC$805,U3)</f>
        <v>0</v>
      </c>
    </row>
    <row r="28" spans="1:21" ht="43.5" customHeight="1" x14ac:dyDescent="0.25">
      <c r="A28" s="615"/>
      <c r="B28" s="224"/>
      <c r="C28" s="619"/>
      <c r="D28" s="619"/>
      <c r="E28" s="936" t="s">
        <v>50</v>
      </c>
      <c r="F28" s="27" t="s">
        <v>36</v>
      </c>
      <c r="G28" s="1">
        <f t="shared" si="0"/>
        <v>59</v>
      </c>
      <c r="H28" s="49">
        <v>0</v>
      </c>
      <c r="I28" s="93">
        <v>0</v>
      </c>
      <c r="J28" s="93">
        <v>0</v>
      </c>
      <c r="K28" s="93">
        <v>0</v>
      </c>
      <c r="L28" s="93">
        <v>0</v>
      </c>
      <c r="M28" s="4"/>
      <c r="N28" s="988" t="s">
        <v>42</v>
      </c>
      <c r="O28" s="292">
        <f>SUMIFS([1]تیر!$AF$2:$AF$805,[1]تیر!$O$2:$O$805,7502,[1]تیر!$D$2:$D$805,$F$28,[1]تیر!$AC$2:$AC$805,O3)</f>
        <v>11</v>
      </c>
      <c r="P28" s="169">
        <f>SUMIFS([1]تیر!$AF$2:$AF$805,[1]تیر!$O$2:$O$805,7502,[1]تیر!$D$2:$D$805,$F$28,[1]تیر!$AC$2:$AC$805,P3)</f>
        <v>11</v>
      </c>
      <c r="Q28" s="169">
        <f>SUMIFS([1]تیر!$AF$2:$AF$805,[1]تیر!$O$2:$O$805,7502,[1]تیر!$D$2:$D$805,$F$28,[1]تیر!$AC$2:$AC$805,Q3)</f>
        <v>11</v>
      </c>
      <c r="R28" s="169">
        <f>SUMIFS([1]تیر!$AF$2:$AF$805,[1]تیر!$O$2:$O$805,7502,[1]تیر!$D$2:$D$805,$F$28,[1]تیر!$AC$2:$AC$805,R3)</f>
        <v>11</v>
      </c>
      <c r="S28" s="169">
        <f>SUMIFS([1]تیر!$AF$2:$AF$805,[1]تیر!$O$2:$O$805,7502,[1]تیر!$D$2:$D$805,$F$28,[1]تیر!$AC$2:$AC$805,S3)</f>
        <v>11</v>
      </c>
      <c r="T28" s="169">
        <f>SUMIFS([1]تیر!$AF$2:$AF$805,[1]تیر!$O$2:$O$805,7502,[1]تیر!$D$2:$D$805,$F$28,[1]تیر!$AC$2:$AC$805,T3)</f>
        <v>4</v>
      </c>
      <c r="U28" s="107">
        <f>SUMIFS([1]تیر!$AF$2:$AF$805,[1]تیر!$O$2:$O$805,7502,[1]تیر!$D$2:$D$805,$F$28,[1]تیر!$AC$2:$AC$805,U3)</f>
        <v>0</v>
      </c>
    </row>
    <row r="29" spans="1:21" ht="43.5" customHeight="1" x14ac:dyDescent="0.25">
      <c r="A29" s="615">
        <v>13</v>
      </c>
      <c r="B29" s="146" t="s">
        <v>25</v>
      </c>
      <c r="C29" s="95">
        <v>7502</v>
      </c>
      <c r="D29" s="603">
        <v>62.5</v>
      </c>
      <c r="E29" s="936"/>
      <c r="F29" s="27"/>
      <c r="G29" s="3">
        <f t="shared" si="0"/>
        <v>0</v>
      </c>
      <c r="H29" s="47">
        <f t="shared" si="1"/>
        <v>0</v>
      </c>
      <c r="I29" s="3">
        <v>0</v>
      </c>
      <c r="J29" s="3">
        <v>0</v>
      </c>
      <c r="K29" s="3">
        <v>0</v>
      </c>
      <c r="L29" s="3">
        <v>0</v>
      </c>
      <c r="M29" s="4">
        <f>SUM(G28:L30)-D29</f>
        <v>-3.5</v>
      </c>
      <c r="N29" s="929"/>
      <c r="O29" s="293">
        <f>SUMIFS([1]اردیبهشت!$AD$2:$AD$805,[1]اردیبهشت!$N$2:$N$805,$C$29,[1]اردیبهشت!$D$2:$D$805,$F$29,[1]اردیبهشت!$AA$2:$AA$805,O3)</f>
        <v>0</v>
      </c>
      <c r="P29" s="168">
        <f>SUMIFS([1]اردیبهشت!$AD$2:$AD$805,[1]اردیبهشت!$N$2:$N$805,$C$29,[1]اردیبهشت!$D$2:$D$805,$F$29,[1]اردیبهشت!$AA$2:$AA$805,P3)</f>
        <v>0</v>
      </c>
      <c r="Q29" s="168">
        <f>SUMIFS([1]اردیبهشت!$AD$2:$AD$805,[1]اردیبهشت!$N$2:$N$805,$C$29,[1]اردیبهشت!$D$2:$D$805,$F$29,[1]اردیبهشت!$AA$2:$AA$805,Q3)</f>
        <v>0</v>
      </c>
      <c r="R29" s="168">
        <f>SUMIFS([1]اردیبهشت!$AD$2:$AD$805,[1]اردیبهشت!$N$2:$N$805,$C$29,[1]اردیبهشت!$D$2:$D$805,$F$29,[1]اردیبهشت!$AA$2:$AA$805,R3)</f>
        <v>0</v>
      </c>
      <c r="S29" s="168">
        <f>SUMIFS([1]اردیبهشت!$AD$2:$AD$805,[1]اردیبهشت!$N$2:$N$805,$C$29,[1]اردیبهشت!$D$2:$D$805,$F$29,[1]اردیبهشت!$AA$2:$AA$805,S3)</f>
        <v>0</v>
      </c>
      <c r="T29" s="168">
        <f>SUMIFS([1]اردیبهشت!$AD$2:$AD$805,[1]اردیبهشت!$N$2:$N$805,$C$29,[1]اردیبهشت!$D$2:$D$805,$F$29,[1]اردیبهشت!$AA$2:$AA$805,T3)</f>
        <v>0</v>
      </c>
      <c r="U29" s="108">
        <f>SUMIFS([1]خرداد!$AF$2:$AF$700,[1]خرداد!$O$2:$O$700,7101,[1]خرداد!$D$2:$D$700,$F$4,[1]خرداد!$AC$2:$AC$700,U28)</f>
        <v>0</v>
      </c>
    </row>
    <row r="30" spans="1:21" ht="43.5" customHeight="1" thickBot="1" x14ac:dyDescent="0.3">
      <c r="A30" s="616"/>
      <c r="B30" s="310"/>
      <c r="C30" s="601"/>
      <c r="D30" s="601"/>
      <c r="E30" s="937"/>
      <c r="F30" s="5"/>
      <c r="G30" s="6">
        <f t="shared" si="0"/>
        <v>0</v>
      </c>
      <c r="H30" s="64">
        <f t="shared" si="1"/>
        <v>0</v>
      </c>
      <c r="I30" s="7">
        <v>0</v>
      </c>
      <c r="J30" s="7">
        <v>0</v>
      </c>
      <c r="K30" s="6">
        <v>0</v>
      </c>
      <c r="L30" s="6">
        <v>0</v>
      </c>
      <c r="M30" s="6"/>
      <c r="N30" s="930"/>
      <c r="O30" s="352">
        <f>SUMIFS([1]اردیبهشت!$AD$2:$AD$805,[1]اردیبهشت!$N$2:$N$805,$C$29,[1]اردیبهشت!$D$2:$D$805,$F$30,[1]اردیبهشت!$AA$2:$AA$805,O3)</f>
        <v>0</v>
      </c>
      <c r="P30" s="175">
        <f>SUMIFS([1]اردیبهشت!$AD$2:$AD$805,[1]اردیبهشت!$N$2:$N$805,$C$29,[1]اردیبهشت!$D$2:$D$805,$F$30,[1]اردیبهشت!$AA$2:$AA$805,P3)</f>
        <v>0</v>
      </c>
      <c r="Q30" s="175">
        <f>SUMIFS([1]اردیبهشت!$AD$2:$AD$805,[1]اردیبهشت!$N$2:$N$805,$C$29,[1]اردیبهشت!$D$2:$D$805,$F$30,[1]اردیبهشت!$AA$2:$AA$805,Q3)</f>
        <v>0</v>
      </c>
      <c r="R30" s="175">
        <f>SUMIFS([1]اردیبهشت!$AD$2:$AD$805,[1]اردیبهشت!$N$2:$N$805,$C$29,[1]اردیبهشت!$D$2:$D$805,$F$30,[1]اردیبهشت!$AA$2:$AA$805,R3)</f>
        <v>0</v>
      </c>
      <c r="S30" s="175">
        <f>SUMIFS([1]اردیبهشت!$AD$2:$AD$805,[1]اردیبهشت!$N$2:$N$805,$C$29,[1]اردیبهشت!$D$2:$D$805,$F$30,[1]اردیبهشت!$AA$2:$AA$805,S3)</f>
        <v>0</v>
      </c>
      <c r="T30" s="175">
        <f>SUMIFS([1]اردیبهشت!$AD$2:$AD$805,[1]اردیبهشت!$N$2:$N$805,$C$29,[1]اردیبهشت!$D$2:$D$805,$F$30,[1]اردیبهشت!$AA$2:$AA$805,T3)</f>
        <v>0</v>
      </c>
      <c r="U30" s="114">
        <f>SUMIFS([1]خرداد!$AF$2:$AF$700,[1]خرداد!$O$2:$O$700,7101,[1]خرداد!$D$2:$D$700,$F$4,[1]خرداد!$AC$2:$AC$700,U29)</f>
        <v>0</v>
      </c>
    </row>
    <row r="31" spans="1:21" ht="43.5" customHeight="1" x14ac:dyDescent="0.25">
      <c r="A31" s="939">
        <v>14</v>
      </c>
      <c r="B31" s="83" t="s">
        <v>26</v>
      </c>
      <c r="C31" s="590">
        <v>7601</v>
      </c>
      <c r="D31" s="590">
        <v>72</v>
      </c>
      <c r="E31" s="914" t="s">
        <v>15</v>
      </c>
      <c r="F31" s="84" t="s">
        <v>27</v>
      </c>
      <c r="G31" s="85">
        <f t="shared" si="0"/>
        <v>41</v>
      </c>
      <c r="H31" s="86">
        <f t="shared" si="1"/>
        <v>5</v>
      </c>
      <c r="I31" s="85">
        <v>26</v>
      </c>
      <c r="J31" s="85">
        <v>0</v>
      </c>
      <c r="K31" s="85">
        <v>0</v>
      </c>
      <c r="L31" s="85">
        <v>0</v>
      </c>
      <c r="M31" s="87">
        <f>(J31+J32+I32+I31+H31+H32+G32+G31+L31+K31)-D31</f>
        <v>0</v>
      </c>
      <c r="N31" s="941" t="s">
        <v>29</v>
      </c>
      <c r="O31" s="298">
        <f>SUMIFS([1]تیر!$AF$2:$AF$805,[1]تیر!$O$2:$O$805,7601,[1]تیر!$D$2:$D$805,$F$31,[1]تیر!$AC$2:$AC$805,O3)</f>
        <v>12</v>
      </c>
      <c r="P31" s="188">
        <f>SUMIFS([1]تیر!$AF$2:$AF$805,[1]تیر!$O$2:$O$805,7601,[1]تیر!$D$2:$D$805,$F$31,[1]تیر!$AC$2:$AC$805,P3)</f>
        <v>12</v>
      </c>
      <c r="Q31" s="188">
        <f>SUMIFS([1]تیر!$AF$2:$AF$805,[1]تیر!$O$2:$O$805,7601,[1]تیر!$D$2:$D$805,$F$31,[1]تیر!$AC$2:$AC$805,Q3)</f>
        <v>9</v>
      </c>
      <c r="R31" s="188">
        <f>SUMIFS([1]تیر!$AF$2:$AF$805,[1]تیر!$O$2:$O$805,7601,[1]تیر!$D$2:$D$805,$F$31,[1]تیر!$AC$2:$AC$805,R3)</f>
        <v>0</v>
      </c>
      <c r="S31" s="188">
        <f>SUMIFS([1]تیر!$AF$2:$AF$805,[1]تیر!$O$2:$O$805,7601,[1]تیر!$D$2:$D$805,$F$31,[1]تیر!$AC$2:$AC$805,S3)</f>
        <v>0</v>
      </c>
      <c r="T31" s="188">
        <f>SUMIFS([1]تیر!$AF$2:$AF$805,[1]تیر!$O$2:$O$805,7601,[1]تیر!$D$2:$D$805,$F$31,[1]تیر!$AC$2:$AC$805,T3)</f>
        <v>8</v>
      </c>
      <c r="U31" s="128">
        <f>SUMIFS([1]تیر!$AF$2:$AF$805,[1]تیر!$O$2:$O$805,7601,[1]تیر!$D$2:$D$805,$F$31,[1]تیر!$AC$2:$AC$805,U3)</f>
        <v>5</v>
      </c>
    </row>
    <row r="32" spans="1:21" ht="43.5" customHeight="1" thickBot="1" x14ac:dyDescent="0.3">
      <c r="A32" s="940"/>
      <c r="B32" s="123"/>
      <c r="C32" s="591"/>
      <c r="D32" s="591"/>
      <c r="E32" s="915"/>
      <c r="F32" s="124"/>
      <c r="G32" s="93">
        <f t="shared" si="0"/>
        <v>0</v>
      </c>
      <c r="H32" s="92">
        <f t="shared" si="1"/>
        <v>0</v>
      </c>
      <c r="I32" s="125">
        <v>0</v>
      </c>
      <c r="J32" s="125">
        <v>0</v>
      </c>
      <c r="K32" s="126">
        <v>0</v>
      </c>
      <c r="L32" s="126">
        <v>0</v>
      </c>
      <c r="M32" s="127"/>
      <c r="N32" s="917"/>
      <c r="O32" s="584">
        <f>SUMIFS([1]اردیبهشت!$AD$2:$AD$805,[1]اردیبهشت!$N$2:$N$805,$C$31,[1]اردیبهشت!$D$2:$D$805,$F$32,[1]اردیبهشت!$AA$2:$AA$805,O3)</f>
        <v>0</v>
      </c>
      <c r="P32" s="191">
        <f>SUMIFS([1]اردیبهشت!$AD$2:$AD$600,[1]اردیبهشت!$N$2:$N$600,$C$31,[1]اردیبهشت!$D$2:$D$600,$F$32,[1]اردیبهشت!$AA$2:$AA$600,P3)</f>
        <v>0</v>
      </c>
      <c r="Q32" s="191">
        <f>SUMIFS([1]اردیبهشت!$AD$2:$AD$600,[1]اردیبهشت!$N$2:$N$600,$C$31,[1]اردیبهشت!$D$2:$D$600,$F$32,[1]اردیبهشت!$AA$2:$AA$600,Q3)</f>
        <v>0</v>
      </c>
      <c r="R32" s="191">
        <f>SUMIFS([1]اردیبهشت!$AD$2:$AD$600,[1]اردیبهشت!$N$2:$N$600,$C$31,[1]اردیبهشت!$D$2:$D$600,$F$32,[1]اردیبهشت!$AA$2:$AA$600,R3)</f>
        <v>0</v>
      </c>
      <c r="S32" s="191">
        <f>SUMIFS([1]اردیبهشت!$AD$2:$AD$600,[1]اردیبهشت!$N$2:$N$600,$C$31,[1]اردیبهشت!$D$2:$D$600,$F$32,[1]اردیبهشت!$AA$2:$AA$600,S3)</f>
        <v>0</v>
      </c>
      <c r="T32" s="191">
        <f>SUMIFS([1]اردیبهشت!$AD$2:$AD$600,[1]اردیبهشت!$N$2:$N$600,$C$31,[1]اردیبهشت!$D$2:$D$600,$F$32,[1]اردیبهشت!$AA$2:$AA$600,T3)</f>
        <v>0</v>
      </c>
      <c r="U32" s="114">
        <f>SUMIFS([1]خرداد!$AF$2:$AF$700,[1]خرداد!$O$2:$O$700,7101,[1]خرداد!$D$2:$D$700,$F$4,[1]خرداد!$AC$2:$AC$700,U31)</f>
        <v>0</v>
      </c>
    </row>
    <row r="33" spans="1:21" ht="43.5" customHeight="1" x14ac:dyDescent="0.25">
      <c r="A33" s="912">
        <v>15</v>
      </c>
      <c r="B33" s="83" t="s">
        <v>26</v>
      </c>
      <c r="C33" s="590">
        <v>7602</v>
      </c>
      <c r="D33" s="590">
        <v>72</v>
      </c>
      <c r="E33" s="914" t="s">
        <v>15</v>
      </c>
      <c r="F33" s="84" t="s">
        <v>27</v>
      </c>
      <c r="G33" s="623">
        <f t="shared" si="0"/>
        <v>24</v>
      </c>
      <c r="H33" s="46">
        <f t="shared" si="1"/>
        <v>5</v>
      </c>
      <c r="I33" s="85">
        <v>26</v>
      </c>
      <c r="J33" s="85">
        <v>0</v>
      </c>
      <c r="K33" s="85">
        <v>0</v>
      </c>
      <c r="L33" s="85">
        <v>0</v>
      </c>
      <c r="M33" s="87">
        <f>(J33+J34+I34+I33+H33+H34+G34+G33)-D33</f>
        <v>-17</v>
      </c>
      <c r="N33" s="916" t="s">
        <v>29</v>
      </c>
      <c r="O33" s="292">
        <f>SUMIFS([1]تیر!$AF$2:$AF$805,[1]تیر!$O$2:$O$805,7602,[1]تیر!$D$2:$D$805,$F$33,[1]تیر!$AC$2:$AC$805,O3)</f>
        <v>12</v>
      </c>
      <c r="P33" s="169">
        <f>SUMIFS([1]تیر!$AF$2:$AF$805,[1]تیر!$O$2:$O$805,7602,[1]تیر!$D$2:$D$805,$F$33,[1]تیر!$AC$2:$AC$805,P3)</f>
        <v>4</v>
      </c>
      <c r="Q33" s="169">
        <f>SUMIFS([1]تیر!$AF$2:$AF$805,[1]تیر!$O$2:$O$805,7602,[1]تیر!$D$2:$D$805,$F$33,[1]تیر!$AC$2:$AC$805,Q3)</f>
        <v>0</v>
      </c>
      <c r="R33" s="169">
        <f>SUMIFS([1]تیر!$AF$2:$AF$805,[1]تیر!$O$2:$O$805,7602,[1]تیر!$D$2:$D$805,$F$33,[1]تیر!$AC$2:$AC$805,R3)</f>
        <v>0</v>
      </c>
      <c r="S33" s="169">
        <f>SUMIFS([1]تیر!$AF$2:$AF$805,[1]تیر!$O$2:$O$805,7602,[1]تیر!$D$2:$D$805,$F$33,[1]تیر!$AC$2:$AC$805,S3)</f>
        <v>0</v>
      </c>
      <c r="T33" s="169">
        <f>SUMIFS([1]تیر!$AF$2:$AF$805,[1]تیر!$O$2:$O$805,7602,[1]تیر!$D$2:$D$805,$F$33,[1]تیر!$AC$2:$AC$805,T3)</f>
        <v>8</v>
      </c>
      <c r="U33" s="107">
        <f>SUMIFS([1]تیر!$AF$2:$AF$805,[1]تیر!$O$2:$O$805,7602,[1]تیر!$D$2:$D$805,$F$33,[1]تیر!$AC$2:$AC$805,U3)</f>
        <v>5</v>
      </c>
    </row>
    <row r="34" spans="1:21" ht="43.5" customHeight="1" thickBot="1" x14ac:dyDescent="0.3">
      <c r="A34" s="913"/>
      <c r="B34" s="123"/>
      <c r="C34" s="591"/>
      <c r="D34" s="591"/>
      <c r="E34" s="915"/>
      <c r="F34" s="124"/>
      <c r="G34" s="6">
        <f t="shared" si="0"/>
        <v>0</v>
      </c>
      <c r="H34" s="64">
        <f t="shared" si="1"/>
        <v>0</v>
      </c>
      <c r="I34" s="125">
        <v>0</v>
      </c>
      <c r="J34" s="125">
        <v>0</v>
      </c>
      <c r="K34" s="126">
        <v>0</v>
      </c>
      <c r="L34" s="126">
        <v>0</v>
      </c>
      <c r="M34" s="127"/>
      <c r="N34" s="917"/>
      <c r="O34" s="352">
        <f>SUMIFS([1]اردیبهشت!$AD$2:$AD$805,[1]اردیبهشت!$N$2:$N$805,$C$33,[1]اردیبهشت!$D$2:$D$805,$F$34,[1]اردیبهشت!$AA$2:$AA$805,O3)</f>
        <v>0</v>
      </c>
      <c r="P34" s="175">
        <f>SUMIFS([1]اردیبهشت!$AD$2:$AD$600,[1]اردیبهشت!$N$2:$N$600,$C$33,[1]اردیبهشت!$D$2:$D$600,$F$34,[1]اردیبهشت!$AA$2:$AA$600,P3)</f>
        <v>0</v>
      </c>
      <c r="Q34" s="175">
        <f>SUMIFS([1]اردیبهشت!$AD$2:$AD$600,[1]اردیبهشت!$N$2:$N$600,$C$33,[1]اردیبهشت!$D$2:$D$600,$F$34,[1]اردیبهشت!$AA$2:$AA$600,Q3)</f>
        <v>0</v>
      </c>
      <c r="R34" s="175">
        <f>SUMIFS([1]اردیبهشت!$AD$2:$AD$600,[1]اردیبهشت!$N$2:$N$600,$C$33,[1]اردیبهشت!$D$2:$D$600,$F$34,[1]اردیبهشت!$AA$2:$AA$600,R3)</f>
        <v>0</v>
      </c>
      <c r="S34" s="175">
        <f>SUMIFS([1]اردیبهشت!$AD$2:$AD$600,[1]اردیبهشت!$N$2:$N$600,$C$33,[1]اردیبهشت!$D$2:$D$600,$F$34,[1]اردیبهشت!$AA$2:$AA$600,S3)</f>
        <v>0</v>
      </c>
      <c r="T34" s="175">
        <f>SUMIFS([1]اردیبهشت!$AD$2:$AD$600,[1]اردیبهشت!$N$2:$N$600,$C$33,[1]اردیبهشت!$D$2:$D$600,$F$34,[1]اردیبهشت!$AA$2:$AA$600,T3)</f>
        <v>0</v>
      </c>
      <c r="U34" s="114">
        <f>SUMIFS([1]خرداد!$AF$2:$AF$700,[1]خرداد!$O$2:$O$700,7101,[1]خرداد!$D$2:$D$700,$F$4,[1]خرداد!$AC$2:$AC$700,U33)</f>
        <v>0</v>
      </c>
    </row>
    <row r="35" spans="1:21" ht="42.75" customHeight="1" x14ac:dyDescent="0.25">
      <c r="A35" s="912">
        <v>16</v>
      </c>
      <c r="B35" s="596" t="s">
        <v>26</v>
      </c>
      <c r="C35" s="598">
        <v>7603</v>
      </c>
      <c r="D35" s="598">
        <v>72</v>
      </c>
      <c r="E35" s="943" t="s">
        <v>15</v>
      </c>
      <c r="F35" s="84" t="s">
        <v>27</v>
      </c>
      <c r="G35" s="623">
        <f t="shared" si="0"/>
        <v>8</v>
      </c>
      <c r="H35" s="46">
        <f t="shared" si="1"/>
        <v>5</v>
      </c>
      <c r="I35" s="623">
        <v>26</v>
      </c>
      <c r="J35" s="623">
        <v>0</v>
      </c>
      <c r="K35" s="623">
        <v>0</v>
      </c>
      <c r="L35" s="623">
        <v>0</v>
      </c>
      <c r="M35" s="23">
        <f>(J35+J36+I36+I35+H35+H36+G36+G35+L35+L36)-D35</f>
        <v>-33</v>
      </c>
      <c r="N35" s="945" t="s">
        <v>29</v>
      </c>
      <c r="O35" s="292">
        <f>SUMIFS([1]تیر!$AF$2:$AF$805,[1]تیر!$O$2:$O$805,7603,[1]تیر!$D$2:$D$805,$F$35,[1]تیر!$AC$2:$AC$805,O3)</f>
        <v>0</v>
      </c>
      <c r="P35" s="169">
        <f>SUMIFS([1]تیر!$AF$2:$AF$805,[1]تیر!$O$2:$O$805,7603,[1]تیر!$D$2:$D$805,$F$35,[1]تیر!$AC$2:$AC$805,P3)</f>
        <v>0</v>
      </c>
      <c r="Q35" s="169">
        <f>SUMIFS([1]تیر!$AF$2:$AF$805,[1]تیر!$O$2:$O$805,7603,[1]تیر!$D$2:$D$805,$F$35,[1]تیر!$AC$2:$AC$805,Q3)</f>
        <v>0</v>
      </c>
      <c r="R35" s="169">
        <f>SUMIFS([1]تیر!$AF$2:$AF$805,[1]تیر!$O$2:$O$805,7603,[1]تیر!$D$2:$D$805,$F$35,[1]تیر!$AC$2:$AC$805,R3)</f>
        <v>0</v>
      </c>
      <c r="S35" s="169">
        <f>SUMIFS([1]تیر!$AF$2:$AF$805,[1]تیر!$O$2:$O$805,7603,[1]تیر!$D$2:$D$805,$F$35,[1]تیر!$AC$2:$AC$805,S3)</f>
        <v>0</v>
      </c>
      <c r="T35" s="169">
        <f>SUMIFS([1]تیر!$AF$2:$AF$805,[1]تیر!$O$2:$O$805,7603,[1]تیر!$D$2:$D$805,$F$35,[1]تیر!$AC$2:$AC$805,T3)</f>
        <v>8</v>
      </c>
      <c r="U35" s="107">
        <f>SUMIFS([1]تیر!$AF$2:$AF$805,[1]تیر!$O$2:$O$805,7603,[1]تیر!$D$2:$D$805,$F$35,[1]تیر!$AC$2:$AC$805,U3)</f>
        <v>5</v>
      </c>
    </row>
    <row r="36" spans="1:21" ht="42.75" customHeight="1" thickBot="1" x14ac:dyDescent="0.3">
      <c r="A36" s="942"/>
      <c r="B36" s="597"/>
      <c r="C36" s="601"/>
      <c r="D36" s="601"/>
      <c r="E36" s="944"/>
      <c r="F36" s="5"/>
      <c r="G36" s="1">
        <f t="shared" si="0"/>
        <v>0</v>
      </c>
      <c r="H36" s="49">
        <f t="shared" si="1"/>
        <v>0</v>
      </c>
      <c r="I36" s="7">
        <v>0</v>
      </c>
      <c r="J36" s="7">
        <v>0</v>
      </c>
      <c r="K36" s="6">
        <v>0</v>
      </c>
      <c r="L36" s="6">
        <v>0</v>
      </c>
      <c r="M36" s="8"/>
      <c r="N36" s="946"/>
      <c r="O36" s="294">
        <f>SUMIFS([1]اردیبهشت!$AD$2:$AD$805,[1]اردیبهشت!$N$2:$N$805,$C$35,[1]اردیبهشت!$D$2:$D$805,$F$36,[1]اردیبهشت!$AA$2:$AA$805,O3)</f>
        <v>0</v>
      </c>
      <c r="P36" s="172">
        <f>SUMIFS([1]اردیبهشت!$AD$2:$AD$600,[1]اردیبهشت!$N$2:$N$600,$C$35,[1]اردیبهشت!$D$2:$D$600,$F$36,[1]اردیبهشت!$AA$2:$AA$600,P3)</f>
        <v>0</v>
      </c>
      <c r="Q36" s="172">
        <f>SUMIFS([1]اردیبهشت!$AD$2:$AD$600,[1]اردیبهشت!$N$2:$N$600,$C$35,[1]اردیبهشت!$D$2:$D$600,$F$36,[1]اردیبهشت!$AA$2:$AA$600,Q3)</f>
        <v>0</v>
      </c>
      <c r="R36" s="172">
        <f>SUMIFS([1]اردیبهشت!$AD$2:$AD$600,[1]اردیبهشت!$N$2:$N$600,$C$35,[1]اردیبهشت!$D$2:$D$600,$F$36,[1]اردیبهشت!$AA$2:$AA$600,R3)</f>
        <v>0</v>
      </c>
      <c r="S36" s="172">
        <f>SUMIFS([1]اردیبهشت!$AD$2:$AD$600,[1]اردیبهشت!$N$2:$N$600,$C$35,[1]اردیبهشت!$D$2:$D$600,$F$36,[1]اردیبهشت!$AA$2:$AA$600,S3)</f>
        <v>0</v>
      </c>
      <c r="T36" s="172">
        <f>SUMIFS([1]اردیبهشت!$AD$2:$AD$600,[1]اردیبهشت!$N$2:$N$600,$C$35,[1]اردیبهشت!$D$2:$D$600,$F$36,[1]اردیبهشت!$AA$2:$AA$600,T3)</f>
        <v>0</v>
      </c>
      <c r="U36" s="109">
        <f>SUMIFS([1]خرداد!$AF$2:$AF$700,[1]خرداد!$O$2:$O$700,7101,[1]خرداد!$D$2:$D$700,$F$4,[1]خرداد!$AC$2:$AC$700,U35)</f>
        <v>0</v>
      </c>
    </row>
    <row r="37" spans="1:21" ht="42.75" customHeight="1" x14ac:dyDescent="0.25">
      <c r="A37" s="912">
        <v>17</v>
      </c>
      <c r="B37" s="81" t="s">
        <v>26</v>
      </c>
      <c r="C37" s="90">
        <v>7604</v>
      </c>
      <c r="D37" s="606">
        <v>72</v>
      </c>
      <c r="E37" s="947" t="s">
        <v>19</v>
      </c>
      <c r="F37" s="79"/>
      <c r="G37" s="623" t="s">
        <v>83</v>
      </c>
      <c r="H37" s="46">
        <f t="shared" si="1"/>
        <v>0</v>
      </c>
      <c r="I37" s="80">
        <v>0</v>
      </c>
      <c r="J37" s="80">
        <v>72</v>
      </c>
      <c r="K37" s="80">
        <v>0</v>
      </c>
      <c r="L37" s="80">
        <v>0</v>
      </c>
      <c r="M37" s="60"/>
      <c r="N37" s="949" t="s">
        <v>28</v>
      </c>
      <c r="O37" s="390"/>
      <c r="P37" s="204"/>
      <c r="Q37" s="204"/>
      <c r="R37" s="204"/>
      <c r="S37" s="204"/>
      <c r="T37" s="204"/>
      <c r="U37" s="116"/>
    </row>
    <row r="38" spans="1:21" ht="42.75" customHeight="1" thickBot="1" x14ac:dyDescent="0.3">
      <c r="A38" s="913"/>
      <c r="B38" s="613"/>
      <c r="C38" s="309"/>
      <c r="D38" s="600"/>
      <c r="E38" s="948"/>
      <c r="F38" s="24"/>
      <c r="G38" s="1">
        <f t="shared" si="0"/>
        <v>0</v>
      </c>
      <c r="H38" s="49">
        <f t="shared" si="1"/>
        <v>0</v>
      </c>
      <c r="I38" s="25">
        <v>0</v>
      </c>
      <c r="J38" s="25">
        <v>0</v>
      </c>
      <c r="K38" s="4">
        <v>0</v>
      </c>
      <c r="L38" s="4">
        <v>0</v>
      </c>
      <c r="M38" s="60"/>
      <c r="N38" s="950"/>
      <c r="O38" s="391"/>
      <c r="P38" s="194"/>
      <c r="Q38" s="194"/>
      <c r="R38" s="194"/>
      <c r="S38" s="194"/>
      <c r="T38" s="194"/>
      <c r="U38" s="117"/>
    </row>
    <row r="39" spans="1:21" ht="42.75" customHeight="1" x14ac:dyDescent="0.25">
      <c r="A39" s="954">
        <v>18</v>
      </c>
      <c r="B39" s="83" t="s">
        <v>26</v>
      </c>
      <c r="C39" s="590">
        <v>7605</v>
      </c>
      <c r="D39" s="590">
        <v>72</v>
      </c>
      <c r="E39" s="914" t="s">
        <v>15</v>
      </c>
      <c r="F39" s="84" t="s">
        <v>27</v>
      </c>
      <c r="G39" s="85">
        <f t="shared" si="0"/>
        <v>8</v>
      </c>
      <c r="H39" s="86">
        <f t="shared" si="1"/>
        <v>5</v>
      </c>
      <c r="I39" s="85">
        <v>26</v>
      </c>
      <c r="J39" s="85">
        <v>0</v>
      </c>
      <c r="K39" s="85">
        <v>0</v>
      </c>
      <c r="L39" s="153">
        <v>0</v>
      </c>
      <c r="M39" s="87">
        <f>(G39+H39+I39+J39+K39+L39)-D39</f>
        <v>-33</v>
      </c>
      <c r="N39" s="955" t="s">
        <v>29</v>
      </c>
      <c r="O39" s="298">
        <f>SUMIFS([1]تیر!$AF$2:$AF$805,[1]تیر!$O$2:$O$805,7605,[1]تیر!$D$2:$D$805,$F$39,[1]تیر!$AC$2:$AC$805,O3)</f>
        <v>0</v>
      </c>
      <c r="P39" s="188">
        <f>SUMIFS([1]تیر!$AF$2:$AF$805,[1]تیر!$O$2:$O$805,7605,[1]تیر!$D$2:$D$805,$F$39,[1]تیر!$AC$2:$AC$805,P3)</f>
        <v>0</v>
      </c>
      <c r="Q39" s="188">
        <f>SUMIFS([1]تیر!$AF$2:$AF$805,[1]تیر!$O$2:$O$805,7605,[1]تیر!$D$2:$D$805,$F$39,[1]تیر!$AC$2:$AC$805,Q3)</f>
        <v>0</v>
      </c>
      <c r="R39" s="188">
        <f>SUMIFS([1]تیر!$AF$2:$AF$805,[1]تیر!$O$2:$O$805,7605,[1]تیر!$D$2:$D$805,$F$39,[1]تیر!$AC$2:$AC$805,R3)</f>
        <v>0</v>
      </c>
      <c r="S39" s="188">
        <f>SUMIFS([1]تیر!$AF$2:$AF$805,[1]تیر!$O$2:$O$805,7605,[1]تیر!$D$2:$D$805,$F$39,[1]تیر!$AC$2:$AC$805,S3)</f>
        <v>0</v>
      </c>
      <c r="T39" s="188">
        <f>SUMIFS([1]تیر!$AF$2:$AF$805,[1]تیر!$O$2:$O$805,7605,[1]تیر!$D$2:$D$805,$F$39,[1]تیر!$AC$2:$AC$805,T3)</f>
        <v>8</v>
      </c>
      <c r="U39" s="128">
        <f>SUMIFS([1]تیر!$AF$2:$AF$805,[1]تیر!$O$2:$O$805,7605,[1]تیر!$D$2:$D$805,$F$39,[1]تیر!$AC$2:$AC$805,U3)</f>
        <v>5</v>
      </c>
    </row>
    <row r="40" spans="1:21" ht="42.75" customHeight="1" thickBot="1" x14ac:dyDescent="0.3">
      <c r="A40" s="942"/>
      <c r="B40" s="589"/>
      <c r="C40" s="622"/>
      <c r="D40" s="622"/>
      <c r="E40" s="997"/>
      <c r="F40" s="461"/>
      <c r="G40" s="89">
        <f t="shared" si="0"/>
        <v>0</v>
      </c>
      <c r="H40" s="286">
        <f t="shared" si="1"/>
        <v>0</v>
      </c>
      <c r="I40" s="462">
        <v>0</v>
      </c>
      <c r="J40" s="462">
        <v>0</v>
      </c>
      <c r="K40" s="89">
        <v>0</v>
      </c>
      <c r="L40" s="89">
        <v>0</v>
      </c>
      <c r="M40" s="94"/>
      <c r="N40" s="998"/>
      <c r="O40" s="584">
        <f>SUMIFS([1]اردیبهشت!$AD$2:$AD$805,[1]اردیبهشت!$N$2:$N$805,$C$39,[1]اردیبهشت!$D$2:$D$805,$F$40,[1]اردیبهشت!$AA$2:$AA$805,O3)</f>
        <v>0</v>
      </c>
      <c r="P40" s="191">
        <f>SUMIFS([1]اردیبهشت!$AD$2:$AD$600,[1]اردیبهشت!$N$2:$N$600,$C$39,[1]اردیبهشت!$D$2:$D$600,$F$40,[1]اردیبهشت!$AA$2:$AA$600,P3)</f>
        <v>0</v>
      </c>
      <c r="Q40" s="191">
        <f>SUMIFS([1]اردیبهشت!$AD$2:$AD$600,[1]اردیبهشت!$N$2:$N$600,$C$39,[1]اردیبهشت!$D$2:$D$600,$F$40,[1]اردیبهشت!$AA$2:$AA$600,Q3)</f>
        <v>0</v>
      </c>
      <c r="R40" s="191">
        <f>SUMIFS([1]اردیبهشت!$AD$2:$AD$600,[1]اردیبهشت!$N$2:$N$600,$C$39,[1]اردیبهشت!$D$2:$D$600,$F$40,[1]اردیبهشت!$AA$2:$AA$600,R3)</f>
        <v>0</v>
      </c>
      <c r="S40" s="191">
        <f>SUMIFS([1]اردیبهشت!$AD$2:$AD$600,[1]اردیبهشت!$N$2:$N$600,$C$39,[1]اردیبهشت!$D$2:$D$600,$F$40,[1]اردیبهشت!$AA$2:$AA$600,S3)</f>
        <v>0</v>
      </c>
      <c r="T40" s="191">
        <f>SUMIFS([1]اردیبهشت!$AD$2:$AD$600,[1]اردیبهشت!$N$2:$N$600,$C$39,[1]اردیبهشت!$D$2:$D$600,$F$40,[1]اردیبهشت!$AA$2:$AA$600,T3)</f>
        <v>0</v>
      </c>
      <c r="U40" s="115">
        <f>SUMIFS([1]اردیبهشت!$AD$2:$AD$600,[1]اردیبهشت!$N$2:$N$600,$C$39,[1]اردیبهشت!$D$2:$D$600,$F$40,[1]اردیبهشت!$AA$2:$AA$600,U3)</f>
        <v>0</v>
      </c>
    </row>
    <row r="41" spans="1:21" ht="39" customHeight="1" x14ac:dyDescent="0.25">
      <c r="A41" s="614"/>
      <c r="B41" s="307"/>
      <c r="C41" s="598"/>
      <c r="D41" s="598"/>
      <c r="E41" s="932" t="s">
        <v>15</v>
      </c>
      <c r="F41" s="84" t="s">
        <v>27</v>
      </c>
      <c r="G41" s="623">
        <f t="shared" si="0"/>
        <v>16</v>
      </c>
      <c r="H41" s="46">
        <f t="shared" si="1"/>
        <v>5</v>
      </c>
      <c r="I41" s="623">
        <v>26</v>
      </c>
      <c r="J41" s="623">
        <v>0</v>
      </c>
      <c r="K41" s="623">
        <v>0</v>
      </c>
      <c r="L41" s="623">
        <v>0</v>
      </c>
      <c r="M41" s="28"/>
      <c r="N41" s="945" t="s">
        <v>43</v>
      </c>
      <c r="O41" s="292">
        <f>SUMIFS([1]تیر!$AF$2:$AF$805,[1]تیر!$O$2:$O$805,7701,[1]تیر!$D$2:$D$805,$F$41,[1]تیر!$AC$2:$AC$805,O3)</f>
        <v>0</v>
      </c>
      <c r="P41" s="169">
        <f>SUMIFS([1]تیر!$AF$2:$AF$805,[1]تیر!$O$2:$O$805,7701,[1]تیر!$D$2:$D$805,$F$41,[1]تیر!$AC$2:$AC$805,P3)</f>
        <v>12</v>
      </c>
      <c r="Q41" s="169">
        <f>SUMIFS([1]تیر!$AF$2:$AF$805,[1]تیر!$O$2:$O$805,7701,[1]تیر!$D$2:$D$805,$F$41,[1]تیر!$AC$2:$AC$805,Q3)</f>
        <v>0</v>
      </c>
      <c r="R41" s="169">
        <f>SUMIFS([1]تیر!$AF$2:$AF$805,[1]تیر!$O$2:$O$805,7701,[1]تیر!$D$2:$D$805,$F$41,[1]تیر!$AC$2:$AC$805,R3)</f>
        <v>0</v>
      </c>
      <c r="S41" s="169">
        <f>SUMIFS([1]تیر!$AF$2:$AF$805,[1]تیر!$O$2:$O$805,7701,[1]تیر!$D$2:$D$805,$F$41,[1]تیر!$AC$2:$AC$805,S3)</f>
        <v>0</v>
      </c>
      <c r="T41" s="169">
        <f>SUMIFS([1]تیر!$AF$2:$AF$805,[1]تیر!$O$2:$O$805,7701,[1]تیر!$D$2:$D$805,$F$41,[1]تیر!$AC$2:$AC$805,T3)</f>
        <v>4</v>
      </c>
      <c r="U41" s="107">
        <f>SUMIFS([1]تیر!$AF$2:$AF$805,[1]تیر!$O$2:$O$805,7701,[1]تیر!$D$2:$D$805,$F$41,[1]تیر!$AC$2:$AC$805,U3)</f>
        <v>5</v>
      </c>
    </row>
    <row r="42" spans="1:21" ht="39" customHeight="1" thickBot="1" x14ac:dyDescent="0.3">
      <c r="A42" s="615">
        <v>19</v>
      </c>
      <c r="B42" s="308" t="s">
        <v>30</v>
      </c>
      <c r="C42" s="599">
        <v>7701</v>
      </c>
      <c r="D42" s="599">
        <v>62.5</v>
      </c>
      <c r="E42" s="933"/>
      <c r="F42" s="29"/>
      <c r="G42" s="3">
        <f t="shared" si="0"/>
        <v>0</v>
      </c>
      <c r="H42" s="47">
        <f t="shared" si="1"/>
        <v>0</v>
      </c>
      <c r="I42" s="3">
        <v>0</v>
      </c>
      <c r="J42" s="25">
        <v>0</v>
      </c>
      <c r="K42" s="25">
        <v>0</v>
      </c>
      <c r="L42" s="70">
        <v>0</v>
      </c>
      <c r="M42" s="4">
        <f>(J41+J42+J43+I43+I42+I41+H41+H42+H43+G43+G42+G41)-D42</f>
        <v>-15.5</v>
      </c>
      <c r="N42" s="956"/>
      <c r="O42" s="293">
        <f>SUMIFS([1]اردیبهشت!$AD$2:$AD$805,[1]اردیبهشت!$N$2:$N$805,$C$42,[1]اردیبهشت!$D$2:$D$805,$F$42,[1]اردیبهشت!$AA$2:$AA$805,O3)</f>
        <v>0</v>
      </c>
      <c r="P42" s="168">
        <f>SUMIFS([1]اردیبهشت!$AD$2:$AD$805,[1]اردیبهشت!$N$2:$N$805,$C$42,[1]اردیبهشت!$D$2:$D$805,$F$42,[1]اردیبهشت!$AA$2:$AA$805,P3)</f>
        <v>0</v>
      </c>
      <c r="Q42" s="168">
        <f>SUMIFS([1]اردیبهشت!$AD$2:$AD$805,[1]اردیبهشت!$N$2:$N$805,$C$42,[1]اردیبهشت!$D$2:$D$805,$F$42,[1]اردیبهشت!$AA$2:$AA$805,Q3)</f>
        <v>0</v>
      </c>
      <c r="R42" s="168">
        <f>SUMIFS([1]اردیبهشت!$AD$2:$AD$805,[1]اردیبهشت!$N$2:$N$805,$C$42,[1]اردیبهشت!$D$2:$D$805,$F$42,[1]اردیبهشت!$AA$2:$AA$805,R3)</f>
        <v>0</v>
      </c>
      <c r="S42" s="168">
        <f>SUMIFS([1]اردیبهشت!$AD$2:$AD$805,[1]اردیبهشت!$N$2:$N$805,$C$42,[1]اردیبهشت!$D$2:$D$805,$F$42,[1]اردیبهشت!$AA$2:$AA$805,S3)</f>
        <v>0</v>
      </c>
      <c r="T42" s="168">
        <f>SUMIFS([1]اردیبهشت!$AD$2:$AD$805,[1]اردیبهشت!$N$2:$N$805,$C$42,[1]اردیبهشت!$D$2:$D$805,$F$42,[1]اردیبهشت!$AA$2:$AA$805,T3)</f>
        <v>0</v>
      </c>
      <c r="U42" s="108">
        <f>SUMIFS([1]اردیبهشت!$AD$2:$AD$600,[1]اردیبهشت!$N$2:$N$600,$C$42,[1]اردیبهشت!$D$2:$D$600,$F$42,[1]اردیبهشت!$AA$2:$AA$600,U3)</f>
        <v>0</v>
      </c>
    </row>
    <row r="43" spans="1:21" ht="39" hidden="1" customHeight="1" thickBot="1" x14ac:dyDescent="0.3">
      <c r="A43" s="615"/>
      <c r="B43" s="309"/>
      <c r="C43" s="600"/>
      <c r="D43" s="600"/>
      <c r="E43" s="933"/>
      <c r="F43" s="57"/>
      <c r="G43" s="4">
        <f t="shared" si="0"/>
        <v>0</v>
      </c>
      <c r="H43" s="67">
        <f t="shared" si="1"/>
        <v>0</v>
      </c>
      <c r="I43" s="25">
        <v>0</v>
      </c>
      <c r="J43" s="25">
        <v>0</v>
      </c>
      <c r="K43" s="25">
        <v>0</v>
      </c>
      <c r="L43" s="25">
        <v>0</v>
      </c>
      <c r="M43" s="65"/>
      <c r="N43" s="950"/>
      <c r="O43" s="352">
        <f>SUMIFS([1]اردیبهشت!$AD$2:$AD$805,[1]اردیبهشت!$N$2:$N$805,$C$42,[1]اردیبهشت!$D$2:$D$805,$F$43,[1]اردیبهشت!$AA$2:$AA$805,O3)</f>
        <v>0</v>
      </c>
      <c r="P43" s="175">
        <f>SUMIFS([1]اردیبهشت!$AD$2:$AD$805,[1]اردیبهشت!$N$2:$N$805,$C$42,[1]اردیبهشت!$D$2:$D$805,$F$43,[1]اردیبهشت!$AA$2:$AA$805,P3)</f>
        <v>0</v>
      </c>
      <c r="Q43" s="175">
        <f>SUMIFS([1]اردیبهشت!$AD$2:$AD$805,[1]اردیبهشت!$N$2:$N$805,$C$42,[1]اردیبهشت!$D$2:$D$805,$F$43,[1]اردیبهشت!$AA$2:$AA$805,Q3)</f>
        <v>0</v>
      </c>
      <c r="R43" s="175">
        <f>SUMIFS([1]اردیبهشت!$AD$2:$AD$805,[1]اردیبهشت!$N$2:$N$805,$C$42,[1]اردیبهشت!$D$2:$D$805,$F$43,[1]اردیبهشت!$AA$2:$AA$805,R3)</f>
        <v>0</v>
      </c>
      <c r="S43" s="175">
        <f>SUMIFS([1]اردیبهشت!$AD$2:$AD$805,[1]اردیبهشت!$N$2:$N$805,$C$42,[1]اردیبهشت!$D$2:$D$805,$F$43,[1]اردیبهشت!$AA$2:$AA$805,S3)</f>
        <v>0</v>
      </c>
      <c r="T43" s="175">
        <f>SUMIFS([1]اردیبهشت!$AD$2:$AD$805,[1]اردیبهشت!$N$2:$N$805,$C$42,[1]اردیبهشت!$D$2:$D$805,$F$43,[1]اردیبهشت!$AA$2:$AA$805,T3)</f>
        <v>0</v>
      </c>
      <c r="U43" s="114">
        <f>SUMIFS([1]اردیبهشت!$AD$2:$AD$600,[1]اردیبهشت!$N$2:$N$600,$C$42,[1]اردیبهشت!$D$2:$D$600,$F$43,[1]اردیبهشت!$AA$2:$AA$600,U3)</f>
        <v>0</v>
      </c>
    </row>
    <row r="44" spans="1:21" ht="39" customHeight="1" thickBot="1" x14ac:dyDescent="0.3">
      <c r="A44" s="45">
        <v>20</v>
      </c>
      <c r="B44" s="12" t="s">
        <v>63</v>
      </c>
      <c r="C44" s="13">
        <v>8001</v>
      </c>
      <c r="D44" s="13">
        <v>62.5</v>
      </c>
      <c r="E44" s="13" t="s">
        <v>15</v>
      </c>
      <c r="F44" s="31" t="s">
        <v>54</v>
      </c>
      <c r="G44" s="14">
        <f t="shared" si="0"/>
        <v>3</v>
      </c>
      <c r="H44" s="48">
        <f t="shared" si="1"/>
        <v>0</v>
      </c>
      <c r="I44" s="14">
        <v>0</v>
      </c>
      <c r="J44" s="14">
        <v>0</v>
      </c>
      <c r="K44" s="14">
        <v>0</v>
      </c>
      <c r="L44" s="14">
        <v>0</v>
      </c>
      <c r="M44" s="14">
        <f>SUM(G44:J44)-62</f>
        <v>-59</v>
      </c>
      <c r="N44" s="18" t="s">
        <v>31</v>
      </c>
      <c r="O44" s="297">
        <f>SUMIFS([1]تیر!$AF$2:$AF$805,[1]تیر!$O$2:$O$805,8001,[1]تیر!$D$2:$D$805,$F$44,[1]تیر!$AC$2:$AC$805,O3)</f>
        <v>0</v>
      </c>
      <c r="P44" s="182">
        <f>SUMIFS([1]تیر!$AF$2:$AF$805,[1]تیر!$O$2:$O$805,8001,[1]تیر!$D$2:$D$805,$F$44,[1]تیر!$AC$2:$AC$805,P3)</f>
        <v>3</v>
      </c>
      <c r="Q44" s="182">
        <f>SUMIFS([1]تیر!$AF$2:$AF$805,[1]تیر!$O$2:$O$805,8001,[1]تیر!$D$2:$D$805,$F$44,[1]تیر!$AC$2:$AC$805,Q3)</f>
        <v>0</v>
      </c>
      <c r="R44" s="182">
        <f>SUMIFS([1]تیر!$AF$2:$AF$805,[1]تیر!$O$2:$O$805,8001,[1]تیر!$D$2:$D$805,$F$44,[1]تیر!$AC$2:$AC$805,R3)</f>
        <v>0</v>
      </c>
      <c r="S44" s="182">
        <f>SUMIFS([1]تیر!$AF$2:$AF$805,[1]تیر!$O$2:$O$805,8001,[1]تیر!$D$2:$D$805,$F$44,[1]تیر!$AC$2:$AC$805,S3)</f>
        <v>0</v>
      </c>
      <c r="T44" s="182">
        <f>SUMIFS([1]تیر!$AF$2:$AF$805,[1]تیر!$O$2:$O$805,8001,[1]تیر!$D$2:$D$805,$F$44,[1]تیر!$AC$2:$AC$805,T3)</f>
        <v>0</v>
      </c>
      <c r="U44" s="156">
        <f>SUMIFS([1]تیر!$AF$2:$AF$805,[1]تیر!$O$2:$O$805,8001,[1]تیر!$D$2:$D$805,$F$44,[1]تیر!$AC$2:$AC$805,U3)</f>
        <v>0</v>
      </c>
    </row>
    <row r="45" spans="1:21" ht="38.25" customHeight="1" thickBot="1" x14ac:dyDescent="0.3">
      <c r="A45" s="45">
        <v>21</v>
      </c>
      <c r="B45" s="12" t="s">
        <v>32</v>
      </c>
      <c r="C45" s="13">
        <v>8002</v>
      </c>
      <c r="D45" s="13">
        <v>44</v>
      </c>
      <c r="E45" s="13" t="s">
        <v>15</v>
      </c>
      <c r="F45" s="31"/>
      <c r="G45" s="14">
        <f t="shared" si="0"/>
        <v>0</v>
      </c>
      <c r="H45" s="48">
        <f t="shared" si="1"/>
        <v>0</v>
      </c>
      <c r="I45" s="14">
        <v>0</v>
      </c>
      <c r="J45" s="14">
        <v>0</v>
      </c>
      <c r="K45" s="14">
        <v>0</v>
      </c>
      <c r="L45" s="14">
        <v>0</v>
      </c>
      <c r="M45" s="14">
        <f>SUM(G45:L45)-(D45)</f>
        <v>-44</v>
      </c>
      <c r="N45" s="17" t="s">
        <v>40</v>
      </c>
      <c r="O45" s="536">
        <f>SUMIFS([1]تیر!$AF$2:$AF$805,[1]تیر!$O$2:$O$805,8002,[1]تیر!$D$2:$D$805,$F$45,[1]تیر!$AC$2:$AC$805,O3)</f>
        <v>0</v>
      </c>
      <c r="P45" s="186">
        <f>SUMIFS([1]تیر!$AF$2:$AF$805,[1]تیر!$O$2:$O$805,8002,[1]تیر!$D$2:$D$805,$F$45,[1]تیر!$AC$2:$AC$805,P3)</f>
        <v>0</v>
      </c>
      <c r="Q45" s="186">
        <f>SUMIFS([1]تیر!$AF$2:$AF$805,[1]تیر!$O$2:$O$805,8002,[1]تیر!$D$2:$D$805,$F$45,[1]تیر!$AC$2:$AC$805,Q3)</f>
        <v>0</v>
      </c>
      <c r="R45" s="186">
        <f>SUMIFS([1]تیر!$AF$2:$AF$805,[1]تیر!$O$2:$O$805,8002,[1]تیر!$D$2:$D$805,$F$45,[1]تیر!$AC$2:$AC$805,R3)</f>
        <v>0</v>
      </c>
      <c r="S45" s="186">
        <f>SUMIFS([1]تیر!$AF$2:$AF$805,[1]تیر!$O$2:$O$805,8002,[1]تیر!$D$2:$D$805,$F$45,[1]تیر!$AC$2:$AC$805,S3)</f>
        <v>0</v>
      </c>
      <c r="T45" s="186">
        <f>SUMIFS([1]تیر!$AF$2:$AF$805,[1]تیر!$O$2:$O$805,8002,[1]تیر!$D$2:$D$805,$F$45,[1]تیر!$AC$2:$AC$805,T3)</f>
        <v>0</v>
      </c>
      <c r="U45" s="118">
        <f>SUMIFS([1]تیر!$AF$2:$AF$805,[1]تیر!$O$2:$O$805,8002,[1]تیر!$D$2:$D$805,$F$45,[1]تیر!$AC$2:$AC$805,U3)</f>
        <v>0</v>
      </c>
    </row>
    <row r="46" spans="1:21" ht="36" customHeight="1" x14ac:dyDescent="0.25">
      <c r="A46" s="957">
        <v>22</v>
      </c>
      <c r="B46" s="974" t="s">
        <v>33</v>
      </c>
      <c r="C46" s="943" t="s">
        <v>33</v>
      </c>
      <c r="D46" s="932">
        <v>62.5</v>
      </c>
      <c r="E46" s="1002">
        <f>G46+G47+G48+G49</f>
        <v>87.5</v>
      </c>
      <c r="F46" s="32" t="s">
        <v>16</v>
      </c>
      <c r="G46" s="623">
        <f t="shared" si="0"/>
        <v>25</v>
      </c>
      <c r="H46" s="46">
        <f t="shared" si="1"/>
        <v>0</v>
      </c>
      <c r="I46" s="623">
        <v>1</v>
      </c>
      <c r="J46" s="623">
        <v>0</v>
      </c>
      <c r="K46" s="623">
        <v>0</v>
      </c>
      <c r="L46" s="623">
        <v>0</v>
      </c>
      <c r="M46" s="623">
        <f>(SUM(G46:L46))-D46</f>
        <v>-36.5</v>
      </c>
      <c r="N46" s="33"/>
      <c r="O46" s="292">
        <f>SUMIFS([1]تیر!$AF$2:$AF$805,[1]تیر!$O$2:$O$805,"مونتاژ",[1]تیر!$D$2:$D$805,$F$46,[1]تیر!$AC$2:$AC$805,O3)</f>
        <v>7</v>
      </c>
      <c r="P46" s="169">
        <f>SUMIFS([1]تیر!$AF$2:$AF$805,[1]تیر!$O$2:$O$805,"مونتاژ",[1]تیر!$D$2:$D$805,$F$46,[1]تیر!$AC$2:$AC$805,P3)</f>
        <v>5</v>
      </c>
      <c r="Q46" s="169">
        <f>SUMIFS([1]تیر!$AF$2:$AF$805,[1]تیر!$O$2:$O$805,"مونتاژ",[1]تیر!$D$2:$D$805,$F$46,[1]تیر!$AC$2:$AC$805,Q3)</f>
        <v>4</v>
      </c>
      <c r="R46" s="169">
        <f>SUMIFS([1]تیر!$AF$2:$AF$805,[1]تیر!$O$2:$O$805,"مونتاژ",[1]تیر!$D$2:$D$805,$F$46,[1]تیر!$AC$2:$AC$805,R3)</f>
        <v>5</v>
      </c>
      <c r="S46" s="169">
        <f>SUMIFS([1]تیر!$AF$2:$AF$805,[1]تیر!$O$2:$O$805,"مونتاژ",[1]تیر!$D$2:$D$805,$F$46,[1]تیر!$AC$2:$AC$805,S3)</f>
        <v>2</v>
      </c>
      <c r="T46" s="169">
        <f>SUMIFS([1]تیر!$AF$2:$AF$805,[1]تیر!$O$2:$O$805,"مونتاژ",[1]تیر!$D$2:$D$805,$F$46,[1]تیر!$AC$2:$AC$805,T3)</f>
        <v>2</v>
      </c>
      <c r="U46" s="107">
        <f>SUMIFS([1]تیر!$AF$2:$AF$805,[1]تیر!$O$2:$O$805,"مونتاژ",[1]تیر!$D$2:$D$805,$F$46,[1]تیر!$AC$2:$AC$805,U3)</f>
        <v>0</v>
      </c>
    </row>
    <row r="47" spans="1:21" ht="36" customHeight="1" x14ac:dyDescent="0.25">
      <c r="A47" s="958"/>
      <c r="B47" s="975"/>
      <c r="C47" s="965"/>
      <c r="D47" s="933"/>
      <c r="E47" s="965"/>
      <c r="F47" s="29" t="s">
        <v>22</v>
      </c>
      <c r="G47" s="3">
        <f>SUM(O47:T47)+1</f>
        <v>1</v>
      </c>
      <c r="H47" s="47">
        <f t="shared" si="1"/>
        <v>0</v>
      </c>
      <c r="I47" s="3">
        <v>0</v>
      </c>
      <c r="J47" s="3">
        <v>0</v>
      </c>
      <c r="K47" s="3">
        <v>0</v>
      </c>
      <c r="L47" s="3">
        <v>0</v>
      </c>
      <c r="M47" s="3">
        <f>(SUM(G47:L47))-D46</f>
        <v>-61.5</v>
      </c>
      <c r="N47" s="58"/>
      <c r="O47" s="293">
        <f>SUMIFS([1]تیر!$AF$2:$AF$805,[1]تیر!$O$2:$O$805,"مونتاژ",[1]تیر!$D$2:$D$805,$F$47,[1]تیر!$AC$2:$AC$805,O3)</f>
        <v>0</v>
      </c>
      <c r="P47" s="168">
        <f>SUMIFS([1]تیر!$AF$2:$AF$805,[1]تیر!$O$2:$O$805,"مونتاژ",[1]تیر!$D$2:$D$805,$F$47,[1]تیر!$AC$2:$AC$805,P3)</f>
        <v>0</v>
      </c>
      <c r="Q47" s="168">
        <f>SUMIFS([1]تیر!$AF$2:$AF$805,[1]تیر!$O$2:$O$805,"مونتاژ",[1]تیر!$D$2:$D$805,$F$47,[1]تیر!$AC$2:$AC$805,Q3)</f>
        <v>0</v>
      </c>
      <c r="R47" s="168">
        <f>SUMIFS([1]تیر!$AF$2:$AF$805,[1]تیر!$O$2:$O$805,"مونتاژ",[1]تیر!$D$2:$D$805,$F$47,[1]تیر!$AC$2:$AC$805,R3)</f>
        <v>0</v>
      </c>
      <c r="S47" s="168">
        <f>SUMIFS([1]تیر!$AF$2:$AF$805,[1]تیر!$O$2:$O$805,"مونتاژ",[1]تیر!$D$2:$D$805,$F$47,[1]تیر!$AC$2:$AC$805,S3)</f>
        <v>0</v>
      </c>
      <c r="T47" s="168">
        <f>SUMIFS([1]تیر!$AF$2:$AF$805,[1]تیر!$O$2:$O$805,"مونتاژ",[1]تیر!$D$2:$D$805,$F$47,[1]تیر!$AC$2:$AC$805,T3)</f>
        <v>0</v>
      </c>
      <c r="U47" s="108">
        <f>SUMIFS([1]تیر!$AF$2:$AF$805,[1]تیر!$O$2:$O$805,"مونتاژ",[1]تیر!$D$2:$D$805,$F$47,[1]تیر!$AC$2:$AC$805,U3)</f>
        <v>0</v>
      </c>
    </row>
    <row r="48" spans="1:21" ht="36" customHeight="1" x14ac:dyDescent="0.25">
      <c r="A48" s="959"/>
      <c r="B48" s="975"/>
      <c r="C48" s="966"/>
      <c r="D48" s="933"/>
      <c r="E48" s="966"/>
      <c r="F48" s="29" t="s">
        <v>54</v>
      </c>
      <c r="G48" s="3">
        <f t="shared" si="0"/>
        <v>36.5</v>
      </c>
      <c r="H48" s="47">
        <f t="shared" si="1"/>
        <v>0</v>
      </c>
      <c r="I48" s="3">
        <v>0</v>
      </c>
      <c r="J48" s="3">
        <v>0</v>
      </c>
      <c r="K48" s="3">
        <v>0</v>
      </c>
      <c r="L48" s="3">
        <v>0</v>
      </c>
      <c r="M48" s="3">
        <f>(SUM(G48:L48))-62</f>
        <v>-25.5</v>
      </c>
      <c r="N48" s="62"/>
      <c r="O48" s="293">
        <f>SUMIFS([1]تیر!$AF$2:$AF$805,[1]تیر!$O$2:$O$805,"مونتاژ",[1]تیر!$D$2:$D$805,$F$48,[1]تیر!$AC$2:$AC$805,O3)</f>
        <v>10</v>
      </c>
      <c r="P48" s="168">
        <f>SUMIFS([1]تیر!$AF$2:$AF$805,[1]تیر!$O$2:$O$805,"مونتاژ",[1]تیر!$D$2:$D$805,$F$48,[1]تیر!$AC$2:$AC$805,P3)</f>
        <v>6</v>
      </c>
      <c r="Q48" s="168">
        <f>SUMIFS([1]تیر!$AF$2:$AF$805,[1]تیر!$O$2:$O$805,"مونتاژ",[1]تیر!$D$2:$D$805,$F$48,[1]تیر!$AC$2:$AC$805,Q3)</f>
        <v>5</v>
      </c>
      <c r="R48" s="168">
        <f>SUMIFS([1]تیر!$AF$2:$AF$805,[1]تیر!$O$2:$O$805,"مونتاژ",[1]تیر!$D$2:$D$805,$F$48,[1]تیر!$AC$2:$AC$805,R3)</f>
        <v>8</v>
      </c>
      <c r="S48" s="168">
        <f>SUMIFS([1]تیر!$AF$2:$AF$805,[1]تیر!$O$2:$O$805,"مونتاژ",[1]تیر!$D$2:$D$805,$F$48,[1]تیر!$AC$2:$AC$805,S3)</f>
        <v>7.5</v>
      </c>
      <c r="T48" s="168">
        <f>SUMIFS([1]تیر!$AF$2:$AF$805,[1]تیر!$O$2:$O$805,"مونتاژ",[1]تیر!$D$2:$D$805,$F$48,[1]تیر!$AC$2:$AC$805,T3)</f>
        <v>0</v>
      </c>
      <c r="U48" s="108">
        <f>SUMIFS([1]تیر!$AF$2:$AF$805,[1]تیر!$O$2:$O$805,"مونتاژ",[1]تیر!$D$2:$D$805,$F$48,[1]تیر!$AC$2:$AC$805,U3)</f>
        <v>0</v>
      </c>
    </row>
    <row r="49" spans="1:21" ht="36" customHeight="1" thickBot="1" x14ac:dyDescent="0.3">
      <c r="A49" s="960"/>
      <c r="B49" s="975"/>
      <c r="C49" s="944"/>
      <c r="D49" s="934"/>
      <c r="E49" s="944"/>
      <c r="F49" s="30" t="s">
        <v>55</v>
      </c>
      <c r="G49" s="6">
        <f t="shared" si="0"/>
        <v>25</v>
      </c>
      <c r="H49" s="64">
        <f t="shared" si="1"/>
        <v>0</v>
      </c>
      <c r="I49" s="7">
        <v>0</v>
      </c>
      <c r="J49" s="7">
        <v>0</v>
      </c>
      <c r="K49" s="7">
        <v>0</v>
      </c>
      <c r="L49" s="7">
        <v>0</v>
      </c>
      <c r="M49" s="7">
        <f>SUM(G49:J49)-62</f>
        <v>-37</v>
      </c>
      <c r="N49" s="34"/>
      <c r="O49" s="352">
        <f>SUMIFS([1]تیر!$AF$2:$AF$805,[1]تیر!$O$2:$O$805,"مونتاژ",[1]تیر!$D$2:$D$805,$F$49,[1]تیر!$AC$2:$AC$805,O3)</f>
        <v>10</v>
      </c>
      <c r="P49" s="175">
        <f>SUMIFS([1]تیر!$AF$2:$AF$805,[1]تیر!$O$2:$O$805,"مونتاژ",[1]تیر!$D$2:$D$805,$F$49,[1]تیر!$AC$2:$AC$805,P3)</f>
        <v>5</v>
      </c>
      <c r="Q49" s="175">
        <f>SUMIFS([1]تیر!$AF$2:$AF$805,[1]تیر!$O$2:$O$805,"مونتاژ",[1]تیر!$D$2:$D$805,$F$49,[1]تیر!$AC$2:$AC$805,Q3)</f>
        <v>4</v>
      </c>
      <c r="R49" s="175">
        <f>SUMIFS([1]تیر!$AF$2:$AF$805,[1]تیر!$O$2:$O$805,"مونتاژ",[1]تیر!$D$2:$D$805,$F$49,[1]تیر!$AC$2:$AC$805,R3)</f>
        <v>0</v>
      </c>
      <c r="S49" s="175">
        <f>SUMIFS([1]تیر!$AF$2:$AF$805,[1]تیر!$O$2:$O$805,"مونتاژ",[1]تیر!$D$2:$D$805,$F$49,[1]تیر!$AC$2:$AC$805,S3)</f>
        <v>6</v>
      </c>
      <c r="T49" s="175">
        <f>SUMIFS([1]تیر!$AF$2:$AF$805,[1]تیر!$O$2:$O$805,"مونتاژ",[1]تیر!$D$2:$D$805,$F$49,[1]تیر!$AC$2:$AC$805,T3)</f>
        <v>0</v>
      </c>
      <c r="U49" s="114">
        <f>SUMIFS([1]تیر!$AF$2:$AF$805,[1]تیر!$O$2:$O$805,"مونتاژ",[1]تیر!$D$2:$D$805,$F$49,[1]تیر!$AC$2:$AC$805,U3)</f>
        <v>0</v>
      </c>
    </row>
    <row r="50" spans="1:21" ht="36" customHeight="1" x14ac:dyDescent="0.25">
      <c r="A50" s="967">
        <v>23</v>
      </c>
      <c r="B50" s="975"/>
      <c r="C50" s="943" t="s">
        <v>34</v>
      </c>
      <c r="D50" s="932">
        <v>62.5</v>
      </c>
      <c r="E50" s="932"/>
      <c r="F50" s="32" t="s">
        <v>16</v>
      </c>
      <c r="G50" s="623">
        <f t="shared" si="0"/>
        <v>22.5</v>
      </c>
      <c r="H50" s="46">
        <f t="shared" si="1"/>
        <v>4</v>
      </c>
      <c r="I50" s="623">
        <v>1</v>
      </c>
      <c r="J50" s="623">
        <v>0</v>
      </c>
      <c r="K50" s="623">
        <v>0</v>
      </c>
      <c r="L50" s="623">
        <v>0</v>
      </c>
      <c r="M50" s="623">
        <f>SUM(G50:L50)-62</f>
        <v>-34.5</v>
      </c>
      <c r="N50" s="56"/>
      <c r="O50" s="292">
        <f>SUMIFS([1]تیر!$AF$2:$AF$805,[1]تیر!$O$2:$O$805,"دمونتاژ",[1]تیر!$D$2:$D$805,$F$50,[1]تیر!$AC$2:$AC$805,O3)</f>
        <v>5</v>
      </c>
      <c r="P50" s="169">
        <f>SUMIFS([1]تیر!$AF$2:$AF$805,[1]تیر!$O$2:$O$805,"دمونتاژ",[1]تیر!$D$2:$D$805,$F$50,[1]تیر!$AC$2:$AC$805,P3)</f>
        <v>4</v>
      </c>
      <c r="Q50" s="169">
        <f>SUMIFS([1]تیر!$AF$2:$AF$805,[1]تیر!$O$2:$O$805,"دمونتاژ",[1]تیر!$D$2:$D$805,$F$50,[1]تیر!$AC$2:$AC$805,Q3)</f>
        <v>4</v>
      </c>
      <c r="R50" s="169">
        <f>SUMIFS([1]تیر!$AF$2:$AF$805,[1]تیر!$O$2:$O$805,"دمونتاژ",[1]تیر!$D$2:$D$805,$F$50,[1]تیر!$AC$2:$AC$805,R3)</f>
        <v>2</v>
      </c>
      <c r="S50" s="169">
        <f>SUMIFS([1]تیر!$AF$2:$AF$805,[1]تیر!$O$2:$O$805,"دمونتاژ",[1]تیر!$D$2:$D$805,$F$50,[1]تیر!$AC$2:$AC$805,S3)</f>
        <v>4</v>
      </c>
      <c r="T50" s="169">
        <f>SUMIFS([1]تیر!$AF$2:$AF$805,[1]تیر!$O$2:$O$805,"دمونتاژ",[1]تیر!$D$2:$D$805,$F$50,[1]تیر!$AC$2:$AC$805,T3)</f>
        <v>3.5</v>
      </c>
      <c r="U50" s="107">
        <f>SUMIFS([1]تیر!$AF$2:$AF$805,[1]تیر!$O$2:$O$805,"دمونتاژ",[1]تیر!$D$2:$D$805,$F$50,[1]تیر!$AC$2:$AC$805,U3)</f>
        <v>4</v>
      </c>
    </row>
    <row r="51" spans="1:21" ht="36" customHeight="1" x14ac:dyDescent="0.25">
      <c r="A51" s="967"/>
      <c r="B51" s="975"/>
      <c r="C51" s="965"/>
      <c r="D51" s="933"/>
      <c r="E51" s="933"/>
      <c r="F51" s="29" t="s">
        <v>55</v>
      </c>
      <c r="G51" s="3">
        <f t="shared" si="0"/>
        <v>13</v>
      </c>
      <c r="H51" s="47">
        <f t="shared" si="1"/>
        <v>0</v>
      </c>
      <c r="I51" s="3">
        <v>0</v>
      </c>
      <c r="J51" s="3">
        <v>0</v>
      </c>
      <c r="K51" s="3">
        <v>0</v>
      </c>
      <c r="L51" s="3">
        <v>0</v>
      </c>
      <c r="M51" s="3">
        <f>SUM(G51:L51)-62</f>
        <v>-49</v>
      </c>
      <c r="N51" s="62"/>
      <c r="O51" s="293">
        <f>SUMIFS([1]تیر!$AF$2:$AF$805,[1]تیر!$O$2:$O$805,"دمونتاژ",[1]تیر!$D$2:$D$805,$F$51,[1]تیر!$AC$2:$AC$805,O3)</f>
        <v>0</v>
      </c>
      <c r="P51" s="168">
        <f>SUMIFS([1]تیر!$AF$2:$AF$805,[1]تیر!$O$2:$O$805,"دمونتاژ",[1]تیر!$D$2:$D$805,$F$51,[1]تیر!$AC$2:$AC$805,P3)</f>
        <v>5</v>
      </c>
      <c r="Q51" s="168">
        <f>SUMIFS([1]تیر!$AF$2:$AF$805,[1]تیر!$O$2:$O$805,"دمونتاژ",[1]تیر!$D$2:$D$805,$F$51,[1]تیر!$AC$2:$AC$805,Q3)</f>
        <v>0</v>
      </c>
      <c r="R51" s="168">
        <f>SUMIFS([1]تیر!$AF$2:$AF$805,[1]تیر!$O$2:$O$805,"دمونتاژ",[1]تیر!$D$2:$D$805,$F$51,[1]تیر!$AC$2:$AC$805,R3)</f>
        <v>0</v>
      </c>
      <c r="S51" s="168">
        <f>SUMIFS([1]تیر!$AF$2:$AF$805,[1]تیر!$O$2:$O$805,"دمونتاژ",[1]تیر!$D$2:$D$805,$F$51,[1]تیر!$AC$2:$AC$805,S3)</f>
        <v>4</v>
      </c>
      <c r="T51" s="168">
        <f>SUMIFS([1]تیر!$AF$2:$AF$805,[1]تیر!$O$2:$O$805,"دمونتاژ",[1]تیر!$D$2:$D$805,$F$51,[1]تیر!$AC$2:$AC$805,T3)</f>
        <v>4</v>
      </c>
      <c r="U51" s="108">
        <f>SUMIFS([1]تیر!$AF$2:$AF$805,[1]تیر!$O$2:$O$805,"دمونتاژ",[1]تیر!$D$2:$D$805,$F$51,[1]تیر!$AC$2:$AC$805,U3)</f>
        <v>0</v>
      </c>
    </row>
    <row r="52" spans="1:21" ht="36" customHeight="1" x14ac:dyDescent="0.25">
      <c r="A52" s="967"/>
      <c r="B52" s="975"/>
      <c r="C52" s="965"/>
      <c r="D52" s="933"/>
      <c r="E52" s="933"/>
      <c r="F52" s="29" t="s">
        <v>54</v>
      </c>
      <c r="G52" s="3">
        <f t="shared" si="0"/>
        <v>15</v>
      </c>
      <c r="H52" s="47">
        <f t="shared" si="1"/>
        <v>0</v>
      </c>
      <c r="I52" s="3">
        <v>0</v>
      </c>
      <c r="J52" s="3">
        <v>0</v>
      </c>
      <c r="K52" s="3">
        <v>0</v>
      </c>
      <c r="L52" s="3">
        <v>0</v>
      </c>
      <c r="M52" s="3">
        <f>SUM(G52:L52)-62</f>
        <v>-47</v>
      </c>
      <c r="N52" s="62"/>
      <c r="O52" s="293">
        <f>SUMIFS([1]تیر!$AF$2:$AF$805,[1]تیر!$O$2:$O$805,"دمونتاژ",[1]تیر!$D$2:$D$805,$F$52,[1]تیر!$AC$2:$AC$805,O3)</f>
        <v>0</v>
      </c>
      <c r="P52" s="168">
        <f>SUMIFS([1]تیر!$AF$2:$AF$805,[1]تیر!$O$2:$O$805,"دمونتاژ",[1]تیر!$D$2:$D$805,$F$52,[1]تیر!$AC$2:$AC$805,P3)</f>
        <v>0</v>
      </c>
      <c r="Q52" s="168">
        <f>SUMIFS([1]تیر!$AF$2:$AF$805,[1]تیر!$O$2:$O$805,"دمونتاژ",[1]تیر!$D$2:$D$805,$F$52,[1]تیر!$AC$2:$AC$805,Q3)</f>
        <v>6</v>
      </c>
      <c r="R52" s="168">
        <f>SUMIFS([1]تیر!$AF$2:$AF$805,[1]تیر!$O$2:$O$805,"دمونتاژ",[1]تیر!$D$2:$D$805,$F$52,[1]تیر!$AC$2:$AC$805,R3)</f>
        <v>2</v>
      </c>
      <c r="S52" s="168">
        <f>SUMIFS([1]تیر!$AF$2:$AF$805,[1]تیر!$O$2:$O$805,"دمونتاژ",[1]تیر!$D$2:$D$805,$F$52,[1]تیر!$AC$2:$AC$805,S3)</f>
        <v>3</v>
      </c>
      <c r="T52" s="168">
        <f>SUMIFS([1]تیر!$AF$2:$AF$805,[1]تیر!$O$2:$O$805,"دمونتاژ",[1]تیر!$D$2:$D$805,$F$52,[1]تیر!$AC$2:$AC$805,T3)+1</f>
        <v>4</v>
      </c>
      <c r="U52" s="108">
        <f>SUMIFS([1]تیر!$AF$2:$AF$805,[1]تیر!$O$2:$O$805,"دمونتاژ",[1]تیر!$D$2:$D$805,$F$52,[1]تیر!$AC$2:$AC$805,U3)</f>
        <v>0</v>
      </c>
    </row>
    <row r="53" spans="1:21" ht="36" customHeight="1" thickBot="1" x14ac:dyDescent="0.3">
      <c r="A53" s="967"/>
      <c r="B53" s="976"/>
      <c r="C53" s="966"/>
      <c r="D53" s="934"/>
      <c r="E53" s="934"/>
      <c r="F53" s="600"/>
      <c r="G53" s="4">
        <f t="shared" si="0"/>
        <v>0</v>
      </c>
      <c r="H53" s="49">
        <f t="shared" si="1"/>
        <v>0</v>
      </c>
      <c r="I53" s="25">
        <v>0</v>
      </c>
      <c r="J53" s="25">
        <v>0</v>
      </c>
      <c r="K53" s="25">
        <v>0</v>
      </c>
      <c r="L53" s="25">
        <v>0</v>
      </c>
      <c r="M53" s="25">
        <f>SUM(G53:L53)-62</f>
        <v>-62</v>
      </c>
      <c r="N53" s="58"/>
      <c r="O53" s="294">
        <f>SUMIFS([1]تیر!$AF$2:$AF$805,[1]تیر!$O$2:$O$805,"دمونتاژ",[1]تیر!$D$2:$D$805,$F$53,[1]تیر!$AC$2:$AC$805,O3)</f>
        <v>0</v>
      </c>
      <c r="P53" s="172">
        <f>SUMIFS([1]تیر!$AF$2:$AF$805,[1]تیر!$O$2:$O$805,"دمونتاژ",[1]تیر!$D$2:$D$805,$F$53,[1]تیر!$AC$2:$AC$805,P3)</f>
        <v>0</v>
      </c>
      <c r="Q53" s="172">
        <f>SUMIFS([1]تیر!$AF$2:$AF$805,[1]تیر!$O$2:$O$805,"دمونتاژ",[1]تیر!$D$2:$D$805,$F$53,[1]تیر!$AC$2:$AC$805,Q3)</f>
        <v>0</v>
      </c>
      <c r="R53" s="172">
        <f>SUMIFS([1]تیر!$AF$2:$AF$805,[1]تیر!$O$2:$O$805,"دمونتاژ",[1]تیر!$D$2:$D$805,$F$53,[1]تیر!$AC$2:$AC$805,R3)</f>
        <v>0</v>
      </c>
      <c r="S53" s="172">
        <f>SUMIFS([1]تیر!$AF$2:$AF$805,[1]تیر!$O$2:$O$805,"دمونتاژ",[1]تیر!$D$2:$D$805,$F$53,[1]تیر!$AC$2:$AC$805,S3)</f>
        <v>0</v>
      </c>
      <c r="T53" s="172">
        <f>SUMIFS([1]تیر!$AF$2:$AF$805,[1]تیر!$O$2:$O$805,"دمونتاژ",[1]تیر!$D$2:$D$805,$F$53,[1]تیر!$AC$2:$AC$805,T3)</f>
        <v>0</v>
      </c>
      <c r="U53" s="109">
        <f>SUMIFS([1]تیر!$AF$2:$AF$805,[1]تیر!$O$2:$O$805,"دمونتاژ",[1]تیر!$D$2:$D$805,$F$53,[1]تیر!$AC$2:$AC$805,U3)</f>
        <v>0</v>
      </c>
    </row>
    <row r="54" spans="1:21" ht="48.75" customHeight="1" thickBot="1" x14ac:dyDescent="0.3">
      <c r="A54" s="951" t="s">
        <v>49</v>
      </c>
      <c r="B54" s="952"/>
      <c r="C54" s="952"/>
      <c r="D54" s="952"/>
      <c r="E54" s="952"/>
      <c r="F54" s="953"/>
      <c r="G54" s="148">
        <f t="shared" ref="G54:L54" si="2">SUM(G4:G53)</f>
        <v>711.16666666666674</v>
      </c>
      <c r="H54" s="148">
        <f t="shared" si="2"/>
        <v>34.5</v>
      </c>
      <c r="I54" s="148">
        <f t="shared" si="2"/>
        <v>143.5</v>
      </c>
      <c r="J54" s="148">
        <f t="shared" si="2"/>
        <v>156</v>
      </c>
      <c r="K54" s="148">
        <f t="shared" si="2"/>
        <v>0</v>
      </c>
      <c r="L54" s="148">
        <f t="shared" si="2"/>
        <v>0</v>
      </c>
      <c r="M54" s="149">
        <f>SUMIFS(M4:M53,F4:F53,"*")</f>
        <v>-567.33333333333337</v>
      </c>
      <c r="N54" s="306"/>
      <c r="O54" s="302">
        <f>SUM(O4:O53)</f>
        <v>137</v>
      </c>
      <c r="P54" s="198">
        <f t="shared" ref="P54:U54" si="3">SUM(P4:P53)</f>
        <v>135.66666666666666</v>
      </c>
      <c r="Q54" s="198">
        <f t="shared" si="3"/>
        <v>126</v>
      </c>
      <c r="R54" s="198">
        <f t="shared" si="3"/>
        <v>110</v>
      </c>
      <c r="S54" s="198">
        <f t="shared" si="3"/>
        <v>108.5</v>
      </c>
      <c r="T54" s="198">
        <f t="shared" si="3"/>
        <v>93</v>
      </c>
      <c r="U54" s="150">
        <f t="shared" si="3"/>
        <v>34.5</v>
      </c>
    </row>
    <row r="55" spans="1:21" x14ac:dyDescent="0.25">
      <c r="G55" s="582"/>
    </row>
    <row r="56" spans="1:21" x14ac:dyDescent="0.25">
      <c r="G56" s="660"/>
    </row>
  </sheetData>
  <mergeCells count="45">
    <mergeCell ref="A54:F54"/>
    <mergeCell ref="A39:A40"/>
    <mergeCell ref="E39:E40"/>
    <mergeCell ref="N39:N40"/>
    <mergeCell ref="E41:E43"/>
    <mergeCell ref="N41:N43"/>
    <mergeCell ref="A46:A49"/>
    <mergeCell ref="B46:B53"/>
    <mergeCell ref="C46:C49"/>
    <mergeCell ref="D46:D49"/>
    <mergeCell ref="E46:E49"/>
    <mergeCell ref="A50:A53"/>
    <mergeCell ref="C50:C53"/>
    <mergeCell ref="D50:D53"/>
    <mergeCell ref="E50:E53"/>
    <mergeCell ref="A35:A36"/>
    <mergeCell ref="E35:E36"/>
    <mergeCell ref="N35:N36"/>
    <mergeCell ref="A37:A38"/>
    <mergeCell ref="E37:E38"/>
    <mergeCell ref="N37:N38"/>
    <mergeCell ref="A33:A34"/>
    <mergeCell ref="E33:E34"/>
    <mergeCell ref="N33:N34"/>
    <mergeCell ref="E18:E20"/>
    <mergeCell ref="N18:N20"/>
    <mergeCell ref="E22:E24"/>
    <mergeCell ref="N22:N24"/>
    <mergeCell ref="E25:E27"/>
    <mergeCell ref="N25:N27"/>
    <mergeCell ref="E28:E30"/>
    <mergeCell ref="N28:N30"/>
    <mergeCell ref="A31:A32"/>
    <mergeCell ref="E31:E32"/>
    <mergeCell ref="N31:N32"/>
    <mergeCell ref="A1:L2"/>
    <mergeCell ref="O1:U2"/>
    <mergeCell ref="E4:E6"/>
    <mergeCell ref="N4:N6"/>
    <mergeCell ref="E7:E9"/>
    <mergeCell ref="A12:A14"/>
    <mergeCell ref="B12:B14"/>
    <mergeCell ref="C12:C14"/>
    <mergeCell ref="D12:D14"/>
    <mergeCell ref="E12:E14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 M8" formulaRange="1"/>
    <ignoredError sqref="G34:U34 U31 G33:H33 O33:U33 J33:M33 G36:U38 G35:H35 J35:U35 G40:U40 G39:H39 J39:U39 G42:U45 G41:H41 J41:M41 O41:U41 G47:U49 G46:H46 J46:U46 G51:U54 G50:H50 J50:U50" formula="1"/>
  </ignoredErrors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BADC-131C-4617-A80C-918D15CEF77F}">
  <sheetPr>
    <pageSetUpPr fitToPage="1"/>
  </sheetPr>
  <dimension ref="A1:U56"/>
  <sheetViews>
    <sheetView rightToLeft="1" view="pageLayout" zoomScaleNormal="100" workbookViewId="0">
      <selection activeCell="N3" sqref="N3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20" width="6.42578125" style="52" hidden="1" customWidth="1"/>
    <col min="21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18</v>
      </c>
      <c r="O2" s="926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291" t="s">
        <v>174</v>
      </c>
      <c r="P3" s="291" t="s">
        <v>175</v>
      </c>
      <c r="Q3" s="291" t="s">
        <v>176</v>
      </c>
      <c r="R3" s="291" t="s">
        <v>177</v>
      </c>
      <c r="S3" s="291" t="s">
        <v>178</v>
      </c>
      <c r="T3" s="291" t="s">
        <v>179</v>
      </c>
      <c r="U3" s="291" t="s">
        <v>181</v>
      </c>
    </row>
    <row r="4" spans="1:21" ht="33.75" customHeight="1" x14ac:dyDescent="0.25">
      <c r="A4" s="638"/>
      <c r="B4" s="647"/>
      <c r="C4" s="42"/>
      <c r="D4" s="655"/>
      <c r="E4" s="932" t="s">
        <v>15</v>
      </c>
      <c r="F4" s="634" t="s">
        <v>55</v>
      </c>
      <c r="G4" s="658">
        <f>SUM(O4:T4)</f>
        <v>39.666666666666664</v>
      </c>
      <c r="H4" s="46">
        <f>U4</f>
        <v>0</v>
      </c>
      <c r="I4" s="658">
        <v>0</v>
      </c>
      <c r="J4" s="658">
        <v>0</v>
      </c>
      <c r="K4" s="658">
        <v>0</v>
      </c>
      <c r="L4" s="658">
        <v>0</v>
      </c>
      <c r="M4" s="28"/>
      <c r="N4" s="945" t="s">
        <v>13</v>
      </c>
      <c r="O4" s="292">
        <f>SUMIFS([1]تیر!$AF$2:$AF$805,[1]تیر!$O$2:$O$805,7101,[1]تیر!$D$2:$D$805,$F$4,[1]تیر!$AC$2:$AC$805,O3)</f>
        <v>3.6666666666666665</v>
      </c>
      <c r="P4" s="169">
        <f>SUMIFS([1]تیر!$AF$2:$AF$805,[1]تیر!$O$2:$O$805,7101,[1]تیر!$D$2:$D$805,$F$4,[1]تیر!$AC$2:$AC$805,P3)</f>
        <v>11</v>
      </c>
      <c r="Q4" s="169">
        <f>SUMIFS([1]تیر!$AF$2:$AF$805,[1]تیر!$O$2:$O$805,7101,[1]تیر!$D$2:$D$805,$F$4,[1]تیر!$AC$2:$AC$805,Q3)</f>
        <v>0</v>
      </c>
      <c r="R4" s="169">
        <f>SUMIFS([1]تیر!$AF$2:$AF$805,[1]تیر!$O$2:$O$805,7101,[1]تیر!$D$2:$D$805,$F$4,[1]تیر!$AC$2:$AC$805,R3)</f>
        <v>11</v>
      </c>
      <c r="S4" s="169">
        <f>SUMIFS([1]تیر!$AF$2:$AF$805,[1]تیر!$O$2:$O$805,7101,[1]تیر!$D$2:$D$805,$F$4,[1]تیر!$AC$2:$AC$805,S3)</f>
        <v>11</v>
      </c>
      <c r="T4" s="185">
        <f>SUMIFS([1]مرداد!$AF$2:$AF$805,[1]مرداد!$O$2:$O$805,7101,[1]مرداد!$D$2:$D$805,F4,[1]مرداد!$AC$2:$AC$805,$T$3)</f>
        <v>3</v>
      </c>
      <c r="U4" s="169">
        <f>SUMIFS([1]مرداد!$AF$2:$AF$805,[1]مرداد!$O$2:$O$805,7101,[1]مرداد!$D$2:$D$805,$F$4,[1]مرداد!$AC$2:$AC$805,U3)</f>
        <v>0</v>
      </c>
    </row>
    <row r="5" spans="1:21" ht="33.75" customHeight="1" x14ac:dyDescent="0.25">
      <c r="A5" s="639">
        <v>1</v>
      </c>
      <c r="B5" s="645" t="s">
        <v>14</v>
      </c>
      <c r="C5" s="632">
        <v>7101</v>
      </c>
      <c r="D5" s="656">
        <v>62.5</v>
      </c>
      <c r="E5" s="1003"/>
      <c r="F5" s="643"/>
      <c r="G5" s="3">
        <f t="shared" ref="G5:G53" si="0">SUM(O5:T5)</f>
        <v>0</v>
      </c>
      <c r="H5" s="47">
        <f t="shared" ref="H5:H53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-22.833333333333336</v>
      </c>
      <c r="N5" s="929"/>
      <c r="O5" s="293">
        <f>SUMIFS([1]خرداد!$AF$2:$AF$805,[1]خرداد!$O$2:$O$805,7101,[1]خرداد!$D$2:$D$805,$F$5,[1]خرداد!$AC$2:$AC$805,O3)</f>
        <v>0</v>
      </c>
      <c r="P5" s="168">
        <f>SUMIFS([1]خرداد!$AF$2:$AF$805,[1]خرداد!$O$2:$O$805,7101,[1]خرداد!$D$2:$D$805,$F$5,[1]خرداد!$AC$2:$AC$805,P3)</f>
        <v>0</v>
      </c>
      <c r="Q5" s="168">
        <f>SUMIFS([1]خرداد!$AF$2:$AF$805,[1]خرداد!$O$2:$O$805,7101,[1]خرداد!$D$2:$D$805,$F$5,[1]خرداد!$AC$2:$AC$805,Q3)</f>
        <v>0</v>
      </c>
      <c r="R5" s="168">
        <f>SUMIFS([1]خرداد!$AF$2:$AF$805,[1]خرداد!$O$2:$O$805,7101,[1]خرداد!$D$2:$D$805,$F$5,[1]خرداد!$AC$2:$AC$805,R3)</f>
        <v>0</v>
      </c>
      <c r="S5" s="168">
        <f>SUMIFS([1]خرداد!$AF$2:$AF$805,[1]خرداد!$O$2:$O$805,7101,[1]خرداد!$D$2:$D$805,$F$5,[1]خرداد!$AC$2:$AC$805,S3)</f>
        <v>0</v>
      </c>
      <c r="T5" s="168">
        <f>SUMIFS([1]مرداد!$AF$2:$AF$805,[1]مرداد!$O$2:$O$805,7101,[1]مرداد!$D$2:$D$805,F5,[1]مرداد!$AC$2:$AC$805,$T$3)</f>
        <v>0</v>
      </c>
      <c r="U5" s="108">
        <f>SUMIFS([1]خرداد!$AF$2:$AF$805,[1]خرداد!$O$2:$O$805,7101,[1]خرداد!$D$2:$D$805,$F$5,[1]خرداد!$AC$2:$AC$805,U3)</f>
        <v>0</v>
      </c>
    </row>
    <row r="6" spans="1:21" ht="33.75" customHeight="1" thickBot="1" x14ac:dyDescent="0.3">
      <c r="A6" s="640"/>
      <c r="B6" s="88"/>
      <c r="C6" s="43"/>
      <c r="D6" s="633"/>
      <c r="E6" s="934"/>
      <c r="F6" s="5"/>
      <c r="G6" s="6">
        <f t="shared" si="0"/>
        <v>0</v>
      </c>
      <c r="H6" s="64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352">
        <f>SUMIFS([1]اردیبهشت!$AD$2:$AD$600,[1]اردیبهشت!$N$2:$N$600,7101,[1]اردیبهشت!$D$2:$D$600,$F$6,[1]اردیبهشت!$AA$2:$AA$600,O3)</f>
        <v>0</v>
      </c>
      <c r="P6" s="175">
        <f>SUMIFS([1]اردیبهشت!$AD$2:$AD$600,[1]اردیبهشت!$N$2:$N$600,7101,[1]اردیبهشت!$D$2:$D$600,$F$6,[1]اردیبهشت!$AA$2:$AA$600,P3)</f>
        <v>0</v>
      </c>
      <c r="Q6" s="175">
        <f>SUMIFS([1]اردیبهشت!$AD$2:$AD$600,[1]اردیبهشت!$N$2:$N$600,7101,[1]اردیبهشت!$D$2:$D$600,$F$6,[1]اردیبهشت!$AA$2:$AA$600,Q3)</f>
        <v>0</v>
      </c>
      <c r="R6" s="175">
        <f>SUMIFS([1]اردیبهشت!$AD$2:$AD$600,[1]اردیبهشت!$N$2:$N$600,7101,[1]اردیبهشت!$D$2:$D$600,$F$6,[1]اردیبهشت!$AA$2:$AA$600,R3)</f>
        <v>0</v>
      </c>
      <c r="S6" s="175">
        <f>SUMIFS([1]اردیبهشت!$AD$2:$AD$600,[1]اردیبهشت!$N$2:$N$600,7101,[1]اردیبهشت!$D$2:$D$600,$F$6,[1]اردیبهشت!$AA$2:$AA$600,S3)</f>
        <v>0</v>
      </c>
      <c r="T6" s="174">
        <f>SUMIFS([1]مرداد!$AF$2:$AF$805,[1]مرداد!$O$2:$O$805,7101,[1]مرداد!$D$2:$D$805,F6,[1]مرداد!$AC$2:$AC$805,$T$3)</f>
        <v>0</v>
      </c>
      <c r="U6" s="114">
        <f>SUMIFS([1]اردیبهشت!$AD$2:$AD$600,[1]اردیبهشت!$N$2:$N$600,7101,[1]اردیبهشت!$D$2:$D$600,$F$6,[1]اردیبهشت!$AA$2:$AA$600,U3)</f>
        <v>0</v>
      </c>
    </row>
    <row r="7" spans="1:21" ht="33.75" customHeight="1" x14ac:dyDescent="0.25">
      <c r="A7" s="653"/>
      <c r="B7" s="659"/>
      <c r="C7" s="659"/>
      <c r="D7" s="632"/>
      <c r="E7" s="932" t="s">
        <v>15</v>
      </c>
      <c r="F7" s="20" t="s">
        <v>20</v>
      </c>
      <c r="G7" s="1">
        <f t="shared" si="0"/>
        <v>36.5</v>
      </c>
      <c r="H7" s="49">
        <f t="shared" si="1"/>
        <v>0</v>
      </c>
      <c r="I7" s="1">
        <v>0</v>
      </c>
      <c r="J7" s="1">
        <v>0</v>
      </c>
      <c r="K7" s="1">
        <v>0</v>
      </c>
      <c r="L7" s="1">
        <v>0</v>
      </c>
      <c r="M7" s="69"/>
      <c r="N7" s="628"/>
      <c r="O7" s="292">
        <f>SUMIFS([1]تیر!$AF$2:$AF$805,[1]تیر!$O$2:$O$805,7102,[1]تیر!$D$2:$D$805,$F$7,[1]تیر!$AC$2:$AC$805,O3)</f>
        <v>11</v>
      </c>
      <c r="P7" s="292">
        <f>SUMIFS([1]تیر!$AF$2:$AF$805,[1]تیر!$O$2:$O$805,7102,[1]تیر!$D$2:$D$805,$F$7,[1]تیر!$AC$2:$AC$805,P3)</f>
        <v>11</v>
      </c>
      <c r="Q7" s="292">
        <f>SUMIFS([1]تیر!$AF$2:$AF$805,[1]تیر!$O$2:$O$805,7102,[1]تیر!$D$2:$D$805,$F$7,[1]تیر!$AC$2:$AC$805,Q3)</f>
        <v>11</v>
      </c>
      <c r="R7" s="292">
        <f>SUMIFS([1]تیر!$AF$2:$AF$805,[1]تیر!$O$2:$O$805,7102,[1]تیر!$D$2:$D$805,$F$7,[1]تیر!$AC$2:$AC$805,R3)</f>
        <v>3.5</v>
      </c>
      <c r="S7" s="292">
        <f>SUMIFS([1]تیر!$AF$2:$AF$805,[1]تیر!$O$2:$O$805,7102,[1]تیر!$D$2:$D$805,$F$7,[1]تیر!$AC$2:$AC$805,S3)</f>
        <v>0</v>
      </c>
      <c r="T7" s="169">
        <f>SUMIFS([1]مرداد!$AF$2:$AF$805,[1]مرداد!$O$2:$O$805,7102,[1]مرداد!$D$2:$D$805,F7,[1]مرداد!$AC$2:$AC$805,$T$3)</f>
        <v>0</v>
      </c>
      <c r="U7" s="107">
        <f>SUMIFS([1]تیر!$AF$2:$AF$805,[1]تیر!$O$2:$O$805,7102,[1]تیر!$D$2:$D$805,$F$7,[1]تیر!$AC$2:$AC$805,U3)</f>
        <v>0</v>
      </c>
    </row>
    <row r="8" spans="1:21" ht="33.75" customHeight="1" x14ac:dyDescent="0.25">
      <c r="A8" s="653">
        <v>2</v>
      </c>
      <c r="B8" s="587" t="s">
        <v>14</v>
      </c>
      <c r="C8" s="632">
        <v>7102</v>
      </c>
      <c r="D8" s="586">
        <v>62.5</v>
      </c>
      <c r="E8" s="1003"/>
      <c r="F8" s="646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-26</v>
      </c>
      <c r="N8" s="629"/>
      <c r="O8" s="293">
        <f>SUMIFS([1]اردیبهشت!$AD$2:$AD$600,[1]اردیبهشت!$N$2:$N$600,7102,[1]اردیبهشت!$D$2:$D$600,$F$8,[1]اردیبهشت!$AA$2:$AA$600,O3)</f>
        <v>0</v>
      </c>
      <c r="P8" s="168">
        <f>SUMIFS([1]اردیبهشت!$AD$2:$AD$600,[1]اردیبهشت!$N$2:$N$600,7102,[1]اردیبهشت!$D$2:$D$600,$F$8,[1]اردیبهشت!$AA$2:$AA$600,P3)</f>
        <v>0</v>
      </c>
      <c r="Q8" s="168">
        <f>SUMIFS([1]اردیبهشت!$AD$2:$AD$600,[1]اردیبهشت!$N$2:$N$600,7102,[1]اردیبهشت!$D$2:$D$600,$F$8,[1]اردیبهشت!$AA$2:$AA$600,Q3)</f>
        <v>0</v>
      </c>
      <c r="R8" s="168">
        <f>SUMIFS([1]اردیبهشت!$AD$2:$AD$600,[1]اردیبهشت!$N$2:$N$600,7102,[1]اردیبهشت!$D$2:$D$600,$F$8,[1]اردیبهشت!$AA$2:$AA$600,R3)</f>
        <v>0</v>
      </c>
      <c r="S8" s="168">
        <f>SUMIFS([1]اردیبهشت!$AD$2:$AD$600,[1]اردیبهشت!$N$2:$N$600,7102,[1]اردیبهشت!$D$2:$D$600,$F$8,[1]اردیبهشت!$AA$2:$AA$600,S3)</f>
        <v>0</v>
      </c>
      <c r="T8" s="168">
        <f>SUMIFS([1]اردیبهشت!$AD$2:$AD$600,[1]اردیبهشت!$N$2:$N$600,7102,[1]اردیبهشت!$D$2:$D$600,$F$8,[1]اردیبهشت!$AA$2:$AA$600,T3)</f>
        <v>0</v>
      </c>
      <c r="U8" s="108">
        <f>SUMIFS([1]اردیبهشت!$AD$2:$AD$600,[1]اردیبهشت!$N$2:$N$600,7102,[1]اردیبهشت!$D$2:$D$600,$F$8,[1]اردیبهشت!$AA$2:$AA$600,U3)</f>
        <v>0</v>
      </c>
    </row>
    <row r="9" spans="1:21" ht="33.75" customHeight="1" thickBot="1" x14ac:dyDescent="0.3">
      <c r="A9" s="654"/>
      <c r="B9" s="43"/>
      <c r="C9" s="43"/>
      <c r="D9" s="633"/>
      <c r="E9" s="934"/>
      <c r="F9" s="5"/>
      <c r="G9" s="1">
        <f t="shared" si="0"/>
        <v>0</v>
      </c>
      <c r="H9" s="49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630"/>
      <c r="O9" s="352">
        <f>SUMIFS([1]اردیبهشت!$AD$2:$AD$600,[1]اردیبهشت!$N$2:$N$600,7102,[1]اردیبهشت!$D$2:$D$600,$F$9,[1]اردیبهشت!$AA$2:$AA$600,O3)</f>
        <v>0</v>
      </c>
      <c r="P9" s="175">
        <f>SUMIFS([1]اردیبهشت!$AD$2:$AD$600,[1]اردیبهشت!$N$2:$N$600,7102,[1]اردیبهشت!$D$2:$D$600,$F$9,[1]اردیبهشت!$AA$2:$AA$600,P3)</f>
        <v>0</v>
      </c>
      <c r="Q9" s="175">
        <f>SUMIFS([1]اردیبهشت!$AD$2:$AD$600,[1]اردیبهشت!$N$2:$N$600,7102,[1]اردیبهشت!$D$2:$D$600,$F$9,[1]اردیبهشت!$AA$2:$AA$600,Q3)</f>
        <v>0</v>
      </c>
      <c r="R9" s="175">
        <f>SUMIFS([1]اردیبهشت!$AD$2:$AD$600,[1]اردیبهشت!$N$2:$N$600,7102,[1]اردیبهشت!$D$2:$D$600,$F$9,[1]اردیبهشت!$AA$2:$AA$600,R3)</f>
        <v>0</v>
      </c>
      <c r="S9" s="175">
        <f>SUMIFS([1]اردیبهشت!$AD$2:$AD$600,[1]اردیبهشت!$N$2:$N$600,7102,[1]اردیبهشت!$D$2:$D$600,$F$9,[1]اردیبهشت!$AA$2:$AA$600,S3)</f>
        <v>0</v>
      </c>
      <c r="T9" s="175">
        <f>SUMIFS([1]اردیبهشت!$AD$2:$AD$600,[1]اردیبهشت!$N$2:$N$600,7102,[1]اردیبهشت!$D$2:$D$600,$F$9,[1]اردیبهشت!$AA$2:$AA$600,T3)</f>
        <v>0</v>
      </c>
      <c r="U9" s="114">
        <f>SUMIFS([1]اردیبهشت!$AD$2:$AD$600,[1]اردیبهشت!$N$2:$N$600,7102,[1]اردیبهشت!$D$2:$D$600,$F$9,[1]اردیبهشت!$AA$2:$AA$600,U3)</f>
        <v>0</v>
      </c>
    </row>
    <row r="10" spans="1:21" ht="36" customHeight="1" thickBot="1" x14ac:dyDescent="0.3">
      <c r="A10" s="654">
        <v>3</v>
      </c>
      <c r="B10" s="659" t="s">
        <v>14</v>
      </c>
      <c r="C10" s="632">
        <v>7103</v>
      </c>
      <c r="D10" s="2">
        <v>44</v>
      </c>
      <c r="E10" s="632" t="s">
        <v>15</v>
      </c>
      <c r="F10" s="632" t="s">
        <v>12</v>
      </c>
      <c r="G10" s="658">
        <f t="shared" si="0"/>
        <v>32.5</v>
      </c>
      <c r="H10" s="46">
        <f t="shared" si="1"/>
        <v>0</v>
      </c>
      <c r="I10" s="4">
        <v>0</v>
      </c>
      <c r="J10" s="4">
        <v>0</v>
      </c>
      <c r="K10" s="4">
        <v>0</v>
      </c>
      <c r="L10" s="4">
        <v>0</v>
      </c>
      <c r="M10" s="4">
        <f>SUM(G10:L10)-64</f>
        <v>-31.5</v>
      </c>
      <c r="N10" s="629" t="s">
        <v>40</v>
      </c>
      <c r="O10" s="295">
        <f>SUMIFS([1]تیر!$AF$2:$AF$805,[1]تیر!$O$2:$O$805,7103,[1]تیر!$D$2:$D$805,$F$10,[1]تیر!$AC$2:$AC$805,O3)</f>
        <v>6.5</v>
      </c>
      <c r="P10" s="177">
        <f>SUMIFS([1]تیر!$AF$2:$AF$805,[1]تیر!$O$2:$O$805,7103,[1]تیر!$D$2:$D$805,$F$10,[1]تیر!$AC$2:$AC$805,P3)</f>
        <v>6.5</v>
      </c>
      <c r="Q10" s="177">
        <f>SUMIFS([1]تیر!$AF$2:$AF$805,[1]تیر!$O$2:$O$805,7103,[1]تیر!$D$2:$D$805,$F$10,[1]تیر!$AC$2:$AC$805,Q3)</f>
        <v>6.5</v>
      </c>
      <c r="R10" s="177">
        <f>SUMIFS([1]تیر!$AF$2:$AF$805,[1]تیر!$O$2:$O$805,7103,[1]تیر!$D$2:$D$805,$F$10,[1]تیر!$AC$2:$AC$805,R3)</f>
        <v>6.5</v>
      </c>
      <c r="S10" s="177">
        <f>SUMIFS([1]تیر!$AF$2:$AF$805,[1]تیر!$O$2:$O$805,7103,[1]تیر!$D$2:$D$805,$F$10,[1]تیر!$AC$2:$AC$805,S3)</f>
        <v>6.5</v>
      </c>
      <c r="T10" s="177">
        <f>SUMIFS([1]تیر!$AF$2:$AF$805,[1]تیر!$O$2:$O$805,7103,[1]تیر!$D$2:$D$805,$F$10,[1]تیر!$AC$2:$AC$805,T3)</f>
        <v>0</v>
      </c>
      <c r="U10" s="113">
        <f>SUMIFS([1]تیر!$AF$2:$AF$805,[1]تیر!$O$2:$O$805,7103,[1]تیر!$D$2:$D$805,$F$10,[1]تیر!$AC$2:$AC$805,U3)</f>
        <v>0</v>
      </c>
    </row>
    <row r="11" spans="1:21" ht="36" customHeight="1" thickBot="1" x14ac:dyDescent="0.3">
      <c r="A11" s="653">
        <v>4</v>
      </c>
      <c r="B11" s="650" t="s">
        <v>18</v>
      </c>
      <c r="C11" s="651">
        <v>7201</v>
      </c>
      <c r="D11" s="651">
        <v>62.5</v>
      </c>
      <c r="E11" s="651" t="s">
        <v>19</v>
      </c>
      <c r="F11" s="140"/>
      <c r="G11" s="21">
        <f t="shared" si="0"/>
        <v>0</v>
      </c>
      <c r="H11" s="63">
        <f t="shared" si="1"/>
        <v>0</v>
      </c>
      <c r="I11" s="141">
        <v>0</v>
      </c>
      <c r="J11" s="141">
        <v>62</v>
      </c>
      <c r="K11" s="141">
        <v>0</v>
      </c>
      <c r="L11" s="141">
        <v>0</v>
      </c>
      <c r="M11" s="141">
        <f>SUM(G11:J11)-62</f>
        <v>0</v>
      </c>
      <c r="N11" s="142" t="s">
        <v>41</v>
      </c>
      <c r="O11" s="296"/>
      <c r="P11" s="201"/>
      <c r="Q11" s="201"/>
      <c r="R11" s="201"/>
      <c r="S11" s="201"/>
      <c r="T11" s="201"/>
      <c r="U11" s="111"/>
    </row>
    <row r="12" spans="1:21" ht="36" customHeight="1" x14ac:dyDescent="0.25">
      <c r="A12" s="985">
        <v>5</v>
      </c>
      <c r="B12" s="974" t="s">
        <v>18</v>
      </c>
      <c r="C12" s="932">
        <v>7202</v>
      </c>
      <c r="D12" s="932">
        <v>62.5</v>
      </c>
      <c r="E12" s="932" t="s">
        <v>15</v>
      </c>
      <c r="F12" s="574" t="s">
        <v>46</v>
      </c>
      <c r="G12" s="21">
        <f t="shared" si="0"/>
        <v>7.5</v>
      </c>
      <c r="H12" s="63">
        <v>0</v>
      </c>
      <c r="I12" s="21">
        <v>0</v>
      </c>
      <c r="J12" s="21">
        <v>55</v>
      </c>
      <c r="K12" s="21">
        <v>0</v>
      </c>
      <c r="L12" s="21">
        <v>0</v>
      </c>
      <c r="M12" s="21"/>
      <c r="N12" s="627"/>
      <c r="O12" s="298">
        <f>SUMIFS([1]تیر!$AF$2:$AF$805,[1]تیر!$O$2:$O$805,7202,[1]تیر!$D$2:$D$805,$F$12,[1]تیر!$AC$2:$AC$805,O3)</f>
        <v>0</v>
      </c>
      <c r="P12" s="188">
        <f>SUMIFS([1]تیر!$AF$2:$AF$805,[1]تیر!$O$2:$O$805,7202,[1]تیر!$D$2:$D$805,$F$12,[1]تیر!$AC$2:$AC$805,P3)</f>
        <v>0</v>
      </c>
      <c r="Q12" s="188">
        <f>SUMIFS([1]تیر!$AF$2:$AF$805,[1]تیر!$O$2:$O$805,7202,[1]تیر!$D$2:$D$805,$F$12,[1]تیر!$AC$2:$AC$805,Q3)</f>
        <v>0</v>
      </c>
      <c r="R12" s="188">
        <f>SUMIFS([1]تیر!$AF$2:$AF$805,[1]تیر!$O$2:$O$805,7202,[1]تیر!$D$2:$D$805,$F$12,[1]تیر!$AC$2:$AC$805,R3)</f>
        <v>0</v>
      </c>
      <c r="S12" s="188">
        <f>SUMIFS([1]تیر!$AF$2:$AF$805,[1]تیر!$O$2:$O$805,7202,[1]تیر!$D$2:$D$805,$F$12,[1]تیر!$AC$2:$AC$805,S3)</f>
        <v>0</v>
      </c>
      <c r="T12" s="188">
        <f>SUMIFS([1]مرداد!$AF$2:$AF$805,[1]مرداد!$O$2:$O$805,7202,[1]مرداد!$D$2:$D$805,F12,[1]مرداد!$AC$2:$AC$805,$T$3)</f>
        <v>7.5</v>
      </c>
      <c r="U12" s="128">
        <f>SUMIFS([1]تیر!$AF$2:$AF$805,[1]تیر!$O$2:$O$805,7202,[1]تیر!$D$2:$D$805,$F$12,[1]تیر!$AC$2:$AC$805,U3)</f>
        <v>0</v>
      </c>
    </row>
    <row r="13" spans="1:21" ht="36" customHeight="1" x14ac:dyDescent="0.25">
      <c r="A13" s="986"/>
      <c r="B13" s="975"/>
      <c r="C13" s="933"/>
      <c r="D13" s="933"/>
      <c r="E13" s="933"/>
      <c r="F13" s="22"/>
      <c r="G13" s="3">
        <f t="shared" si="0"/>
        <v>0</v>
      </c>
      <c r="H13" s="47">
        <v>0</v>
      </c>
      <c r="I13" s="3">
        <v>0</v>
      </c>
      <c r="J13" s="3">
        <v>0</v>
      </c>
      <c r="K13" s="3">
        <v>0</v>
      </c>
      <c r="L13" s="3">
        <v>0</v>
      </c>
      <c r="M13" s="3">
        <f>(G12+G13+G14)-(D12)+(J12)</f>
        <v>0</v>
      </c>
      <c r="N13" s="579" t="s">
        <v>28</v>
      </c>
      <c r="O13" s="583">
        <f>SUMIFS([1]تیر!$AF$2:$AF$805,[1]تیر!$O$2:$O$805,7202,[1]تیر!$D$2:$D$805,$F$13,[1]تیر!$AC$2:$AC$805,O3)</f>
        <v>0</v>
      </c>
      <c r="P13" s="575">
        <f>SUMIFS([1]تیر!$AF$2:$AF$805,[1]تیر!$O$2:$O$805,7202,[1]تیر!$D$2:$D$805,$F$13,[1]تیر!$AC$2:$AC$805,P3)</f>
        <v>0</v>
      </c>
      <c r="Q13" s="575">
        <f>SUMIFS([1]تیر!$AF$2:$AF$805,[1]تیر!$O$2:$O$805,7202,[1]تیر!$D$2:$D$805,$F$13,[1]تیر!$AC$2:$AC$805,Q3)</f>
        <v>0</v>
      </c>
      <c r="R13" s="575">
        <f>SUMIFS([1]تیر!$AF$2:$AF$805,[1]تیر!$O$2:$O$805,7202,[1]تیر!$D$2:$D$805,$F$13,[1]تیر!$AC$2:$AC$805,R3)</f>
        <v>0</v>
      </c>
      <c r="S13" s="575">
        <f>SUMIFS([1]تیر!$AF$2:$AF$805,[1]تیر!$O$2:$O$805,7202,[1]تیر!$D$2:$D$805,$F$13,[1]تیر!$AC$2:$AC$805,S3)</f>
        <v>0</v>
      </c>
      <c r="T13" s="575">
        <f>SUMIFS([1]تیر!$AF$2:$AF$805,[1]تیر!$O$2:$O$805,7202,[1]تیر!$D$2:$D$805,$F$13,[1]تیر!$AC$2:$AC$805,T3)</f>
        <v>0</v>
      </c>
      <c r="U13" s="581">
        <f>SUMIFS([1]تیر!$AF$2:$AF$805,[1]تیر!$O$2:$O$805,7202,[1]تیر!$D$2:$D$805,$F$13,[1]تیر!$AC$2:$AC$805,U3)</f>
        <v>0</v>
      </c>
    </row>
    <row r="14" spans="1:21" ht="36" customHeight="1" thickBot="1" x14ac:dyDescent="0.3">
      <c r="A14" s="987"/>
      <c r="B14" s="975"/>
      <c r="C14" s="933"/>
      <c r="D14" s="933"/>
      <c r="E14" s="933"/>
      <c r="F14" s="66"/>
      <c r="G14" s="6">
        <f t="shared" si="0"/>
        <v>0</v>
      </c>
      <c r="H14" s="64">
        <v>0</v>
      </c>
      <c r="I14" s="6">
        <v>0</v>
      </c>
      <c r="J14" s="6">
        <v>0</v>
      </c>
      <c r="K14" s="6">
        <v>0</v>
      </c>
      <c r="L14" s="6">
        <v>0</v>
      </c>
      <c r="M14" s="6"/>
      <c r="N14" s="312"/>
      <c r="O14" s="584">
        <f>SUMIFS([1]تیر!$AF$2:$AF$805,[1]تیر!$O$2:$O$805,7202,[1]تیر!$D$2:$D$805,$F$14,[1]تیر!$AC$2:$AC$805,O3)</f>
        <v>0</v>
      </c>
      <c r="P14" s="191">
        <f>SUMIFS([1]تیر!$AF$2:$AF$805,[1]تیر!$O$2:$O$805,7202,[1]تیر!$D$2:$D$805,$F$14,[1]تیر!$AC$2:$AC$805,P3)</f>
        <v>0</v>
      </c>
      <c r="Q14" s="191">
        <f>SUMIFS([1]تیر!$AF$2:$AF$805,[1]تیر!$O$2:$O$805,7202,[1]تیر!$D$2:$D$805,$F$14,[1]تیر!$AC$2:$AC$805,Q3)</f>
        <v>0</v>
      </c>
      <c r="R14" s="191">
        <f>SUMIFS([1]تیر!$AF$2:$AF$805,[1]تیر!$O$2:$O$805,7202,[1]تیر!$D$2:$D$805,$F$14,[1]تیر!$AC$2:$AC$805,R3)</f>
        <v>0</v>
      </c>
      <c r="S14" s="191">
        <f>SUMIFS([1]تیر!$AF$2:$AF$805,[1]تیر!$O$2:$O$805,7202,[1]تیر!$D$2:$D$805,$F$14,[1]تیر!$AC$2:$AC$805,S3)</f>
        <v>0</v>
      </c>
      <c r="T14" s="191">
        <f>SUMIFS([1]تیر!$AF$2:$AF$805,[1]تیر!$O$2:$O$805,7202,[1]تیر!$D$2:$D$805,$F$14,[1]تیر!$AC$2:$AC$805,T3)</f>
        <v>0</v>
      </c>
      <c r="U14" s="115">
        <f>SUMIFS([1]تیر!$AF$2:$AF$805,[1]تیر!$O$2:$O$805,7202,[1]تیر!$D$2:$D$805,$F$14,[1]تیر!$AC$2:$AC$805,U3)</f>
        <v>0</v>
      </c>
    </row>
    <row r="15" spans="1:21" ht="36" customHeight="1" thickBot="1" x14ac:dyDescent="0.3">
      <c r="A15" s="45">
        <v>6</v>
      </c>
      <c r="B15" s="41" t="s">
        <v>18</v>
      </c>
      <c r="C15" s="13">
        <v>7203</v>
      </c>
      <c r="D15" s="13">
        <v>62.5</v>
      </c>
      <c r="E15" s="13" t="s">
        <v>15</v>
      </c>
      <c r="F15" s="16" t="s">
        <v>45</v>
      </c>
      <c r="G15" s="14">
        <f t="shared" si="0"/>
        <v>55</v>
      </c>
      <c r="H15" s="48">
        <v>0</v>
      </c>
      <c r="I15" s="14">
        <v>0</v>
      </c>
      <c r="J15" s="14">
        <v>0</v>
      </c>
      <c r="K15" s="14">
        <v>0</v>
      </c>
      <c r="L15" s="14">
        <v>0</v>
      </c>
      <c r="M15" s="14">
        <f>(G15+H15+I15+J15+K15)-D15</f>
        <v>-7.5</v>
      </c>
      <c r="N15" s="61"/>
      <c r="O15" s="295">
        <f>SUMIFS([1]تیر!$AF$2:$AF$805,[1]تیر!$O$2:$O$805,7203,[1]تیر!$D$2:$D$805,$F$15,[1]تیر!$AC$2:$AC$805,O3)</f>
        <v>11</v>
      </c>
      <c r="P15" s="177">
        <f>SUMIFS([1]تیر!$AF$2:$AF$805,[1]تیر!$O$2:$O$805,7203,[1]تیر!$D$2:$D$805,$F$15,[1]تیر!$AC$2:$AC$805,P3)</f>
        <v>11</v>
      </c>
      <c r="Q15" s="177">
        <f>SUMIFS([1]تیر!$AF$2:$AF$805,[1]تیر!$O$2:$O$805,7203,[1]تیر!$D$2:$D$805,$F$15,[1]تیر!$AC$2:$AC$805,Q3)</f>
        <v>11</v>
      </c>
      <c r="R15" s="177">
        <f>SUMIFS([1]تیر!$AF$2:$AF$805,[1]تیر!$O$2:$O$805,7203,[1]تیر!$D$2:$D$805,$F$15,[1]تیر!$AC$2:$AC$805,R3)</f>
        <v>11</v>
      </c>
      <c r="S15" s="177">
        <f>SUMIFS([1]تیر!$AF$2:$AF$805,[1]تیر!$O$2:$O$805,7203,[1]تیر!$D$2:$D$805,$F$15,[1]تیر!$AC$2:$AC$805,S3)</f>
        <v>11</v>
      </c>
      <c r="T15" s="177">
        <f>SUMIFS([1]مرداد!$AF$2:$AF$805,[1]مرداد!$O$2:$O$805,7203,[1]مرداد!$D$2:$D$805,F15,[1]مرداد!$AC$2:$AC$805,$T$3)</f>
        <v>0</v>
      </c>
      <c r="U15" s="99">
        <f>SUMIFS([1]تیر!$AF$2:$AF$805,[1]تیر!$O$2:$O$805,7203,[1]تیر!$D$2:$D$805,$F$15,[1]تیر!$AC$2:$AC$805,U3)</f>
        <v>0</v>
      </c>
    </row>
    <row r="16" spans="1:21" ht="36" customHeight="1" thickBot="1" x14ac:dyDescent="0.3">
      <c r="A16" s="45">
        <v>7</v>
      </c>
      <c r="B16" s="41" t="s">
        <v>18</v>
      </c>
      <c r="C16" s="13">
        <v>7204</v>
      </c>
      <c r="D16" s="13">
        <v>62.5</v>
      </c>
      <c r="E16" s="13" t="s">
        <v>15</v>
      </c>
      <c r="F16" s="16" t="s">
        <v>144</v>
      </c>
      <c r="G16" s="14">
        <f t="shared" si="0"/>
        <v>62.5</v>
      </c>
      <c r="H16" s="48">
        <f t="shared" si="1"/>
        <v>0</v>
      </c>
      <c r="I16" s="14">
        <v>0</v>
      </c>
      <c r="J16" s="14">
        <v>0</v>
      </c>
      <c r="K16" s="14">
        <v>0</v>
      </c>
      <c r="L16" s="14">
        <v>0</v>
      </c>
      <c r="M16" s="14">
        <f>SUM(G16:J16)-62</f>
        <v>0.5</v>
      </c>
      <c r="N16" s="61"/>
      <c r="O16" s="295">
        <f>SUMIFS([1]تیر!$AF$2:$AF$805,[1]تیر!$O$2:$O$805,7204,[1]تیر!$D$2:$D$805,$F$16,[1]تیر!$AC$2:$AC$805,O3)</f>
        <v>11</v>
      </c>
      <c r="P16" s="177">
        <f>SUMIFS([1]تیر!$AF$2:$AF$805,[1]تیر!$O$2:$O$805,7204,[1]تیر!$D$2:$D$805,$F$16,[1]تیر!$AC$2:$AC$805,P3)</f>
        <v>11</v>
      </c>
      <c r="Q16" s="177">
        <f>SUMIFS([1]تیر!$AF$2:$AF$805,[1]تیر!$O$2:$O$805,7204,[1]تیر!$D$2:$D$805,$F$16,[1]تیر!$AC$2:$AC$805,Q3)</f>
        <v>11</v>
      </c>
      <c r="R16" s="177">
        <f>SUMIFS([1]تیر!$AF$2:$AF$805,[1]تیر!$O$2:$O$805,7204,[1]تیر!$D$2:$D$805,$F$16,[1]تیر!$AC$2:$AC$805,R3)</f>
        <v>11</v>
      </c>
      <c r="S16" s="177">
        <f>SUMIFS([1]تیر!$AF$2:$AF$805,[1]تیر!$O$2:$O$805,7204,[1]تیر!$D$2:$D$805,$F$16,[1]تیر!$AC$2:$AC$805,S3)</f>
        <v>11</v>
      </c>
      <c r="T16" s="177">
        <f>SUMIFS([1]مرداد!$AF$2:$AF$805,[1]مرداد!$O$2:$O$805,7204,[1]مرداد!$D$2:$D$805,F16,[1]مرداد!$AC$2:$AC$805,$T$3)</f>
        <v>7.5</v>
      </c>
      <c r="U16" s="99">
        <f>SUMIFS([1]تیر!$AF$2:$AF$805,[1]تیر!$O$2:$O$805,7204,[1]تیر!$D$2:$D$805,$F$16,[1]تیر!$AC$2:$AC$805,U3)</f>
        <v>0</v>
      </c>
    </row>
    <row r="17" spans="1:21" ht="36" customHeight="1" thickBot="1" x14ac:dyDescent="0.3">
      <c r="A17" s="654">
        <v>8</v>
      </c>
      <c r="B17" s="649" t="s">
        <v>21</v>
      </c>
      <c r="C17" s="633">
        <v>7301</v>
      </c>
      <c r="D17" s="633">
        <v>62.5</v>
      </c>
      <c r="E17" s="633" t="s">
        <v>15</v>
      </c>
      <c r="F17" s="576" t="s">
        <v>22</v>
      </c>
      <c r="G17" s="6">
        <f t="shared" si="0"/>
        <v>53.333333333333329</v>
      </c>
      <c r="H17" s="64">
        <f t="shared" si="1"/>
        <v>0</v>
      </c>
      <c r="I17" s="6">
        <v>3</v>
      </c>
      <c r="J17" s="6">
        <v>0</v>
      </c>
      <c r="K17" s="6">
        <v>0</v>
      </c>
      <c r="L17" s="6">
        <v>0</v>
      </c>
      <c r="M17" s="6">
        <f>SUM(G17:L17)-D17</f>
        <v>-6.1666666666666714</v>
      </c>
      <c r="N17" s="636" t="s">
        <v>29</v>
      </c>
      <c r="O17" s="176">
        <f>SUMIFS([1]تیر!$AF$2:$AF$805,[1]تیر!$O$2:$O$805,7301,[1]تیر!$D$2:$D$805,$F$17,[1]تیر!$AC$2:$AC$805,O3)</f>
        <v>9</v>
      </c>
      <c r="P17" s="295">
        <f>SUMIFS([1]تیر!$AF$2:$AF$805,[1]تیر!$O$2:$O$805,7301,[1]تیر!$D$2:$D$805,$F$17,[1]تیر!$AC$2:$AC$805,P3)</f>
        <v>11</v>
      </c>
      <c r="Q17" s="295">
        <f>SUMIFS([1]تیر!$AF$2:$AF$805,[1]تیر!$O$2:$O$805,7301,[1]تیر!$D$2:$D$805,$F$17,[1]تیر!$AC$2:$AC$805,Q3)</f>
        <v>8.3333333333333321</v>
      </c>
      <c r="R17" s="295">
        <f>SUMIFS([1]تیر!$AF$2:$AF$805,[1]تیر!$O$2:$O$805,7301,[1]تیر!$D$2:$D$805,$F$17,[1]تیر!$AC$2:$AC$805,R3)</f>
        <v>11</v>
      </c>
      <c r="S17" s="295">
        <f>SUMIFS([1]تیر!$AF$2:$AF$805,[1]تیر!$O$2:$O$805,7301,[1]تیر!$D$2:$D$805,$F$17,[1]تیر!$AC$2:$AC$805,S3)</f>
        <v>9</v>
      </c>
      <c r="T17" s="295">
        <f>SUMIFS([1]مرداد!$AF$2:$AF$805,[1]مرداد!$O$2:$O$805,7301,[1]مرداد!$D$2:$D$805,F17,[1]مرداد!$AC$2:$AC$805,$T$3)</f>
        <v>5</v>
      </c>
      <c r="U17" s="701">
        <f>SUMIFS([1]تیر!$AF$2:$AF$805,[1]تیر!$O$2:$O$805,7301,[1]تیر!$D$2:$D$805,$F$17,[1]تیر!$AC$2:$AC$805,U3)</f>
        <v>0</v>
      </c>
    </row>
    <row r="18" spans="1:21" ht="36" hidden="1" customHeight="1" x14ac:dyDescent="0.25">
      <c r="A18" s="652"/>
      <c r="B18" s="647"/>
      <c r="C18" s="42"/>
      <c r="D18" s="631"/>
      <c r="E18" s="932" t="s">
        <v>15</v>
      </c>
      <c r="F18" s="20"/>
      <c r="G18" s="658">
        <f t="shared" si="0"/>
        <v>0</v>
      </c>
      <c r="H18" s="46">
        <f>U18</f>
        <v>0</v>
      </c>
      <c r="I18" s="658">
        <v>0</v>
      </c>
      <c r="J18" s="658">
        <v>0</v>
      </c>
      <c r="K18" s="658">
        <v>0</v>
      </c>
      <c r="L18" s="658">
        <v>0</v>
      </c>
      <c r="M18" s="21"/>
      <c r="N18" s="945" t="s">
        <v>44</v>
      </c>
      <c r="O18" s="292">
        <f>SUMIFS([1]تیر!$AF$2:$AF$805,[1]تیر!$O$2:$O$805,7302,[1]تیر!$D$2:$D$805,$F$18,[1]تیر!$AC$2:$AC$805,O3)</f>
        <v>0</v>
      </c>
      <c r="P18" s="169">
        <f>SUMIFS([1]تیر!$AF$2:$AF$805,[1]تیر!$O$2:$O$805,7302,[1]تیر!$D$2:$D$805,$F$18,[1]تیر!$AC$2:$AC$805,P3)</f>
        <v>0</v>
      </c>
      <c r="Q18" s="169">
        <f>SUMIFS([1]تیر!$AF$2:$AF$805,[1]تیر!$O$2:$O$805,7302,[1]تیر!$D$2:$D$805,$F$18,[1]تیر!$AC$2:$AC$805,Q3)</f>
        <v>0</v>
      </c>
      <c r="R18" s="169">
        <f>SUMIFS([1]تیر!$AF$2:$AF$805,[1]تیر!$O$2:$O$805,7302,[1]تیر!$D$2:$D$805,$F$18,[1]تیر!$AC$2:$AC$805,R3)</f>
        <v>0</v>
      </c>
      <c r="S18" s="169">
        <f>SUMIFS([1]تیر!$AF$2:$AF$805,[1]تیر!$O$2:$O$805,7302,[1]تیر!$D$2:$D$805,$F$18,[1]تیر!$AC$2:$AC$805,S3)</f>
        <v>0</v>
      </c>
      <c r="T18" s="169">
        <f>SUMIFS([1]تیر!$AF$2:$AF$805,[1]تیر!$O$2:$O$805,7302,[1]تیر!$D$2:$D$805,$F$18,[1]تیر!$AC$2:$AC$805,T3)</f>
        <v>0</v>
      </c>
      <c r="U18" s="107">
        <f>SUMIFS([1]تیر!$AF$2:$AF$805,[1]تیر!$O$2:$O$805,7302,[1]تیر!$D$2:$D$805,$F$18,[1]تیر!$AC$2:$AC$805,U3)</f>
        <v>0</v>
      </c>
    </row>
    <row r="19" spans="1:21" ht="36" customHeight="1" thickBot="1" x14ac:dyDescent="0.3">
      <c r="A19" s="653">
        <v>9</v>
      </c>
      <c r="B19" s="645" t="s">
        <v>21</v>
      </c>
      <c r="C19" s="588">
        <v>7302</v>
      </c>
      <c r="D19" s="632">
        <v>62.5</v>
      </c>
      <c r="E19" s="1003"/>
      <c r="F19" s="27" t="s">
        <v>17</v>
      </c>
      <c r="G19" s="3">
        <f t="shared" si="0"/>
        <v>49</v>
      </c>
      <c r="H19" s="47">
        <f t="shared" si="1"/>
        <v>0</v>
      </c>
      <c r="I19" s="3">
        <v>6</v>
      </c>
      <c r="J19" s="3">
        <v>0</v>
      </c>
      <c r="K19" s="3">
        <v>0</v>
      </c>
      <c r="L19" s="3">
        <v>0</v>
      </c>
      <c r="M19" s="4">
        <f>SUM(G18:L20)-D19</f>
        <v>-7.5</v>
      </c>
      <c r="N19" s="929"/>
      <c r="O19" s="293">
        <f>SUMIFS([1]تیر!$AF$2:$AF$805,[1]تیر!$O$2:$O$805,7302,[1]تیر!$D$2:$D$805,$F$19,[1]تیر!$AC$2:$AC$805,O3)</f>
        <v>11</v>
      </c>
      <c r="P19" s="168">
        <f>SUMIFS([1]تیر!$AF$2:$AF$805,[1]تیر!$O$2:$O$805,7302,[1]تیر!$D$2:$D$805,$F$19,[1]تیر!$AC$2:$AC$805,P3)</f>
        <v>5</v>
      </c>
      <c r="Q19" s="168">
        <f>SUMIFS([1]تیر!$AF$2:$AF$805,[1]تیر!$O$2:$O$805,7302,[1]تیر!$D$2:$D$805,$F$19,[1]تیر!$AC$2:$AC$805,Q3)</f>
        <v>9</v>
      </c>
      <c r="R19" s="168">
        <f>SUMIFS([1]تیر!$AF$2:$AF$805,[1]تیر!$O$2:$O$805,7302,[1]تیر!$D$2:$D$805,$F$19,[1]تیر!$AC$2:$AC$805,R3)</f>
        <v>11</v>
      </c>
      <c r="S19" s="168">
        <f>SUMIFS([1]تیر!$AF$2:$AF$805,[1]تیر!$O$2:$O$805,7302,[1]تیر!$D$2:$D$805,$F$19,[1]تیر!$AC$2:$AC$805,S3)</f>
        <v>7</v>
      </c>
      <c r="T19" s="168">
        <f>SUMIFS([1]مرداد!$AF$2:$AF$805,[1]مرداد!$O$2:$O$805,7302,[1]مرداد!$D$2:$D$805,F19,[1]مرداد!$AC$2:$AC$805,$T$3)</f>
        <v>6</v>
      </c>
      <c r="U19" s="108">
        <f>SUMIFS([1]تیر!$AF$2:$AF$805,[1]تیر!$O$2:$O$805,7302,[1]تیر!$D$2:$D$805,$F$19,[1]تیر!$AC$2:$AC$805,U3)</f>
        <v>0</v>
      </c>
    </row>
    <row r="20" spans="1:21" ht="36" hidden="1" customHeight="1" thickBot="1" x14ac:dyDescent="0.3">
      <c r="A20" s="654"/>
      <c r="B20" s="649"/>
      <c r="C20" s="43"/>
      <c r="D20" s="633"/>
      <c r="E20" s="934"/>
      <c r="F20" s="5"/>
      <c r="G20" s="6">
        <f t="shared" si="0"/>
        <v>0</v>
      </c>
      <c r="H20" s="64">
        <f t="shared" si="1"/>
        <v>0</v>
      </c>
      <c r="I20" s="7">
        <v>0</v>
      </c>
      <c r="J20" s="7">
        <v>0</v>
      </c>
      <c r="K20" s="6">
        <v>0</v>
      </c>
      <c r="L20" s="6">
        <v>0</v>
      </c>
      <c r="M20" s="6"/>
      <c r="N20" s="930"/>
      <c r="O20" s="294">
        <f>SUMIFS([1]اردیبهشت!$AD$2:$AD$805,[1]اردیبهشت!$N$2:$N$805,$C$19,[1]اردیبهشت!$D$2:$D$805,$F$19,[1]اردیبهشت!$AA$2:$AA$805,O4)</f>
        <v>0</v>
      </c>
      <c r="P20" s="172">
        <f>SUMIFS([1]اردیبهشت!$AD$2:$AD$805,[1]اردیبهشت!$N$2:$N$805,$C$19,[1]اردیبهشت!$D$2:$D$805,$F$19,[1]اردیبهشت!$AA$2:$AA$805,P4)</f>
        <v>0</v>
      </c>
      <c r="Q20" s="172">
        <f>SUMIFS([1]اردیبهشت!$AD$2:$AD$805,[1]اردیبهشت!$N$2:$N$805,$C$19,[1]اردیبهشت!$D$2:$D$805,$F$19,[1]اردیبهشت!$AA$2:$AA$805,Q4)</f>
        <v>0</v>
      </c>
      <c r="R20" s="172">
        <f>SUMIFS([1]اردیبهشت!$AD$2:$AD$805,[1]اردیبهشت!$N$2:$N$805,$C$19,[1]اردیبهشت!$D$2:$D$805,$F$19,[1]اردیبهشت!$AA$2:$AA$805,R4)</f>
        <v>0</v>
      </c>
      <c r="S20" s="172">
        <f>SUMIFS([1]اردیبهشت!$AD$2:$AD$805,[1]اردیبهشت!$N$2:$N$805,$C$19,[1]اردیبهشت!$D$2:$D$805,$F$19,[1]اردیبهشت!$AA$2:$AA$805,S4)</f>
        <v>0</v>
      </c>
      <c r="T20" s="172">
        <f>SUMIFS([1]اردیبهشت!$AD$2:$AD$805,[1]اردیبهشت!$N$2:$N$805,$C$19,[1]اردیبهشت!$D$2:$D$805,$F$19,[1]اردیبهشت!$AA$2:$AA$805,T4)</f>
        <v>0</v>
      </c>
      <c r="U20" s="109">
        <f>SUMIFS([1]خرداد!$AF$2:$AF$700,[1]خرداد!$O$2:$O$700,7101,[1]خرداد!$D$2:$D$700,$F$4,[1]خرداد!$AC$2:$AC$700,U19)</f>
        <v>0</v>
      </c>
    </row>
    <row r="21" spans="1:21" ht="36" customHeight="1" thickBot="1" x14ac:dyDescent="0.3">
      <c r="A21" s="147">
        <v>10</v>
      </c>
      <c r="B21" s="207" t="s">
        <v>21</v>
      </c>
      <c r="C21" s="129">
        <v>7303</v>
      </c>
      <c r="D21" s="129">
        <v>44</v>
      </c>
      <c r="E21" s="129" t="s">
        <v>19</v>
      </c>
      <c r="F21" s="20" t="s">
        <v>20</v>
      </c>
      <c r="G21" s="209">
        <f t="shared" si="0"/>
        <v>18.5</v>
      </c>
      <c r="H21" s="210">
        <f t="shared" si="1"/>
        <v>0</v>
      </c>
      <c r="I21" s="209">
        <v>0</v>
      </c>
      <c r="J21" s="209">
        <v>0</v>
      </c>
      <c r="K21" s="209">
        <v>0</v>
      </c>
      <c r="L21" s="209">
        <v>0</v>
      </c>
      <c r="M21" s="209">
        <f>SUM(G21:L21)-44</f>
        <v>-25.5</v>
      </c>
      <c r="N21" s="313" t="s">
        <v>40</v>
      </c>
      <c r="O21" s="297">
        <f>SUMIFS([1]تیر!$AF$2:$AF$805,[1]تیر!$O$2:$O$805,7303,[1]تیر!$D$2:$D$805,$F$21,[1]تیر!$AC$2:$AC$805,O3)</f>
        <v>0</v>
      </c>
      <c r="P21" s="182">
        <f>SUMIFS([1]تیر!$AF$2:$AF$805,[1]تیر!$O$2:$O$805,7303,[1]تیر!$D$2:$D$805,$F$21,[1]تیر!$AC$2:$AC$805,P3)</f>
        <v>0</v>
      </c>
      <c r="Q21" s="182">
        <f>SUMIFS([1]تیر!$AF$2:$AF$805,[1]تیر!$O$2:$O$805,7303,[1]تیر!$D$2:$D$805,$F$21,[1]تیر!$AC$2:$AC$805,Q3)</f>
        <v>0</v>
      </c>
      <c r="R21" s="182">
        <f>SUMIFS([1]تیر!$AF$2:$AF$805,[1]تیر!$O$2:$O$805,7303,[1]تیر!$D$2:$D$805,$F$21,[1]تیر!$AC$2:$AC$805,R3)</f>
        <v>0</v>
      </c>
      <c r="S21" s="182">
        <f>SUMIFS([1]تیر!$AF$2:$AF$805,[1]تیر!$O$2:$O$805,7303,[1]تیر!$D$2:$D$805,$F$21,[1]تیر!$AC$2:$AC$805,S3)</f>
        <v>11</v>
      </c>
      <c r="T21" s="182">
        <f>SUMIFS([1]مرداد!$AF$2:$AF$805,[1]مرداد!$O$2:$O$805,7303,[1]مرداد!$D$2:$D$805,F21,[1]مرداد!$AC$2:$AC$805,$T$3)</f>
        <v>7.5</v>
      </c>
      <c r="U21" s="156">
        <f>SUMIFS([1]تیر!$AF$2:$AF$805,[1]تیر!$O$2:$O$805,7303,[1]تیر!$D$2:$D$805,$F$21,[1]تیر!$AC$2:$AC$805,U3)</f>
        <v>0</v>
      </c>
    </row>
    <row r="22" spans="1:21" ht="36" hidden="1" customHeight="1" thickBot="1" x14ac:dyDescent="0.3">
      <c r="A22" s="652"/>
      <c r="B22" s="42"/>
      <c r="C22" s="42"/>
      <c r="D22" s="631"/>
      <c r="E22" s="932" t="s">
        <v>15</v>
      </c>
      <c r="F22" s="20"/>
      <c r="G22" s="658">
        <f t="shared" si="0"/>
        <v>0</v>
      </c>
      <c r="H22" s="46">
        <f t="shared" si="1"/>
        <v>0</v>
      </c>
      <c r="I22" s="658">
        <v>0</v>
      </c>
      <c r="J22" s="658">
        <v>0</v>
      </c>
      <c r="K22" s="658">
        <v>0</v>
      </c>
      <c r="L22" s="658">
        <v>0</v>
      </c>
      <c r="M22" s="21"/>
      <c r="N22" s="931" t="s">
        <v>180</v>
      </c>
      <c r="O22" s="292">
        <f>SUMIFS([1]تیر!$AF$2:$AF$805,[1]تیر!$O$2:$O$805,7401,[1]تیر!$D$2:$D$805,$F$22,[1]تیر!$AC$2:$AC$805,O3)</f>
        <v>0</v>
      </c>
      <c r="P22" s="169">
        <f>SUMIFS([1]تیر!$AF$2:$AF$805,[1]تیر!$O$2:$O$805,7401,[1]تیر!$D$2:$D$805,$F$22,[1]تیر!$AC$2:$AC$805,P3)</f>
        <v>0</v>
      </c>
      <c r="Q22" s="169">
        <f>SUMIFS([1]تیر!$AF$2:$AF$805,[1]تیر!$O$2:$O$805,7401,[1]تیر!$D$2:$D$805,$F$22,[1]تیر!$AC$2:$AC$805,Q3)</f>
        <v>0</v>
      </c>
      <c r="R22" s="169">
        <f>SUMIFS([1]تیر!$AF$2:$AF$805,[1]تیر!$O$2:$O$805,7401,[1]تیر!$D$2:$D$805,$F$22,[1]تیر!$AC$2:$AC$805,R3)</f>
        <v>0</v>
      </c>
      <c r="S22" s="169">
        <f>SUMIFS([1]تیر!$AF$2:$AF$805,[1]تیر!$O$2:$O$805,7401,[1]تیر!$D$2:$D$805,$F$22,[1]تیر!$AC$2:$AC$805,S3)</f>
        <v>0</v>
      </c>
      <c r="T22" s="169">
        <f>SUMIFS([1]تیر!$AF$2:$AF$805,[1]تیر!$O$2:$O$805,7401,[1]تیر!$D$2:$D$805,$F$22,[1]تیر!$AC$2:$AC$805,T3)</f>
        <v>0</v>
      </c>
      <c r="U22" s="107">
        <f>SUMIFS([1]تیر!$AF$2:$AF$805,[1]تیر!$O$2:$O$805,7401,[1]تیر!$D$2:$D$805,$F$22,[1]تیر!$AC$2:$AC$805,U3)</f>
        <v>0</v>
      </c>
    </row>
    <row r="23" spans="1:21" ht="36" customHeight="1" thickBot="1" x14ac:dyDescent="0.3">
      <c r="A23" s="653">
        <v>11</v>
      </c>
      <c r="B23" s="587" t="s">
        <v>24</v>
      </c>
      <c r="C23" s="632">
        <v>7401</v>
      </c>
      <c r="D23" s="632">
        <v>62.5</v>
      </c>
      <c r="E23" s="1003"/>
      <c r="F23" s="20" t="s">
        <v>16</v>
      </c>
      <c r="G23" s="3">
        <f t="shared" si="0"/>
        <v>9.5</v>
      </c>
      <c r="H23" s="47">
        <f t="shared" si="1"/>
        <v>0</v>
      </c>
      <c r="I23" s="3">
        <v>0</v>
      </c>
      <c r="J23" s="3">
        <v>0</v>
      </c>
      <c r="K23" s="3">
        <v>0</v>
      </c>
      <c r="L23" s="205">
        <v>0</v>
      </c>
      <c r="M23" s="4">
        <f>SUM(G22:L24)-D23</f>
        <v>-53</v>
      </c>
      <c r="N23" s="995"/>
      <c r="O23" s="293">
        <f>SUMIFS([1]تیر!$AF$2:$AF$805,[1]تیر!$O$2:$O$805,7401,[1]تیر!$D$2:$D$805,$F$23,[1]تیر!$AC$2:$AC$805,O3)</f>
        <v>1</v>
      </c>
      <c r="P23" s="168">
        <f>SUMIFS([1]تیر!$AF$2:$AF$805,[1]تیر!$O$2:$O$805,7401,[1]تیر!$D$2:$D$805,$F$23,[1]تیر!$AC$2:$AC$805,P3)</f>
        <v>2</v>
      </c>
      <c r="Q23" s="168">
        <f>SUMIFS([1]تیر!$AF$2:$AF$805,[1]تیر!$O$2:$O$805,7401,[1]تیر!$D$2:$D$805,$F$23,[1]تیر!$AC$2:$AC$805,Q3)</f>
        <v>1</v>
      </c>
      <c r="R23" s="168">
        <f>SUMIFS([1]تیر!$AF$2:$AF$805,[1]تیر!$O$2:$O$805,7401,[1]تیر!$D$2:$D$805,$F$23,[1]تیر!$AC$2:$AC$805,R3)</f>
        <v>2</v>
      </c>
      <c r="S23" s="168">
        <f>SUMIFS([1]تیر!$AF$2:$AF$805,[1]تیر!$O$2:$O$805,7401,[1]تیر!$D$2:$D$805,$F$23,[1]تیر!$AC$2:$AC$805,S3)</f>
        <v>2</v>
      </c>
      <c r="T23" s="168">
        <f>SUMIFS([1]مرداد!$AF$2:$AF$805,[1]مرداد!$O$2:$O$805,7401,[1]مرداد!$D$2:$D$805,F23,[1]مرداد!$AC$2:$AC$805,$T$3)</f>
        <v>1.5</v>
      </c>
      <c r="U23" s="108">
        <f>SUMIFS([1]تیر!$AF$2:$AF$805,[1]تیر!$O$2:$O$805,7401,[1]تیر!$D$2:$D$805,$F$23,[1]تیر!$AC$2:$AC$805,U3)</f>
        <v>0</v>
      </c>
    </row>
    <row r="24" spans="1:21" ht="36" hidden="1" customHeight="1" thickBot="1" x14ac:dyDescent="0.3">
      <c r="A24" s="654"/>
      <c r="B24" s="43" t="s">
        <v>24</v>
      </c>
      <c r="C24" s="43"/>
      <c r="D24" s="633"/>
      <c r="E24" s="934"/>
      <c r="F24" s="5"/>
      <c r="G24" s="6">
        <f t="shared" si="0"/>
        <v>0</v>
      </c>
      <c r="H24" s="64">
        <f t="shared" si="1"/>
        <v>0</v>
      </c>
      <c r="I24" s="7">
        <v>0</v>
      </c>
      <c r="J24" s="7">
        <v>0</v>
      </c>
      <c r="K24" s="6">
        <v>0</v>
      </c>
      <c r="L24" s="6">
        <v>0</v>
      </c>
      <c r="M24" s="6"/>
      <c r="N24" s="930"/>
      <c r="O24" s="294">
        <f>SUMIFS([1]تیر!$AF$2:$AF$805,[1]تیر!$O$2:$O$805,7401,[1]تیر!$D$2:$D$805,$F$24,[1]تیر!$AC$2:$AC$805,O3)</f>
        <v>0</v>
      </c>
      <c r="P24" s="172">
        <f>SUMIFS([1]تیر!$AF$2:$AF$805,[1]تیر!$O$2:$O$805,7401,[1]تیر!$D$2:$D$805,$F$24,[1]تیر!$AC$2:$AC$805,P3)</f>
        <v>0</v>
      </c>
      <c r="Q24" s="172">
        <f>SUMIFS([1]تیر!$AF$2:$AF$805,[1]تیر!$O$2:$O$805,7401,[1]تیر!$D$2:$D$805,$F$24,[1]تیر!$AC$2:$AC$805,Q3)</f>
        <v>0</v>
      </c>
      <c r="R24" s="172">
        <f>SUMIFS([1]تیر!$AF$2:$AF$805,[1]تیر!$O$2:$O$805,7401,[1]تیر!$D$2:$D$805,$F$24,[1]تیر!$AC$2:$AC$805,R3)</f>
        <v>0</v>
      </c>
      <c r="S24" s="172">
        <f>SUMIFS([1]تیر!$AF$2:$AF$805,[1]تیر!$O$2:$O$805,7401,[1]تیر!$D$2:$D$805,$F$24,[1]تیر!$AC$2:$AC$805,S3)</f>
        <v>0</v>
      </c>
      <c r="T24" s="172">
        <f>SUMIFS([1]تیر!$AF$2:$AF$805,[1]تیر!$O$2:$O$805,7401,[1]تیر!$D$2:$D$805,$F$24,[1]تیر!$AC$2:$AC$805,T3)</f>
        <v>0</v>
      </c>
      <c r="U24" s="109">
        <f>SUMIFS([1]تیر!$AF$2:$AF$805,[1]تیر!$O$2:$O$805,7401,[1]تیر!$D$2:$D$805,$F$24,[1]تیر!$AC$2:$AC$805,U3)</f>
        <v>0</v>
      </c>
    </row>
    <row r="25" spans="1:21" ht="46.5" customHeight="1" x14ac:dyDescent="0.25">
      <c r="A25" s="652"/>
      <c r="B25" s="307"/>
      <c r="C25" s="634"/>
      <c r="D25" s="634"/>
      <c r="E25" s="932" t="s">
        <v>15</v>
      </c>
      <c r="F25" s="20"/>
      <c r="G25" s="658">
        <f t="shared" si="0"/>
        <v>0</v>
      </c>
      <c r="H25" s="46">
        <f t="shared" si="1"/>
        <v>0</v>
      </c>
      <c r="I25" s="658">
        <v>0</v>
      </c>
      <c r="J25" s="658">
        <v>0</v>
      </c>
      <c r="K25" s="658">
        <v>0</v>
      </c>
      <c r="L25" s="658">
        <v>0</v>
      </c>
      <c r="M25" s="21"/>
      <c r="N25" s="931" t="s">
        <v>182</v>
      </c>
      <c r="O25" s="165">
        <f>SUMIFS([1]اردیبهشت!$AD$2:$AD$805,[1]اردیبهشت!$N$2:$N$805,$C$25,[1]اردیبهشت!$D$2:$D$805,$F$25,[1]اردیبهشت!$AA$2:$AA$805,O3)</f>
        <v>0</v>
      </c>
      <c r="P25" s="169">
        <f>SUMIFS([1]اردیبهشت!$AD$2:$AD$805,[1]اردیبهشت!$N$2:$N$805,$C$25,[1]اردیبهشت!$D$2:$D$805,$F$25,[1]اردیبهشت!$AA$2:$AA$805,P3)</f>
        <v>0</v>
      </c>
      <c r="Q25" s="169">
        <f>SUMIFS([1]اردیبهشت!$AD$2:$AD$805,[1]اردیبهشت!$N$2:$N$805,$C$25,[1]اردیبهشت!$D$2:$D$805,$F$25,[1]اردیبهشت!$AA$2:$AA$805,Q3)</f>
        <v>0</v>
      </c>
      <c r="R25" s="169">
        <f>SUMIFS([1]اردیبهشت!$AD$2:$AD$805,[1]اردیبهشت!$N$2:$N$805,$C$25,[1]اردیبهشت!$D$2:$D$805,$F$25,[1]اردیبهشت!$AA$2:$AA$805,R3)</f>
        <v>0</v>
      </c>
      <c r="S25" s="169">
        <f>SUMIFS([1]اردیبهشت!$AD$2:$AD$805,[1]اردیبهشت!$N$2:$N$805,$C$25,[1]اردیبهشت!$D$2:$D$805,$F$25,[1]اردیبهشت!$AA$2:$AA$805,S3)</f>
        <v>0</v>
      </c>
      <c r="T25" s="169">
        <f>SUMIFS([1]اردیبهشت!$AD$2:$AD$805,[1]اردیبهشت!$N$2:$N$805,$C$25,[1]اردیبهشت!$D$2:$D$805,$F$25,[1]اردیبهشت!$AA$2:$AA$805,T3)</f>
        <v>0</v>
      </c>
      <c r="U25" s="107">
        <f>SUMIFS([1]خرداد!$AF$2:$AF$700,[1]خرداد!$O$2:$O$700,7101,[1]خرداد!$D$2:$D$700,$F$4,[1]خرداد!$AC$2:$AC$700,U24)</f>
        <v>0</v>
      </c>
    </row>
    <row r="26" spans="1:21" ht="46.5" customHeight="1" x14ac:dyDescent="0.25">
      <c r="A26" s="653">
        <v>12</v>
      </c>
      <c r="B26" s="308" t="s">
        <v>25</v>
      </c>
      <c r="C26" s="643">
        <v>7501</v>
      </c>
      <c r="D26" s="632">
        <v>62.5</v>
      </c>
      <c r="E26" s="933"/>
      <c r="F26" s="22" t="s">
        <v>36</v>
      </c>
      <c r="G26" s="3">
        <f t="shared" si="0"/>
        <v>41</v>
      </c>
      <c r="H26" s="47">
        <f t="shared" si="1"/>
        <v>0</v>
      </c>
      <c r="I26" s="3">
        <v>4</v>
      </c>
      <c r="J26" s="3">
        <v>0</v>
      </c>
      <c r="K26" s="3">
        <v>0</v>
      </c>
      <c r="L26" s="3">
        <v>0</v>
      </c>
      <c r="M26" s="1">
        <f>SUM(G25:L27)-D26</f>
        <v>-15.5</v>
      </c>
      <c r="N26" s="929"/>
      <c r="O26" s="166">
        <f>SUMIFS([1]تیر!$AF$2:$AF$805,[1]تیر!$O$2:$O$805,7501,[1]تیر!$D$2:$D$805,$F$26,[1]تیر!$AC$2:$AC$805,O3)</f>
        <v>11</v>
      </c>
      <c r="P26" s="168">
        <f>SUMIFS([1]تیر!$AF$2:$AF$805,[1]تیر!$O$2:$O$805,7501,[1]تیر!$D$2:$D$805,$F$26,[1]تیر!$AC$2:$AC$805,P3)</f>
        <v>11</v>
      </c>
      <c r="Q26" s="168">
        <f>SUMIFS([1]تیر!$AF$2:$AF$805,[1]تیر!$O$2:$O$805,7501,[1]تیر!$D$2:$D$805,$F$26,[1]تیر!$AC$2:$AC$805,Q3)</f>
        <v>9</v>
      </c>
      <c r="R26" s="168">
        <f>SUMIFS([1]تیر!$AF$2:$AF$805,[1]تیر!$O$2:$O$805,7501,[1]تیر!$D$2:$D$805,$F$26,[1]تیر!$AC$2:$AC$805,R3)</f>
        <v>10</v>
      </c>
      <c r="S26" s="168">
        <f>SUMIFS([1]تیر!$AF$2:$AF$805,[1]تیر!$O$2:$O$805,7501,[1]تیر!$D$2:$D$805,$F$26,[1]تیر!$AC$2:$AC$805,S3)</f>
        <v>0</v>
      </c>
      <c r="T26" s="168">
        <f>SUMIFS([1]تیر!$AF$2:$AF$805,[1]تیر!$O$2:$O$805,7501,[1]تیر!$D$2:$D$805,$F$26,[1]تیر!$AC$2:$AC$805,T3)</f>
        <v>0</v>
      </c>
      <c r="U26" s="108">
        <f>SUMIFS([1]تیر!$AF$2:$AF$805,[1]تیر!$O$2:$O$805,7501,[1]تیر!$D$2:$D$805,$F$26,[1]تیر!$AC$2:$AC$805,U3)</f>
        <v>0</v>
      </c>
    </row>
    <row r="27" spans="1:21" ht="46.5" customHeight="1" thickBot="1" x14ac:dyDescent="0.3">
      <c r="A27" s="654"/>
      <c r="B27" s="310"/>
      <c r="C27" s="635"/>
      <c r="D27" s="635"/>
      <c r="E27" s="934"/>
      <c r="F27" s="5" t="s">
        <v>54</v>
      </c>
      <c r="G27" s="6">
        <f t="shared" si="0"/>
        <v>2</v>
      </c>
      <c r="H27" s="64">
        <f t="shared" si="1"/>
        <v>0</v>
      </c>
      <c r="I27" s="7">
        <v>0</v>
      </c>
      <c r="J27" s="7">
        <v>0</v>
      </c>
      <c r="K27" s="6">
        <v>0</v>
      </c>
      <c r="L27" s="6">
        <v>0</v>
      </c>
      <c r="M27" s="6"/>
      <c r="N27" s="930"/>
      <c r="O27" s="171">
        <f>SUMIFS([1]تیر!$AF$2:$AF$805,[1]تیر!$O$2:$O$805,7501,[1]تیر!$D$2:$D$805,$F$27,[1]تیر!$AC$2:$AC$805,O3)</f>
        <v>0</v>
      </c>
      <c r="P27" s="172">
        <f>SUMIFS([1]تیر!$AF$2:$AF$805,[1]تیر!$O$2:$O$805,7501,[1]تیر!$D$2:$D$805,$F$27,[1]تیر!$AC$2:$AC$805,P3)</f>
        <v>0</v>
      </c>
      <c r="Q27" s="172">
        <f>SUMIFS([1]تیر!$AF$2:$AF$805,[1]تیر!$O$2:$O$805,7501,[1]تیر!$D$2:$D$805,$F$27,[1]تیر!$AC$2:$AC$805,Q3)</f>
        <v>2</v>
      </c>
      <c r="R27" s="172">
        <f>SUMIFS([1]تیر!$AF$2:$AF$805,[1]تیر!$O$2:$O$805,7501,[1]تیر!$D$2:$D$805,$F$27,[1]تیر!$AC$2:$AC$805,R3)</f>
        <v>0</v>
      </c>
      <c r="S27" s="172">
        <f>SUMIFS([1]تیر!$AF$2:$AF$805,[1]تیر!$O$2:$O$805,7501,[1]تیر!$D$2:$D$805,$F$27,[1]تیر!$AC$2:$AC$805,S3)</f>
        <v>0</v>
      </c>
      <c r="T27" s="172">
        <f>SUMIFS([1]تیر!$AF$2:$AF$805,[1]تیر!$O$2:$O$805,7501,[1]تیر!$D$2:$D$805,$F$27,[1]تیر!$AC$2:$AC$805,T3)</f>
        <v>0</v>
      </c>
      <c r="U27" s="700">
        <f>SUMIFS([1]تیر!$AF$2:$AF$805,[1]تیر!$O$2:$O$805,7501,[1]تیر!$D$2:$D$805,$F$27,[1]تیر!$AC$2:$AC$805,U3)</f>
        <v>0</v>
      </c>
    </row>
    <row r="28" spans="1:21" ht="43.5" customHeight="1" x14ac:dyDescent="0.25">
      <c r="A28" s="653"/>
      <c r="B28" s="224"/>
      <c r="C28" s="646"/>
      <c r="D28" s="646"/>
      <c r="E28" s="936" t="s">
        <v>50</v>
      </c>
      <c r="F28" s="27" t="s">
        <v>36</v>
      </c>
      <c r="G28" s="1">
        <f t="shared" si="0"/>
        <v>47.5</v>
      </c>
      <c r="H28" s="49">
        <v>0</v>
      </c>
      <c r="I28" s="93">
        <v>4</v>
      </c>
      <c r="J28" s="93">
        <v>0</v>
      </c>
      <c r="K28" s="93">
        <v>0</v>
      </c>
      <c r="L28" s="93">
        <v>0</v>
      </c>
      <c r="M28" s="4"/>
      <c r="N28" s="988" t="s">
        <v>42</v>
      </c>
      <c r="O28" s="356">
        <f>SUMIFS([1]تیر!$AF$2:$AF$805,[1]تیر!$O$2:$O$805,7502,[1]تیر!$D$2:$D$805,$F$28,[1]تیر!$AC$2:$AC$805,O3)</f>
        <v>11</v>
      </c>
      <c r="P28" s="174">
        <f>SUMIFS([1]تیر!$AF$2:$AF$805,[1]تیر!$O$2:$O$805,7502,[1]تیر!$D$2:$D$805,$F$28,[1]تیر!$AC$2:$AC$805,P3)</f>
        <v>11</v>
      </c>
      <c r="Q28" s="174">
        <f>SUMIFS([1]تیر!$AF$2:$AF$805,[1]تیر!$O$2:$O$805,7502,[1]تیر!$D$2:$D$805,$F$28,[1]تیر!$AC$2:$AC$805,Q3)</f>
        <v>7</v>
      </c>
      <c r="R28" s="174">
        <f>SUMIFS([1]تیر!$AF$2:$AF$805,[1]تیر!$O$2:$O$805,7502,[1]تیر!$D$2:$D$805,$F$28,[1]تیر!$AC$2:$AC$805,R3)</f>
        <v>11</v>
      </c>
      <c r="S28" s="174">
        <f>SUMIFS([1]تیر!$AF$2:$AF$805,[1]تیر!$O$2:$O$805,7502,[1]تیر!$D$2:$D$805,$F$28,[1]تیر!$AC$2:$AC$805,S3)</f>
        <v>0</v>
      </c>
      <c r="T28" s="174">
        <f>SUMIFS([1]مرداد!$AF$2:$AF$805,[1]مرداد!$O$2:$O$805,7502,[1]مرداد!$D$2:$D$805,F28,[1]مرداد!$AC$2:$AC$805,$T$3)</f>
        <v>7.5</v>
      </c>
      <c r="U28" s="110">
        <f>SUMIFS([1]تیر!$AF$2:$AF$805,[1]تیر!$O$2:$O$805,7502,[1]تیر!$D$2:$D$805,$F$28,[1]تیر!$AC$2:$AC$805,U3)</f>
        <v>0</v>
      </c>
    </row>
    <row r="29" spans="1:21" ht="43.5" customHeight="1" x14ac:dyDescent="0.25">
      <c r="A29" s="653">
        <v>13</v>
      </c>
      <c r="B29" s="146" t="s">
        <v>25</v>
      </c>
      <c r="C29" s="95">
        <v>7502</v>
      </c>
      <c r="D29" s="632">
        <v>62.5</v>
      </c>
      <c r="E29" s="936"/>
      <c r="F29" s="27"/>
      <c r="G29" s="3">
        <f t="shared" si="0"/>
        <v>0</v>
      </c>
      <c r="H29" s="47">
        <f t="shared" si="1"/>
        <v>0</v>
      </c>
      <c r="I29" s="3">
        <v>0</v>
      </c>
      <c r="J29" s="3">
        <v>0</v>
      </c>
      <c r="K29" s="3">
        <v>0</v>
      </c>
      <c r="L29" s="3">
        <v>0</v>
      </c>
      <c r="M29" s="4">
        <f>SUM(G28:L30)-D29</f>
        <v>-11</v>
      </c>
      <c r="N29" s="929"/>
      <c r="O29" s="293">
        <f>SUMIFS([1]اردیبهشت!$AD$2:$AD$805,[1]اردیبهشت!$N$2:$N$805,$C$29,[1]اردیبهشت!$D$2:$D$805,$F$29,[1]اردیبهشت!$AA$2:$AA$805,O3)</f>
        <v>0</v>
      </c>
      <c r="P29" s="168">
        <f>SUMIFS([1]اردیبهشت!$AD$2:$AD$805,[1]اردیبهشت!$N$2:$N$805,$C$29,[1]اردیبهشت!$D$2:$D$805,$F$29,[1]اردیبهشت!$AA$2:$AA$805,P3)</f>
        <v>0</v>
      </c>
      <c r="Q29" s="168">
        <f>SUMIFS([1]اردیبهشت!$AD$2:$AD$805,[1]اردیبهشت!$N$2:$N$805,$C$29,[1]اردیبهشت!$D$2:$D$805,$F$29,[1]اردیبهشت!$AA$2:$AA$805,Q3)</f>
        <v>0</v>
      </c>
      <c r="R29" s="168">
        <f>SUMIFS([1]اردیبهشت!$AD$2:$AD$805,[1]اردیبهشت!$N$2:$N$805,$C$29,[1]اردیبهشت!$D$2:$D$805,$F$29,[1]اردیبهشت!$AA$2:$AA$805,R3)</f>
        <v>0</v>
      </c>
      <c r="S29" s="168">
        <f>SUMIFS([1]اردیبهشت!$AD$2:$AD$805,[1]اردیبهشت!$N$2:$N$805,$C$29,[1]اردیبهشت!$D$2:$D$805,$F$29,[1]اردیبهشت!$AA$2:$AA$805,S3)</f>
        <v>0</v>
      </c>
      <c r="T29" s="168">
        <f>SUMIFS([1]اردیبهشت!$AD$2:$AD$805,[1]اردیبهشت!$N$2:$N$805,$C$29,[1]اردیبهشت!$D$2:$D$805,$F$29,[1]اردیبهشت!$AA$2:$AA$805,T3)</f>
        <v>0</v>
      </c>
      <c r="U29" s="108">
        <f>SUMIFS([1]خرداد!$AF$2:$AF$700,[1]خرداد!$O$2:$O$700,7101,[1]خرداد!$D$2:$D$700,$F$4,[1]خرداد!$AC$2:$AC$700,U28)</f>
        <v>0</v>
      </c>
    </row>
    <row r="30" spans="1:21" ht="43.5" customHeight="1" thickBot="1" x14ac:dyDescent="0.3">
      <c r="A30" s="654"/>
      <c r="B30" s="310"/>
      <c r="C30" s="635"/>
      <c r="D30" s="635"/>
      <c r="E30" s="937"/>
      <c r="F30" s="5"/>
      <c r="G30" s="6">
        <f t="shared" si="0"/>
        <v>0</v>
      </c>
      <c r="H30" s="64">
        <f t="shared" si="1"/>
        <v>0</v>
      </c>
      <c r="I30" s="7">
        <v>0</v>
      </c>
      <c r="J30" s="7">
        <v>0</v>
      </c>
      <c r="K30" s="6">
        <v>0</v>
      </c>
      <c r="L30" s="6">
        <v>0</v>
      </c>
      <c r="M30" s="6"/>
      <c r="N30" s="930"/>
      <c r="O30" s="352">
        <f>SUMIFS([1]اردیبهشت!$AD$2:$AD$805,[1]اردیبهشت!$N$2:$N$805,$C$29,[1]اردیبهشت!$D$2:$D$805,$F$30,[1]اردیبهشت!$AA$2:$AA$805,O3)</f>
        <v>0</v>
      </c>
      <c r="P30" s="175">
        <f>SUMIFS([1]اردیبهشت!$AD$2:$AD$805,[1]اردیبهشت!$N$2:$N$805,$C$29,[1]اردیبهشت!$D$2:$D$805,$F$30,[1]اردیبهشت!$AA$2:$AA$805,P3)</f>
        <v>0</v>
      </c>
      <c r="Q30" s="175">
        <f>SUMIFS([1]اردیبهشت!$AD$2:$AD$805,[1]اردیبهشت!$N$2:$N$805,$C$29,[1]اردیبهشت!$D$2:$D$805,$F$30,[1]اردیبهشت!$AA$2:$AA$805,Q3)</f>
        <v>0</v>
      </c>
      <c r="R30" s="175">
        <f>SUMIFS([1]اردیبهشت!$AD$2:$AD$805,[1]اردیبهشت!$N$2:$N$805,$C$29,[1]اردیبهشت!$D$2:$D$805,$F$30,[1]اردیبهشت!$AA$2:$AA$805,R3)</f>
        <v>0</v>
      </c>
      <c r="S30" s="175">
        <f>SUMIFS([1]اردیبهشت!$AD$2:$AD$805,[1]اردیبهشت!$N$2:$N$805,$C$29,[1]اردیبهشت!$D$2:$D$805,$F$30,[1]اردیبهشت!$AA$2:$AA$805,S3)</f>
        <v>0</v>
      </c>
      <c r="T30" s="175">
        <f>SUMIFS([1]اردیبهشت!$AD$2:$AD$805,[1]اردیبهشت!$N$2:$N$805,$C$29,[1]اردیبهشت!$D$2:$D$805,$F$30,[1]اردیبهشت!$AA$2:$AA$805,T3)</f>
        <v>0</v>
      </c>
      <c r="U30" s="114">
        <f>SUMIFS([1]خرداد!$AF$2:$AF$700,[1]خرداد!$O$2:$O$700,7101,[1]خرداد!$D$2:$D$700,$F$4,[1]خرداد!$AC$2:$AC$700,U29)</f>
        <v>0</v>
      </c>
    </row>
    <row r="31" spans="1:21" ht="43.5" customHeight="1" x14ac:dyDescent="0.25">
      <c r="A31" s="939">
        <v>14</v>
      </c>
      <c r="B31" s="83" t="s">
        <v>26</v>
      </c>
      <c r="C31" s="625">
        <v>7601</v>
      </c>
      <c r="D31" s="625">
        <v>72</v>
      </c>
      <c r="E31" s="914" t="s">
        <v>15</v>
      </c>
      <c r="F31" s="84" t="s">
        <v>27</v>
      </c>
      <c r="G31" s="85">
        <f t="shared" si="0"/>
        <v>56</v>
      </c>
      <c r="H31" s="86">
        <f t="shared" si="1"/>
        <v>0</v>
      </c>
      <c r="I31" s="85">
        <v>0</v>
      </c>
      <c r="J31" s="85">
        <v>0</v>
      </c>
      <c r="K31" s="85">
        <v>0</v>
      </c>
      <c r="L31" s="85">
        <v>0</v>
      </c>
      <c r="M31" s="87">
        <f>(J31+J32+I32+I31+H31+H32+G32+G31+L31+K31)-D31</f>
        <v>-16</v>
      </c>
      <c r="N31" s="941" t="s">
        <v>13</v>
      </c>
      <c r="O31" s="298">
        <f>SUMIFS([1]تیر!$AF$2:$AF$805,[1]تیر!$O$2:$O$805,7601,[1]تیر!$D$2:$D$805,$F$31,[1]تیر!$AC$2:$AC$805,O3)</f>
        <v>12</v>
      </c>
      <c r="P31" s="188">
        <f>SUMIFS([1]تیر!$AF$2:$AF$805,[1]تیر!$O$2:$O$805,7601,[1]تیر!$D$2:$D$805,$F$31,[1]تیر!$AC$2:$AC$805,P3)</f>
        <v>12</v>
      </c>
      <c r="Q31" s="188">
        <f>SUMIFS([1]تیر!$AF$2:$AF$805,[1]تیر!$O$2:$O$805,7601,[1]تیر!$D$2:$D$805,$F$31,[1]تیر!$AC$2:$AC$805,Q3)</f>
        <v>12</v>
      </c>
      <c r="R31" s="188">
        <f>SUMIFS([1]تیر!$AF$2:$AF$805,[1]تیر!$O$2:$O$805,7601,[1]تیر!$D$2:$D$805,$F$31,[1]تیر!$AC$2:$AC$805,R3)</f>
        <v>0</v>
      </c>
      <c r="S31" s="188">
        <f>SUMIFS([1]تیر!$AF$2:$AF$805,[1]تیر!$O$2:$O$805,7601,[1]تیر!$D$2:$D$805,$F$31,[1]تیر!$AC$2:$AC$805,S3)</f>
        <v>12</v>
      </c>
      <c r="T31" s="188">
        <f>SUMIFS([1]مرداد!$AF$2:$AF$805,[1]مرداد!$O$2:$O$805,7601,[1]مرداد!$D$2:$D$805,F33,[1]مرداد!$AC$2:$AC$805,$T$3)</f>
        <v>8</v>
      </c>
      <c r="U31" s="128">
        <f>SUMIFS([1]تیر!$AF$2:$AF$805,[1]تیر!$O$2:$O$805,7601,[1]تیر!$D$2:$D$805,$F$31,[1]تیر!$AC$2:$AC$805,U3)</f>
        <v>0</v>
      </c>
    </row>
    <row r="32" spans="1:21" ht="43.5" customHeight="1" thickBot="1" x14ac:dyDescent="0.3">
      <c r="A32" s="940"/>
      <c r="B32" s="123"/>
      <c r="C32" s="626"/>
      <c r="D32" s="626"/>
      <c r="E32" s="915"/>
      <c r="F32" s="124"/>
      <c r="G32" s="93">
        <f t="shared" si="0"/>
        <v>0</v>
      </c>
      <c r="H32" s="92">
        <f t="shared" si="1"/>
        <v>0</v>
      </c>
      <c r="I32" s="125">
        <v>0</v>
      </c>
      <c r="J32" s="125">
        <v>0</v>
      </c>
      <c r="K32" s="126">
        <v>0</v>
      </c>
      <c r="L32" s="126">
        <v>0</v>
      </c>
      <c r="M32" s="127"/>
      <c r="N32" s="917"/>
      <c r="O32" s="584">
        <f>SUMIFS([1]اردیبهشت!$AD$2:$AD$805,[1]اردیبهشت!$N$2:$N$805,$C$31,[1]اردیبهشت!$D$2:$D$805,$F$32,[1]اردیبهشت!$AA$2:$AA$805,O3)</f>
        <v>0</v>
      </c>
      <c r="P32" s="191">
        <f>SUMIFS([1]اردیبهشت!$AD$2:$AD$600,[1]اردیبهشت!$N$2:$N$600,$C$31,[1]اردیبهشت!$D$2:$D$600,$F$32,[1]اردیبهشت!$AA$2:$AA$600,P3)</f>
        <v>0</v>
      </c>
      <c r="Q32" s="191">
        <f>SUMIFS([1]اردیبهشت!$AD$2:$AD$600,[1]اردیبهشت!$N$2:$N$600,$C$31,[1]اردیبهشت!$D$2:$D$600,$F$32,[1]اردیبهشت!$AA$2:$AA$600,Q3)</f>
        <v>0</v>
      </c>
      <c r="R32" s="191">
        <f>SUMIFS([1]اردیبهشت!$AD$2:$AD$600,[1]اردیبهشت!$N$2:$N$600,$C$31,[1]اردیبهشت!$D$2:$D$600,$F$32,[1]اردیبهشت!$AA$2:$AA$600,R3)</f>
        <v>0</v>
      </c>
      <c r="S32" s="191">
        <f>SUMIFS([1]اردیبهشت!$AD$2:$AD$600,[1]اردیبهشت!$N$2:$N$600,$C$31,[1]اردیبهشت!$D$2:$D$600,$F$32,[1]اردیبهشت!$AA$2:$AA$600,S3)</f>
        <v>0</v>
      </c>
      <c r="T32" s="191">
        <f>SUMIFS([1]اردیبهشت!$AD$2:$AD$600,[1]اردیبهشت!$N$2:$N$600,$C$31,[1]اردیبهشت!$D$2:$D$600,$F$32,[1]اردیبهشت!$AA$2:$AA$600,T3)</f>
        <v>0</v>
      </c>
      <c r="U32" s="114">
        <f>SUMIFS([1]خرداد!$AF$2:$AF$700,[1]خرداد!$O$2:$O$700,7101,[1]خرداد!$D$2:$D$700,$F$4,[1]خرداد!$AC$2:$AC$700,U31)</f>
        <v>0</v>
      </c>
    </row>
    <row r="33" spans="1:21" ht="43.5" customHeight="1" x14ac:dyDescent="0.25">
      <c r="A33" s="912">
        <v>15</v>
      </c>
      <c r="B33" s="83" t="s">
        <v>26</v>
      </c>
      <c r="C33" s="625">
        <v>7602</v>
      </c>
      <c r="D33" s="625">
        <v>72</v>
      </c>
      <c r="E33" s="914" t="s">
        <v>15</v>
      </c>
      <c r="F33" s="84" t="s">
        <v>27</v>
      </c>
      <c r="G33" s="658">
        <f t="shared" si="0"/>
        <v>38</v>
      </c>
      <c r="H33" s="46">
        <f t="shared" si="1"/>
        <v>0</v>
      </c>
      <c r="I33" s="85">
        <v>0</v>
      </c>
      <c r="J33" s="85">
        <v>0</v>
      </c>
      <c r="K33" s="85">
        <v>0</v>
      </c>
      <c r="L33" s="85">
        <v>0</v>
      </c>
      <c r="M33" s="87">
        <f>(J33+J34+I34+I33+H33+H34+G34+G33)-D33</f>
        <v>-34</v>
      </c>
      <c r="N33" s="916" t="s">
        <v>13</v>
      </c>
      <c r="O33" s="292">
        <f>SUMIFS([1]تیر!$AF$2:$AF$805,[1]تیر!$O$2:$O$805,7602,[1]تیر!$D$2:$D$805,$F$33,[1]تیر!$AC$2:$AC$805,O3)</f>
        <v>6</v>
      </c>
      <c r="P33" s="169">
        <f>SUMIFS([1]تیر!$AF$2:$AF$805,[1]تیر!$O$2:$O$805,7602,[1]تیر!$D$2:$D$805,$F$33,[1]تیر!$AC$2:$AC$805,P3)</f>
        <v>6</v>
      </c>
      <c r="Q33" s="169">
        <f>SUMIFS([1]تیر!$AF$2:$AF$805,[1]تیر!$O$2:$O$805,7602,[1]تیر!$D$2:$D$805,$F$33,[1]تیر!$AC$2:$AC$805,Q3)</f>
        <v>6</v>
      </c>
      <c r="R33" s="169">
        <f>SUMIFS([1]تیر!$AF$2:$AF$805,[1]تیر!$O$2:$O$805,7602,[1]تیر!$D$2:$D$805,$F$33,[1]تیر!$AC$2:$AC$805,R3)</f>
        <v>0</v>
      </c>
      <c r="S33" s="169">
        <f>SUMIFS([1]تیر!$AF$2:$AF$805,[1]تیر!$O$2:$O$805,7602,[1]تیر!$D$2:$D$805,$F$33,[1]تیر!$AC$2:$AC$805,S3)</f>
        <v>12</v>
      </c>
      <c r="T33" s="169">
        <f>SUMIFS([1]مرداد!$AF$2:$AF$805,[1]مرداد!$O$2:$O$805,7602,[1]مرداد!$D$2:$D$805,F33,[1]مرداد!$AC$2:$AC$805,$T$3)</f>
        <v>8</v>
      </c>
      <c r="U33" s="107">
        <f>SUMIFS([1]تیر!$AF$2:$AF$805,[1]تیر!$O$2:$O$805,7602,[1]تیر!$D$2:$D$805,$F$33,[1]تیر!$AC$2:$AC$805,U3)</f>
        <v>0</v>
      </c>
    </row>
    <row r="34" spans="1:21" ht="43.5" customHeight="1" thickBot="1" x14ac:dyDescent="0.3">
      <c r="A34" s="913"/>
      <c r="B34" s="123"/>
      <c r="C34" s="626"/>
      <c r="D34" s="626"/>
      <c r="E34" s="915"/>
      <c r="F34" s="124"/>
      <c r="G34" s="6">
        <f t="shared" si="0"/>
        <v>0</v>
      </c>
      <c r="H34" s="64">
        <f t="shared" si="1"/>
        <v>0</v>
      </c>
      <c r="I34" s="125">
        <v>0</v>
      </c>
      <c r="J34" s="125">
        <v>0</v>
      </c>
      <c r="K34" s="126">
        <v>0</v>
      </c>
      <c r="L34" s="126">
        <v>0</v>
      </c>
      <c r="M34" s="127"/>
      <c r="N34" s="917"/>
      <c r="O34" s="352">
        <f>SUMIFS([1]اردیبهشت!$AD$2:$AD$805,[1]اردیبهشت!$N$2:$N$805,$C$33,[1]اردیبهشت!$D$2:$D$805,$F$34,[1]اردیبهشت!$AA$2:$AA$805,O3)</f>
        <v>0</v>
      </c>
      <c r="P34" s="175">
        <f>SUMIFS([1]اردیبهشت!$AD$2:$AD$600,[1]اردیبهشت!$N$2:$N$600,$C$33,[1]اردیبهشت!$D$2:$D$600,$F$34,[1]اردیبهشت!$AA$2:$AA$600,P3)</f>
        <v>0</v>
      </c>
      <c r="Q34" s="175">
        <f>SUMIFS([1]اردیبهشت!$AD$2:$AD$600,[1]اردیبهشت!$N$2:$N$600,$C$33,[1]اردیبهشت!$D$2:$D$600,$F$34,[1]اردیبهشت!$AA$2:$AA$600,Q3)</f>
        <v>0</v>
      </c>
      <c r="R34" s="175">
        <f>SUMIFS([1]اردیبهشت!$AD$2:$AD$600,[1]اردیبهشت!$N$2:$N$600,$C$33,[1]اردیبهشت!$D$2:$D$600,$F$34,[1]اردیبهشت!$AA$2:$AA$600,R3)</f>
        <v>0</v>
      </c>
      <c r="S34" s="175">
        <f>SUMIFS([1]اردیبهشت!$AD$2:$AD$600,[1]اردیبهشت!$N$2:$N$600,$C$33,[1]اردیبهشت!$D$2:$D$600,$F$34,[1]اردیبهشت!$AA$2:$AA$600,S3)</f>
        <v>0</v>
      </c>
      <c r="T34" s="175">
        <f>SUMIFS([1]اردیبهشت!$AD$2:$AD$600,[1]اردیبهشت!$N$2:$N$600,$C$33,[1]اردیبهشت!$D$2:$D$600,$F$34,[1]اردیبهشت!$AA$2:$AA$600,T3)</f>
        <v>0</v>
      </c>
      <c r="U34" s="114">
        <f>SUMIFS([1]خرداد!$AF$2:$AF$700,[1]خرداد!$O$2:$O$700,7101,[1]خرداد!$D$2:$D$700,$F$4,[1]خرداد!$AC$2:$AC$700,U33)</f>
        <v>0</v>
      </c>
    </row>
    <row r="35" spans="1:21" ht="42.75" customHeight="1" x14ac:dyDescent="0.25">
      <c r="A35" s="912">
        <v>16</v>
      </c>
      <c r="B35" s="641" t="s">
        <v>26</v>
      </c>
      <c r="C35" s="634">
        <v>7603</v>
      </c>
      <c r="D35" s="634">
        <v>72</v>
      </c>
      <c r="E35" s="943" t="s">
        <v>15</v>
      </c>
      <c r="F35" s="84" t="s">
        <v>27</v>
      </c>
      <c r="G35" s="658">
        <f t="shared" si="0"/>
        <v>33</v>
      </c>
      <c r="H35" s="46">
        <f t="shared" si="1"/>
        <v>0</v>
      </c>
      <c r="I35" s="658">
        <v>0</v>
      </c>
      <c r="J35" s="658">
        <v>0</v>
      </c>
      <c r="K35" s="658">
        <v>0</v>
      </c>
      <c r="L35" s="658">
        <v>0</v>
      </c>
      <c r="M35" s="23">
        <f>(J35+J36+I36+I35+H35+H36+G36+G35+L35+L36)-D35</f>
        <v>-39</v>
      </c>
      <c r="N35" s="945" t="s">
        <v>13</v>
      </c>
      <c r="O35" s="292">
        <f>SUMIFS([1]تیر!$AF$2:$AF$805,[1]تیر!$O$2:$O$805,7603,[1]تیر!$D$2:$D$805,$F$35,[1]تیر!$AC$2:$AC$805,O3)</f>
        <v>12</v>
      </c>
      <c r="P35" s="169">
        <f>SUMIFS([1]تیر!$AF$2:$AF$805,[1]تیر!$O$2:$O$805,7603,[1]تیر!$D$2:$D$805,$F$35,[1]تیر!$AC$2:$AC$805,P3)</f>
        <v>12</v>
      </c>
      <c r="Q35" s="169">
        <f>SUMIFS([1]تیر!$AF$2:$AF$805,[1]تیر!$O$2:$O$805,7603,[1]تیر!$D$2:$D$805,$F$35,[1]تیر!$AC$2:$AC$805,Q3)</f>
        <v>0</v>
      </c>
      <c r="R35" s="169">
        <f>SUMIFS([1]تیر!$AF$2:$AF$805,[1]تیر!$O$2:$O$805,7603,[1]تیر!$D$2:$D$805,$F$35,[1]تیر!$AC$2:$AC$805,R3)</f>
        <v>0</v>
      </c>
      <c r="S35" s="169">
        <f>SUMIFS([1]تیر!$AF$2:$AF$805,[1]تیر!$O$2:$O$805,7603,[1]تیر!$D$2:$D$805,$F$35,[1]تیر!$AC$2:$AC$805,S3)</f>
        <v>4</v>
      </c>
      <c r="T35" s="169">
        <f>SUMIFS([1]مرداد!$AF$2:$AF$805,[1]مرداد!$O$2:$O$805,7603,[1]مرداد!$D$2:$D$805,F35,[1]مرداد!$AC$2:$AC$805,$T$3)</f>
        <v>5</v>
      </c>
      <c r="U35" s="107">
        <f>SUMIFS([1]تیر!$AF$2:$AF$805,[1]تیر!$O$2:$O$805,7603,[1]تیر!$D$2:$D$805,$F$35,[1]تیر!$AC$2:$AC$805,U3)</f>
        <v>0</v>
      </c>
    </row>
    <row r="36" spans="1:21" ht="42.75" customHeight="1" thickBot="1" x14ac:dyDescent="0.3">
      <c r="A36" s="942"/>
      <c r="B36" s="642"/>
      <c r="C36" s="635"/>
      <c r="D36" s="635"/>
      <c r="E36" s="944"/>
      <c r="F36" s="5"/>
      <c r="G36" s="1">
        <f t="shared" si="0"/>
        <v>0</v>
      </c>
      <c r="H36" s="49">
        <f t="shared" si="1"/>
        <v>0</v>
      </c>
      <c r="I36" s="7">
        <v>0</v>
      </c>
      <c r="J36" s="7">
        <v>0</v>
      </c>
      <c r="K36" s="6">
        <v>0</v>
      </c>
      <c r="L36" s="6">
        <v>0</v>
      </c>
      <c r="M36" s="8"/>
      <c r="N36" s="946"/>
      <c r="O36" s="294">
        <f>SUMIFS([1]اردیبهشت!$AD$2:$AD$805,[1]اردیبهشت!$N$2:$N$805,$C$35,[1]اردیبهشت!$D$2:$D$805,$F$36,[1]اردیبهشت!$AA$2:$AA$805,O3)</f>
        <v>0</v>
      </c>
      <c r="P36" s="172">
        <f>SUMIFS([1]اردیبهشت!$AD$2:$AD$600,[1]اردیبهشت!$N$2:$N$600,$C$35,[1]اردیبهشت!$D$2:$D$600,$F$36,[1]اردیبهشت!$AA$2:$AA$600,P3)</f>
        <v>0</v>
      </c>
      <c r="Q36" s="172">
        <f>SUMIFS([1]اردیبهشت!$AD$2:$AD$600,[1]اردیبهشت!$N$2:$N$600,$C$35,[1]اردیبهشت!$D$2:$D$600,$F$36,[1]اردیبهشت!$AA$2:$AA$600,Q3)</f>
        <v>0</v>
      </c>
      <c r="R36" s="172">
        <f>SUMIFS([1]اردیبهشت!$AD$2:$AD$600,[1]اردیبهشت!$N$2:$N$600,$C$35,[1]اردیبهشت!$D$2:$D$600,$F$36,[1]اردیبهشت!$AA$2:$AA$600,R3)</f>
        <v>0</v>
      </c>
      <c r="S36" s="172">
        <f>SUMIFS([1]اردیبهشت!$AD$2:$AD$600,[1]اردیبهشت!$N$2:$N$600,$C$35,[1]اردیبهشت!$D$2:$D$600,$F$36,[1]اردیبهشت!$AA$2:$AA$600,S3)</f>
        <v>0</v>
      </c>
      <c r="T36" s="172">
        <f>SUMIFS([1]اردیبهشت!$AD$2:$AD$600,[1]اردیبهشت!$N$2:$N$600,$C$35,[1]اردیبهشت!$D$2:$D$600,$F$36,[1]اردیبهشت!$AA$2:$AA$600,T3)</f>
        <v>0</v>
      </c>
      <c r="U36" s="109">
        <f>SUMIFS([1]خرداد!$AF$2:$AF$700,[1]خرداد!$O$2:$O$700,7101,[1]خرداد!$D$2:$D$700,$F$4,[1]خرداد!$AC$2:$AC$700,U35)</f>
        <v>0</v>
      </c>
    </row>
    <row r="37" spans="1:21" ht="42.75" customHeight="1" x14ac:dyDescent="0.25">
      <c r="A37" s="912">
        <v>17</v>
      </c>
      <c r="B37" s="81" t="s">
        <v>26</v>
      </c>
      <c r="C37" s="90">
        <v>7604</v>
      </c>
      <c r="D37" s="637">
        <v>72</v>
      </c>
      <c r="E37" s="947" t="s">
        <v>19</v>
      </c>
      <c r="F37" s="79"/>
      <c r="G37" s="658" t="s">
        <v>83</v>
      </c>
      <c r="H37" s="46">
        <f t="shared" si="1"/>
        <v>0</v>
      </c>
      <c r="I37" s="80">
        <v>0</v>
      </c>
      <c r="J37" s="80">
        <v>72</v>
      </c>
      <c r="K37" s="80">
        <v>0</v>
      </c>
      <c r="L37" s="80">
        <v>0</v>
      </c>
      <c r="M37" s="60"/>
      <c r="N37" s="949" t="s">
        <v>28</v>
      </c>
      <c r="O37" s="390"/>
      <c r="P37" s="204"/>
      <c r="Q37" s="204"/>
      <c r="R37" s="204"/>
      <c r="S37" s="204"/>
      <c r="T37" s="204"/>
      <c r="U37" s="116"/>
    </row>
    <row r="38" spans="1:21" ht="42.75" customHeight="1" thickBot="1" x14ac:dyDescent="0.3">
      <c r="A38" s="913"/>
      <c r="B38" s="648"/>
      <c r="C38" s="309"/>
      <c r="D38" s="644"/>
      <c r="E38" s="948"/>
      <c r="F38" s="24"/>
      <c r="G38" s="1">
        <f t="shared" si="0"/>
        <v>0</v>
      </c>
      <c r="H38" s="49">
        <f t="shared" si="1"/>
        <v>0</v>
      </c>
      <c r="I38" s="25">
        <v>0</v>
      </c>
      <c r="J38" s="25">
        <v>0</v>
      </c>
      <c r="K38" s="4">
        <v>0</v>
      </c>
      <c r="L38" s="4">
        <v>0</v>
      </c>
      <c r="M38" s="60"/>
      <c r="N38" s="950"/>
      <c r="O38" s="391"/>
      <c r="P38" s="194"/>
      <c r="Q38" s="194"/>
      <c r="R38" s="194"/>
      <c r="S38" s="194"/>
      <c r="T38" s="194"/>
      <c r="U38" s="117"/>
    </row>
    <row r="39" spans="1:21" ht="42.75" customHeight="1" x14ac:dyDescent="0.25">
      <c r="A39" s="954">
        <v>18</v>
      </c>
      <c r="B39" s="83" t="s">
        <v>26</v>
      </c>
      <c r="C39" s="625">
        <v>7605</v>
      </c>
      <c r="D39" s="625">
        <v>72</v>
      </c>
      <c r="E39" s="914" t="s">
        <v>15</v>
      </c>
      <c r="F39" s="84" t="s">
        <v>27</v>
      </c>
      <c r="G39" s="85">
        <f t="shared" si="0"/>
        <v>56</v>
      </c>
      <c r="H39" s="86">
        <f t="shared" si="1"/>
        <v>0</v>
      </c>
      <c r="I39" s="85">
        <v>0</v>
      </c>
      <c r="J39" s="85">
        <v>0</v>
      </c>
      <c r="K39" s="85">
        <v>0</v>
      </c>
      <c r="L39" s="153">
        <v>0</v>
      </c>
      <c r="M39" s="87">
        <f>(G39+H39+I39+J39+K39+L39)-D39</f>
        <v>-16</v>
      </c>
      <c r="N39" s="955" t="s">
        <v>13</v>
      </c>
      <c r="O39" s="298">
        <f>SUMIFS([1]تیر!$AF$2:$AF$805,[1]تیر!$O$2:$O$805,7605,[1]تیر!$D$2:$D$805,$F$39,[1]تیر!$AC$2:$AC$805,O3)</f>
        <v>12</v>
      </c>
      <c r="P39" s="188">
        <f>SUMIFS([1]تیر!$AF$2:$AF$805,[1]تیر!$O$2:$O$805,7605,[1]تیر!$D$2:$D$805,$F$39,[1]تیر!$AC$2:$AC$805,P3)</f>
        <v>12</v>
      </c>
      <c r="Q39" s="188">
        <f>SUMIFS([1]تیر!$AF$2:$AF$805,[1]تیر!$O$2:$O$805,7605,[1]تیر!$D$2:$D$805,$F$39,[1]تیر!$AC$2:$AC$805,Q3)</f>
        <v>12</v>
      </c>
      <c r="R39" s="188">
        <f>SUMIFS([1]تیر!$AF$2:$AF$805,[1]تیر!$O$2:$O$805,7605,[1]تیر!$D$2:$D$805,$F$39,[1]تیر!$AC$2:$AC$805,R3)</f>
        <v>0</v>
      </c>
      <c r="S39" s="188">
        <f>SUMIFS([1]تیر!$AF$2:$AF$805,[1]تیر!$O$2:$O$805,7605,[1]تیر!$D$2:$D$805,$F$39,[1]تیر!$AC$2:$AC$805,S3)</f>
        <v>12</v>
      </c>
      <c r="T39" s="188">
        <f>SUMIFS([1]مرداد!$AF$2:$AF$805,[1]مرداد!$O$2:$O$805,7605,[1]مرداد!$D$2:$D$805,F39,[1]مرداد!$AC$2:$AC$805,$T$3)</f>
        <v>8</v>
      </c>
      <c r="U39" s="128">
        <f>SUMIFS([1]تیر!$AF$2:$AF$805,[1]تیر!$O$2:$O$805,7605,[1]تیر!$D$2:$D$805,$F$39,[1]تیر!$AC$2:$AC$805,U3)</f>
        <v>0</v>
      </c>
    </row>
    <row r="40" spans="1:21" ht="42.75" customHeight="1" thickBot="1" x14ac:dyDescent="0.3">
      <c r="A40" s="942"/>
      <c r="B40" s="589"/>
      <c r="C40" s="657"/>
      <c r="D40" s="657"/>
      <c r="E40" s="997"/>
      <c r="F40" s="461"/>
      <c r="G40" s="89">
        <f t="shared" si="0"/>
        <v>0</v>
      </c>
      <c r="H40" s="286">
        <f t="shared" si="1"/>
        <v>0</v>
      </c>
      <c r="I40" s="462">
        <v>0</v>
      </c>
      <c r="J40" s="462">
        <v>0</v>
      </c>
      <c r="K40" s="89">
        <v>0</v>
      </c>
      <c r="L40" s="89">
        <v>0</v>
      </c>
      <c r="M40" s="94"/>
      <c r="N40" s="998"/>
      <c r="O40" s="584">
        <f>SUMIFS([1]اردیبهشت!$AD$2:$AD$805,[1]اردیبهشت!$N$2:$N$805,$C$39,[1]اردیبهشت!$D$2:$D$805,$F$40,[1]اردیبهشت!$AA$2:$AA$805,O3)</f>
        <v>0</v>
      </c>
      <c r="P40" s="191">
        <f>SUMIFS([1]اردیبهشت!$AD$2:$AD$600,[1]اردیبهشت!$N$2:$N$600,$C$39,[1]اردیبهشت!$D$2:$D$600,$F$40,[1]اردیبهشت!$AA$2:$AA$600,P3)</f>
        <v>0</v>
      </c>
      <c r="Q40" s="191">
        <f>SUMIFS([1]اردیبهشت!$AD$2:$AD$600,[1]اردیبهشت!$N$2:$N$600,$C$39,[1]اردیبهشت!$D$2:$D$600,$F$40,[1]اردیبهشت!$AA$2:$AA$600,Q3)</f>
        <v>0</v>
      </c>
      <c r="R40" s="191">
        <f>SUMIFS([1]اردیبهشت!$AD$2:$AD$600,[1]اردیبهشت!$N$2:$N$600,$C$39,[1]اردیبهشت!$D$2:$D$600,$F$40,[1]اردیبهشت!$AA$2:$AA$600,R3)</f>
        <v>0</v>
      </c>
      <c r="S40" s="191">
        <f>SUMIFS([1]اردیبهشت!$AD$2:$AD$600,[1]اردیبهشت!$N$2:$N$600,$C$39,[1]اردیبهشت!$D$2:$D$600,$F$40,[1]اردیبهشت!$AA$2:$AA$600,S3)</f>
        <v>0</v>
      </c>
      <c r="T40" s="191">
        <f>SUMIFS([1]اردیبهشت!$AD$2:$AD$600,[1]اردیبهشت!$N$2:$N$600,$C$39,[1]اردیبهشت!$D$2:$D$600,$F$40,[1]اردیبهشت!$AA$2:$AA$600,T3)</f>
        <v>0</v>
      </c>
      <c r="U40" s="115">
        <f>SUMIFS([1]اردیبهشت!$AD$2:$AD$600,[1]اردیبهشت!$N$2:$N$600,$C$39,[1]اردیبهشت!$D$2:$D$600,$F$40,[1]اردیبهشت!$AA$2:$AA$600,U3)</f>
        <v>0</v>
      </c>
    </row>
    <row r="41" spans="1:21" ht="39" customHeight="1" x14ac:dyDescent="0.25">
      <c r="A41" s="652"/>
      <c r="B41" s="307"/>
      <c r="C41" s="634"/>
      <c r="D41" s="634"/>
      <c r="E41" s="932" t="s">
        <v>15</v>
      </c>
      <c r="F41" s="84" t="s">
        <v>27</v>
      </c>
      <c r="G41" s="658">
        <f t="shared" si="0"/>
        <v>12</v>
      </c>
      <c r="H41" s="46">
        <f t="shared" si="1"/>
        <v>0</v>
      </c>
      <c r="I41" s="658">
        <v>0</v>
      </c>
      <c r="J41" s="658">
        <v>0</v>
      </c>
      <c r="K41" s="658">
        <v>0</v>
      </c>
      <c r="L41" s="658">
        <v>0</v>
      </c>
      <c r="M41" s="28"/>
      <c r="N41" s="945" t="s">
        <v>183</v>
      </c>
      <c r="O41" s="292">
        <f>SUMIFS([1]تیر!$AF$2:$AF$805,[1]تیر!$O$2:$O$805,7701,[1]تیر!$D$2:$D$805,$F$41,[1]تیر!$AC$2:$AC$805,O3)</f>
        <v>12</v>
      </c>
      <c r="P41" s="169">
        <f>SUMIFS([1]تیر!$AF$2:$AF$805,[1]تیر!$O$2:$O$805,7701,[1]تیر!$D$2:$D$805,$F$41,[1]تیر!$AC$2:$AC$805,P3)</f>
        <v>0</v>
      </c>
      <c r="Q41" s="169">
        <f>SUMIFS([1]تیر!$AF$2:$AF$805,[1]تیر!$O$2:$O$805,7701,[1]تیر!$D$2:$D$805,$F$41,[1]تیر!$AC$2:$AC$805,Q3)</f>
        <v>0</v>
      </c>
      <c r="R41" s="169">
        <f>SUMIFS([1]تیر!$AF$2:$AF$805,[1]تیر!$O$2:$O$805,7701,[1]تیر!$D$2:$D$805,$F$41,[1]تیر!$AC$2:$AC$805,R3)</f>
        <v>0</v>
      </c>
      <c r="S41" s="169">
        <f>SUMIFS([1]تیر!$AF$2:$AF$805,[1]تیر!$O$2:$O$805,7701,[1]تیر!$D$2:$D$805,$F$41,[1]تیر!$AC$2:$AC$805,S3)</f>
        <v>0</v>
      </c>
      <c r="T41" s="169">
        <f>SUMIFS([1]تیر!$AF$2:$AF$805,[1]تیر!$O$2:$O$805,7701,[1]تیر!$D$2:$D$805,$F$41,[1]تیر!$AC$2:$AC$805,T3)</f>
        <v>0</v>
      </c>
      <c r="U41" s="107">
        <f>SUMIFS([1]تیر!$AF$2:$AF$805,[1]تیر!$O$2:$O$805,7701,[1]تیر!$D$2:$D$805,$F$41,[1]تیر!$AC$2:$AC$805,U3)</f>
        <v>0</v>
      </c>
    </row>
    <row r="42" spans="1:21" ht="39" customHeight="1" thickBot="1" x14ac:dyDescent="0.3">
      <c r="A42" s="653">
        <v>19</v>
      </c>
      <c r="B42" s="308" t="s">
        <v>30</v>
      </c>
      <c r="C42" s="643">
        <v>7701</v>
      </c>
      <c r="D42" s="643">
        <v>62.5</v>
      </c>
      <c r="E42" s="933"/>
      <c r="F42" s="29"/>
      <c r="G42" s="3">
        <f t="shared" si="0"/>
        <v>0</v>
      </c>
      <c r="H42" s="47">
        <f t="shared" si="1"/>
        <v>0</v>
      </c>
      <c r="I42" s="3">
        <v>0</v>
      </c>
      <c r="J42" s="25">
        <v>0</v>
      </c>
      <c r="K42" s="25">
        <v>0</v>
      </c>
      <c r="L42" s="70">
        <v>0</v>
      </c>
      <c r="M42" s="4">
        <f>(J41+J42+J43+I43+I42+I41+H41+H42+H43+G43+G42+G41)-D42</f>
        <v>-50.5</v>
      </c>
      <c r="N42" s="956"/>
      <c r="O42" s="293">
        <f>SUMIFS([1]اردیبهشت!$AD$2:$AD$805,[1]اردیبهشت!$N$2:$N$805,$C$42,[1]اردیبهشت!$D$2:$D$805,$F$42,[1]اردیبهشت!$AA$2:$AA$805,O3)</f>
        <v>0</v>
      </c>
      <c r="P42" s="168">
        <f>SUMIFS([1]اردیبهشت!$AD$2:$AD$805,[1]اردیبهشت!$N$2:$N$805,$C$42,[1]اردیبهشت!$D$2:$D$805,$F$42,[1]اردیبهشت!$AA$2:$AA$805,P3)</f>
        <v>0</v>
      </c>
      <c r="Q42" s="168">
        <f>SUMIFS([1]اردیبهشت!$AD$2:$AD$805,[1]اردیبهشت!$N$2:$N$805,$C$42,[1]اردیبهشت!$D$2:$D$805,$F$42,[1]اردیبهشت!$AA$2:$AA$805,Q3)</f>
        <v>0</v>
      </c>
      <c r="R42" s="168">
        <f>SUMIFS([1]اردیبهشت!$AD$2:$AD$805,[1]اردیبهشت!$N$2:$N$805,$C$42,[1]اردیبهشت!$D$2:$D$805,$F$42,[1]اردیبهشت!$AA$2:$AA$805,R3)</f>
        <v>0</v>
      </c>
      <c r="S42" s="168">
        <f>SUMIFS([1]اردیبهشت!$AD$2:$AD$805,[1]اردیبهشت!$N$2:$N$805,$C$42,[1]اردیبهشت!$D$2:$D$805,$F$42,[1]اردیبهشت!$AA$2:$AA$805,S3)</f>
        <v>0</v>
      </c>
      <c r="T42" s="168">
        <f>SUMIFS([1]اردیبهشت!$AD$2:$AD$805,[1]اردیبهشت!$N$2:$N$805,$C$42,[1]اردیبهشت!$D$2:$D$805,$F$42,[1]اردیبهشت!$AA$2:$AA$805,T3)</f>
        <v>0</v>
      </c>
      <c r="U42" s="108">
        <f>SUMIFS([1]اردیبهشت!$AD$2:$AD$600,[1]اردیبهشت!$N$2:$N$600,$C$42,[1]اردیبهشت!$D$2:$D$600,$F$42,[1]اردیبهشت!$AA$2:$AA$600,U3)</f>
        <v>0</v>
      </c>
    </row>
    <row r="43" spans="1:21" ht="39" hidden="1" customHeight="1" thickBot="1" x14ac:dyDescent="0.3">
      <c r="A43" s="653"/>
      <c r="B43" s="309"/>
      <c r="C43" s="644"/>
      <c r="D43" s="644"/>
      <c r="E43" s="933"/>
      <c r="F43" s="57"/>
      <c r="G43" s="4">
        <f t="shared" si="0"/>
        <v>0</v>
      </c>
      <c r="H43" s="67">
        <f t="shared" si="1"/>
        <v>0</v>
      </c>
      <c r="I43" s="25">
        <v>0</v>
      </c>
      <c r="J43" s="25">
        <v>0</v>
      </c>
      <c r="K43" s="25">
        <v>0</v>
      </c>
      <c r="L43" s="25">
        <v>0</v>
      </c>
      <c r="M43" s="65"/>
      <c r="N43" s="950"/>
      <c r="O43" s="352">
        <f>SUMIFS([1]اردیبهشت!$AD$2:$AD$805,[1]اردیبهشت!$N$2:$N$805,$C$42,[1]اردیبهشت!$D$2:$D$805,$F$43,[1]اردیبهشت!$AA$2:$AA$805,O3)</f>
        <v>0</v>
      </c>
      <c r="P43" s="175">
        <f>SUMIFS([1]اردیبهشت!$AD$2:$AD$805,[1]اردیبهشت!$N$2:$N$805,$C$42,[1]اردیبهشت!$D$2:$D$805,$F$43,[1]اردیبهشت!$AA$2:$AA$805,P3)</f>
        <v>0</v>
      </c>
      <c r="Q43" s="175">
        <f>SUMIFS([1]اردیبهشت!$AD$2:$AD$805,[1]اردیبهشت!$N$2:$N$805,$C$42,[1]اردیبهشت!$D$2:$D$805,$F$43,[1]اردیبهشت!$AA$2:$AA$805,Q3)</f>
        <v>0</v>
      </c>
      <c r="R43" s="175">
        <f>SUMIFS([1]اردیبهشت!$AD$2:$AD$805,[1]اردیبهشت!$N$2:$N$805,$C$42,[1]اردیبهشت!$D$2:$D$805,$F$43,[1]اردیبهشت!$AA$2:$AA$805,R3)</f>
        <v>0</v>
      </c>
      <c r="S43" s="175">
        <f>SUMIFS([1]اردیبهشت!$AD$2:$AD$805,[1]اردیبهشت!$N$2:$N$805,$C$42,[1]اردیبهشت!$D$2:$D$805,$F$43,[1]اردیبهشت!$AA$2:$AA$805,S3)</f>
        <v>0</v>
      </c>
      <c r="T43" s="175">
        <f>SUMIFS([1]اردیبهشت!$AD$2:$AD$805,[1]اردیبهشت!$N$2:$N$805,$C$42,[1]اردیبهشت!$D$2:$D$805,$F$43,[1]اردیبهشت!$AA$2:$AA$805,T3)</f>
        <v>0</v>
      </c>
      <c r="U43" s="114">
        <f>SUMIFS([1]اردیبهشت!$AD$2:$AD$600,[1]اردیبهشت!$N$2:$N$600,$C$42,[1]اردیبهشت!$D$2:$D$600,$F$43,[1]اردیبهشت!$AA$2:$AA$600,U3)</f>
        <v>0</v>
      </c>
    </row>
    <row r="44" spans="1:21" ht="39" customHeight="1" thickBot="1" x14ac:dyDescent="0.3">
      <c r="A44" s="45">
        <v>20</v>
      </c>
      <c r="B44" s="12" t="s">
        <v>63</v>
      </c>
      <c r="C44" s="13">
        <v>8001</v>
      </c>
      <c r="D44" s="13">
        <v>62.5</v>
      </c>
      <c r="E44" s="13" t="s">
        <v>15</v>
      </c>
      <c r="F44" s="31" t="s">
        <v>54</v>
      </c>
      <c r="G44" s="14">
        <f t="shared" si="0"/>
        <v>16.833333333333332</v>
      </c>
      <c r="H44" s="48">
        <f t="shared" si="1"/>
        <v>0</v>
      </c>
      <c r="I44" s="14">
        <v>0</v>
      </c>
      <c r="J44" s="14">
        <v>0</v>
      </c>
      <c r="K44" s="14">
        <v>0</v>
      </c>
      <c r="L44" s="14">
        <v>0</v>
      </c>
      <c r="M44" s="14">
        <f>SUM(G44:J44)-62</f>
        <v>-45.166666666666671</v>
      </c>
      <c r="N44" s="18" t="s">
        <v>31</v>
      </c>
      <c r="O44" s="297">
        <f>SUMIFS([1]تیر!$AF$2:$AF$805,[1]تیر!$O$2:$O$805,8001,[1]تیر!$D$2:$D$805,$F$44,[1]تیر!$AC$2:$AC$805,O3)</f>
        <v>2</v>
      </c>
      <c r="P44" s="182">
        <f>SUMIFS([1]تیر!$AF$2:$AF$805,[1]تیر!$O$2:$O$805,8001,[1]تیر!$D$2:$D$805,$F$44,[1]تیر!$AC$2:$AC$805,P3)</f>
        <v>0</v>
      </c>
      <c r="Q44" s="182">
        <f>SUMIFS([1]تیر!$AF$2:$AF$805,[1]تیر!$O$2:$O$805,8001,[1]تیر!$D$2:$D$805,$F$44,[1]تیر!$AC$2:$AC$805,Q3)</f>
        <v>0</v>
      </c>
      <c r="R44" s="182">
        <f>SUMIFS([1]تیر!$AF$2:$AF$805,[1]تیر!$O$2:$O$805,8001,[1]تیر!$D$2:$D$805,"*",[1]تیر!$AC$2:$AC$805,R3)</f>
        <v>7.5</v>
      </c>
      <c r="S44" s="182">
        <f>SUMIFS([1]تیر!$AF$2:$AF$805,[1]تیر!$O$2:$O$805,8001,[1]تیر!$D$2:$D$805,$F$44,[1]تیر!$AC$2:$AC$805,S3)</f>
        <v>4</v>
      </c>
      <c r="T44" s="182">
        <f>SUMIFS([1]مرداد!$AF$2:$AF$805,[1]مرداد!$O$2:$O$805,8001,[1]مرداد!$D$2:$D$805,F44,[1]مرداد!$AC$2:$AC$805,$T$3)</f>
        <v>3.3333333333333335</v>
      </c>
      <c r="U44" s="156">
        <f>SUMIFS([1]تیر!$AF$2:$AF$805,[1]تیر!$O$2:$O$805,8001,[1]تیر!$D$2:$D$805,$F$44,[1]تیر!$AC$2:$AC$805,U3)</f>
        <v>0</v>
      </c>
    </row>
    <row r="45" spans="1:21" ht="38.25" customHeight="1" thickBot="1" x14ac:dyDescent="0.3">
      <c r="A45" s="45">
        <v>21</v>
      </c>
      <c r="B45" s="12" t="s">
        <v>32</v>
      </c>
      <c r="C45" s="13">
        <v>8002</v>
      </c>
      <c r="D45" s="13">
        <v>44</v>
      </c>
      <c r="E45" s="13" t="s">
        <v>15</v>
      </c>
      <c r="F45" s="31"/>
      <c r="G45" s="14">
        <f t="shared" si="0"/>
        <v>0</v>
      </c>
      <c r="H45" s="48">
        <f t="shared" si="1"/>
        <v>0</v>
      </c>
      <c r="I45" s="14">
        <v>0</v>
      </c>
      <c r="J45" s="14">
        <v>0</v>
      </c>
      <c r="K45" s="14">
        <v>0</v>
      </c>
      <c r="L45" s="14">
        <v>0</v>
      </c>
      <c r="M45" s="14">
        <f>SUM(G45:L45)-(D45)</f>
        <v>-44</v>
      </c>
      <c r="N45" s="17" t="s">
        <v>40</v>
      </c>
      <c r="O45" s="536">
        <f>SUMIFS([1]تیر!$AF$2:$AF$805,[1]تیر!$O$2:$O$805,8002,[1]تیر!$D$2:$D$805,$F$45,[1]تیر!$AC$2:$AC$805,O3)</f>
        <v>0</v>
      </c>
      <c r="P45" s="186">
        <f>SUMIFS([1]تیر!$AF$2:$AF$805,[1]تیر!$O$2:$O$805,8002,[1]تیر!$D$2:$D$805,$F$45,[1]تیر!$AC$2:$AC$805,P3)</f>
        <v>0</v>
      </c>
      <c r="Q45" s="186">
        <f>SUMIFS([1]تیر!$AF$2:$AF$805,[1]تیر!$O$2:$O$805,8002,[1]تیر!$D$2:$D$805,$F$45,[1]تیر!$AC$2:$AC$805,Q3)</f>
        <v>0</v>
      </c>
      <c r="R45" s="186">
        <f>SUMIFS([1]تیر!$AF$2:$AF$805,[1]تیر!$O$2:$O$805,8002,[1]تیر!$D$2:$D$805,$F$45,[1]تیر!$AC$2:$AC$805,R3)</f>
        <v>0</v>
      </c>
      <c r="S45" s="186">
        <f>SUMIFS([1]تیر!$AF$2:$AF$805,[1]تیر!$O$2:$O$805,8002,[1]تیر!$D$2:$D$805,$F$45,[1]تیر!$AC$2:$AC$805,S3)</f>
        <v>0</v>
      </c>
      <c r="T45" s="186">
        <f>SUMIFS([1]تیر!$AF$2:$AF$805,[1]تیر!$O$2:$O$805,8002,[1]تیر!$D$2:$D$805,$F$45,[1]تیر!$AC$2:$AC$805,T3)</f>
        <v>0</v>
      </c>
      <c r="U45" s="118">
        <f>SUMIFS([1]تیر!$AF$2:$AF$805,[1]تیر!$O$2:$O$805,8002,[1]تیر!$D$2:$D$805,$F$45,[1]تیر!$AC$2:$AC$805,U3)</f>
        <v>0</v>
      </c>
    </row>
    <row r="46" spans="1:21" ht="36" customHeight="1" x14ac:dyDescent="0.25">
      <c r="A46" s="957">
        <v>22</v>
      </c>
      <c r="B46" s="974" t="s">
        <v>33</v>
      </c>
      <c r="C46" s="943" t="s">
        <v>33</v>
      </c>
      <c r="D46" s="932">
        <v>62.5</v>
      </c>
      <c r="E46" s="1002">
        <f>G46+G47+G48+G49</f>
        <v>89.833333333333343</v>
      </c>
      <c r="F46" s="32" t="s">
        <v>16</v>
      </c>
      <c r="G46" s="658">
        <f t="shared" si="0"/>
        <v>35</v>
      </c>
      <c r="H46" s="46">
        <f t="shared" si="1"/>
        <v>0</v>
      </c>
      <c r="I46" s="658">
        <v>0</v>
      </c>
      <c r="J46" s="658">
        <v>0</v>
      </c>
      <c r="K46" s="658">
        <v>0</v>
      </c>
      <c r="L46" s="658">
        <v>0</v>
      </c>
      <c r="M46" s="658">
        <f>(SUM(G46:L46))-D46</f>
        <v>-27.5</v>
      </c>
      <c r="N46" s="33"/>
      <c r="O46" s="292">
        <f>SUMIFS([1]تیر!$AF$2:$AF$805,[1]تیر!$O$2:$O$805,"مونتاژ",[1]تیر!$D$2:$D$805,$F$46,[1]تیر!$AC$2:$AC$805,O3)</f>
        <v>10</v>
      </c>
      <c r="P46" s="169">
        <f>SUMIFS([1]تیر!$AF$2:$AF$805,[1]تیر!$O$2:$O$805,"مونتاژ",[1]تیر!$D$2:$D$805,$F$46,[1]تیر!$AC$2:$AC$805,P3)</f>
        <v>8.5</v>
      </c>
      <c r="Q46" s="169">
        <f>SUMIFS([1]تیر!$AF$2:$AF$805,[1]تیر!$O$2:$O$805,"مونتاژ",[1]تیر!$D$2:$D$805,$F$46,[1]تیر!$AC$2:$AC$805,Q3)</f>
        <v>6</v>
      </c>
      <c r="R46" s="169">
        <f>SUMIFS([1]تیر!$AF$2:$AF$805,[1]تیر!$O$2:$O$805,"مونتاژ",[1]تیر!$D$2:$D$805,$F$46,[1]تیر!$AC$2:$AC$805,R3)</f>
        <v>1</v>
      </c>
      <c r="S46" s="169">
        <f>SUMIFS([1]تیر!$AF$2:$AF$805,[1]تیر!$O$2:$O$805,"مونتاژ",[1]تیر!$D$2:$D$805,$F$46,[1]تیر!$AC$2:$AC$805,S3)</f>
        <v>6</v>
      </c>
      <c r="T46" s="169">
        <f>SUMIFS([1]مرداد!$AF$2:$AF$805,[1]مرداد!$O$2:$O$805,C46,[1]مرداد!$D$2:$D$805,F46,[1]مرداد!$AC$2:$AC$805,$T$3)</f>
        <v>3.5</v>
      </c>
      <c r="U46" s="107">
        <f>SUMIFS([1]تیر!$AF$2:$AF$805,[1]تیر!$O$2:$O$805,"مونتاژ",[1]تیر!$D$2:$D$805,$F$46,[1]تیر!$AC$2:$AC$805,U3)</f>
        <v>0</v>
      </c>
    </row>
    <row r="47" spans="1:21" ht="36" customHeight="1" x14ac:dyDescent="0.25">
      <c r="A47" s="958"/>
      <c r="B47" s="975"/>
      <c r="C47" s="965"/>
      <c r="D47" s="933"/>
      <c r="E47" s="965"/>
      <c r="F47" s="29" t="s">
        <v>17</v>
      </c>
      <c r="G47" s="3">
        <f>SUM(O47:T47)</f>
        <v>2.5</v>
      </c>
      <c r="H47" s="47">
        <f t="shared" si="1"/>
        <v>0</v>
      </c>
      <c r="I47" s="3">
        <v>0</v>
      </c>
      <c r="J47" s="3">
        <v>0</v>
      </c>
      <c r="K47" s="3">
        <v>0</v>
      </c>
      <c r="L47" s="3">
        <v>0</v>
      </c>
      <c r="M47" s="3">
        <f>(SUM(G47:L47))-D46</f>
        <v>-60</v>
      </c>
      <c r="N47" s="58"/>
      <c r="O47" s="293">
        <f>SUMIFS([1]تیر!$AF$2:$AF$805,[1]تیر!$O$2:$O$805,"مونتاژ",[1]تیر!$D$2:$D$805,$F$47,[1]تیر!$AC$2:$AC$805,O3)</f>
        <v>0</v>
      </c>
      <c r="P47" s="168">
        <f>SUMIFS([1]تیر!$AF$2:$AF$805,[1]تیر!$O$2:$O$805,"مونتاژ",[1]تیر!$D$2:$D$805,$F$47,[1]تیر!$AC$2:$AC$805,P3)</f>
        <v>1</v>
      </c>
      <c r="Q47" s="168">
        <f>SUMIFS([1]تیر!$AF$2:$AF$805,[1]تیر!$O$2:$O$805,"مونتاژ",[1]تیر!$D$2:$D$805,$F$47,[1]تیر!$AC$2:$AC$805,Q3)</f>
        <v>0</v>
      </c>
      <c r="R47" s="168">
        <f>SUMIFS([1]تیر!$AF$2:$AF$805,[1]تیر!$O$2:$O$805,"مونتاژ",[1]تیر!$D$2:$D$805,$F$47,[1]تیر!$AC$2:$AC$805,R3)</f>
        <v>0</v>
      </c>
      <c r="S47" s="168">
        <f>SUMIFS([1]تیر!$AF$2:$AF$805,[1]تیر!$O$2:$O$805,"مونتاژ",[1]تیر!$D$2:$D$805,$F$47,[1]تیر!$AC$2:$AC$805,S3)</f>
        <v>1.5</v>
      </c>
      <c r="T47" s="168">
        <f>SUMIFS([1]مرداد!$AF$2:$AF$805,[1]مرداد!$O$2:$O$805,C46,[1]مرداد!$D$2:$D$805,F47,[1]مرداد!$AC$2:$AC$805,$T$3)</f>
        <v>0</v>
      </c>
      <c r="U47" s="108">
        <f>SUMIFS([1]تیر!$AF$2:$AF$805,[1]تیر!$O$2:$O$805,"مونتاژ",[1]تیر!$D$2:$D$805,$F$47,[1]تیر!$AC$2:$AC$805,U3)</f>
        <v>0</v>
      </c>
    </row>
    <row r="48" spans="1:21" ht="36" customHeight="1" x14ac:dyDescent="0.25">
      <c r="A48" s="959"/>
      <c r="B48" s="975"/>
      <c r="C48" s="966"/>
      <c r="D48" s="933"/>
      <c r="E48" s="966"/>
      <c r="F48" s="29" t="s">
        <v>54</v>
      </c>
      <c r="G48" s="3">
        <f t="shared" si="0"/>
        <v>34.333333333333336</v>
      </c>
      <c r="H48" s="47">
        <f t="shared" si="1"/>
        <v>0</v>
      </c>
      <c r="I48" s="3">
        <v>0</v>
      </c>
      <c r="J48" s="3">
        <v>0</v>
      </c>
      <c r="K48" s="3">
        <v>0</v>
      </c>
      <c r="L48" s="3">
        <v>0</v>
      </c>
      <c r="M48" s="3">
        <f>(SUM(G48:L48))-62</f>
        <v>-27.666666666666664</v>
      </c>
      <c r="N48" s="62"/>
      <c r="O48" s="293">
        <f>SUMIFS([1]تیر!$AF$2:$AF$805,[1]تیر!$O$2:$O$805,"مونتاژ",[1]تیر!$D$2:$D$805,$F$48,[1]تیر!$AC$2:$AC$805,O3)</f>
        <v>9</v>
      </c>
      <c r="P48" s="168">
        <f>SUMIFS([1]تیر!$AF$2:$AF$805,[1]تیر!$O$2:$O$805,"مونتاژ",[1]تیر!$D$2:$D$805,$F$48,[1]تیر!$AC$2:$AC$805,P3)</f>
        <v>6</v>
      </c>
      <c r="Q48" s="168">
        <f>SUMIFS([1]تیر!$AF$2:$AF$805,[1]تیر!$O$2:$O$805,"مونتاژ",[1]تیر!$D$2:$D$805,$F$48,[1]تیر!$AC$2:$AC$805,Q3)</f>
        <v>8</v>
      </c>
      <c r="R48" s="168">
        <f>SUMIFS([1]تیر!$AF$2:$AF$805,[1]تیر!$O$2:$O$805,"مونتاژ",[1]تیر!$D$2:$D$805,$F$48,[1]تیر!$AC$2:$AC$805,R3)</f>
        <v>2</v>
      </c>
      <c r="S48" s="168">
        <f>SUMIFS([1]تیر!$AF$2:$AF$805,[1]تیر!$O$2:$O$805,"مونتاژ",[1]تیر!$D$2:$D$805,$F$48,[1]تیر!$AC$2:$AC$805,S3)</f>
        <v>6</v>
      </c>
      <c r="T48" s="168">
        <f>SUMIFS([1]مرداد!$AF$2:$AF$805,[1]مرداد!$O$2:$O$805,C46,[1]مرداد!$D$2:$D$805,F48,[1]مرداد!$AC$2:$AC$805,$T$3)</f>
        <v>3.3333333333333335</v>
      </c>
      <c r="U48" s="108">
        <f>SUMIFS([1]تیر!$AF$2:$AF$805,[1]تیر!$O$2:$O$805,"مونتاژ",[1]تیر!$D$2:$D$805,$F$48,[1]تیر!$AC$2:$AC$805,U3)</f>
        <v>0</v>
      </c>
    </row>
    <row r="49" spans="1:21" ht="36" customHeight="1" thickBot="1" x14ac:dyDescent="0.3">
      <c r="A49" s="960"/>
      <c r="B49" s="975"/>
      <c r="C49" s="944"/>
      <c r="D49" s="934"/>
      <c r="E49" s="944"/>
      <c r="F49" s="30" t="s">
        <v>55</v>
      </c>
      <c r="G49" s="6">
        <f t="shared" si="0"/>
        <v>18</v>
      </c>
      <c r="H49" s="64">
        <f t="shared" si="1"/>
        <v>0</v>
      </c>
      <c r="I49" s="7">
        <v>0</v>
      </c>
      <c r="J49" s="7">
        <v>0</v>
      </c>
      <c r="K49" s="7">
        <v>0</v>
      </c>
      <c r="L49" s="7">
        <v>0</v>
      </c>
      <c r="M49" s="7">
        <f>SUM(G49:J49)-62</f>
        <v>-44</v>
      </c>
      <c r="N49" s="34"/>
      <c r="O49" s="352">
        <f>SUMIFS([1]تیر!$AF$2:$AF$805,[1]تیر!$O$2:$O$805,"مونتاژ",[1]تیر!$D$2:$D$805,$F$49,[1]تیر!$AC$2:$AC$805,O3)</f>
        <v>7.5</v>
      </c>
      <c r="P49" s="175">
        <f>SUMIFS([1]تیر!$AF$2:$AF$805,[1]تیر!$O$2:$O$805,"مونتاژ",[1]تیر!$D$2:$D$805,$F$49,[1]تیر!$AC$2:$AC$805,P3)</f>
        <v>0</v>
      </c>
      <c r="Q49" s="175">
        <f>SUMIFS([1]تیر!$AF$2:$AF$805,[1]تیر!$O$2:$O$805,"مونتاژ",[1]تیر!$D$2:$D$805,$F$49,[1]تیر!$AC$2:$AC$805,Q3)</f>
        <v>7</v>
      </c>
      <c r="R49" s="175">
        <f>SUMIFS([1]تیر!$AF$2:$AF$805,[1]تیر!$O$2:$O$805,"مونتاژ",[1]تیر!$D$2:$D$805,$F$49,[1]تیر!$AC$2:$AC$805,R3)</f>
        <v>0</v>
      </c>
      <c r="S49" s="175">
        <f>SUMIFS([1]تیر!$AF$2:$AF$805,[1]تیر!$O$2:$O$805,"مونتاژ",[1]تیر!$D$2:$D$805,$F$49,[1]تیر!$AC$2:$AC$805,S3)</f>
        <v>0</v>
      </c>
      <c r="T49" s="175">
        <f>SUMIFS([1]مرداد!$AF$2:$AF$805,[1]مرداد!$O$2:$O$805,C46,[1]مرداد!$D$2:$D$805,F49,[1]مرداد!$AC$2:$AC$805,$T$3)</f>
        <v>3.5</v>
      </c>
      <c r="U49" s="114">
        <f>SUMIFS([1]تیر!$AF$2:$AF$805,[1]تیر!$O$2:$O$805,"مونتاژ",[1]تیر!$D$2:$D$805,$F$49,[1]تیر!$AC$2:$AC$805,U3)</f>
        <v>0</v>
      </c>
    </row>
    <row r="50" spans="1:21" ht="36" customHeight="1" x14ac:dyDescent="0.25">
      <c r="A50" s="967">
        <v>23</v>
      </c>
      <c r="B50" s="975"/>
      <c r="C50" s="943" t="s">
        <v>34</v>
      </c>
      <c r="D50" s="932">
        <v>62.5</v>
      </c>
      <c r="E50" s="932"/>
      <c r="F50" s="32" t="s">
        <v>16</v>
      </c>
      <c r="G50" s="658">
        <f t="shared" si="0"/>
        <v>8.5</v>
      </c>
      <c r="H50" s="46">
        <f t="shared" si="1"/>
        <v>0</v>
      </c>
      <c r="I50" s="658">
        <v>0</v>
      </c>
      <c r="J50" s="658">
        <v>0</v>
      </c>
      <c r="K50" s="658">
        <v>0</v>
      </c>
      <c r="L50" s="658">
        <v>0</v>
      </c>
      <c r="M50" s="658">
        <f>SUM(G50:L50)-62</f>
        <v>-53.5</v>
      </c>
      <c r="N50" s="56"/>
      <c r="O50" s="292">
        <f>SUMIFS([1]تیر!$AF$2:$AF$805,[1]تیر!$O$2:$O$805,"دمونتاژ",[1]تیر!$D$2:$D$805,$F$50,[1]تیر!$AC$2:$AC$805,O3)</f>
        <v>0</v>
      </c>
      <c r="P50" s="169">
        <f>SUMIFS([1]تیر!$AF$2:$AF$805,[1]تیر!$O$2:$O$805,"دمونتاژ",[1]تیر!$D$2:$D$805,$F$50,[1]تیر!$AC$2:$AC$805,P3)</f>
        <v>0</v>
      </c>
      <c r="Q50" s="169">
        <f>SUMIFS([1]تیر!$AF$2:$AF$805,[1]تیر!$O$2:$O$805,"دمونتاژ",[1]تیر!$D$2:$D$805,$F$50,[1]تیر!$AC$2:$AC$805,Q3)</f>
        <v>0</v>
      </c>
      <c r="R50" s="169">
        <f>SUMIFS([1]تیر!$AF$2:$AF$805,[1]تیر!$O$2:$O$805,"دمونتاژ",[1]تیر!$D$2:$D$805,$F$50,[1]تیر!$AC$2:$AC$805,R3)</f>
        <v>6</v>
      </c>
      <c r="S50" s="169">
        <f>SUMIFS([1]تیر!$AF$2:$AF$805,[1]تیر!$O$2:$O$805,"دمونتاژ",[1]تیر!$D$2:$D$805,$F$50,[1]تیر!$AC$2:$AC$805,S3)</f>
        <v>0</v>
      </c>
      <c r="T50" s="169">
        <f>SUMIFS([1]مرداد!$AF$2:$AF$805,[1]مرداد!$O$2:$O$805,C50,[1]مرداد!$D$2:$D$805,F50,[1]مرداد!$AC$2:$AC$805,$T$3)</f>
        <v>2.5</v>
      </c>
      <c r="U50" s="107">
        <f>SUMIFS([1]تیر!$AF$2:$AF$805,[1]تیر!$O$2:$O$805,"دمونتاژ",[1]تیر!$D$2:$D$805,$F$50,[1]تیر!$AC$2:$AC$805,U3)</f>
        <v>0</v>
      </c>
    </row>
    <row r="51" spans="1:21" ht="36" customHeight="1" x14ac:dyDescent="0.25">
      <c r="A51" s="967"/>
      <c r="B51" s="975"/>
      <c r="C51" s="965"/>
      <c r="D51" s="933"/>
      <c r="E51" s="933"/>
      <c r="F51" s="29" t="s">
        <v>55</v>
      </c>
      <c r="G51" s="3">
        <f t="shared" si="0"/>
        <v>0</v>
      </c>
      <c r="H51" s="47">
        <f t="shared" si="1"/>
        <v>0</v>
      </c>
      <c r="I51" s="3">
        <v>0</v>
      </c>
      <c r="J51" s="3">
        <v>0</v>
      </c>
      <c r="K51" s="3">
        <v>0</v>
      </c>
      <c r="L51" s="3">
        <v>0</v>
      </c>
      <c r="M51" s="3">
        <f>SUM(G51:L51)-62</f>
        <v>-62</v>
      </c>
      <c r="N51" s="62"/>
      <c r="O51" s="293">
        <f>SUMIFS([1]تیر!$AF$2:$AF$805,[1]تیر!$O$2:$O$805,"دمونتاژ",[1]تیر!$D$2:$D$805,$F$51,[1]تیر!$AC$2:$AC$805,O3)</f>
        <v>0</v>
      </c>
      <c r="P51" s="168">
        <f>SUMIFS([1]تیر!$AF$2:$AF$805,[1]تیر!$O$2:$O$805,"دمونتاژ",[1]تیر!$D$2:$D$805,$F$51,[1]تیر!$AC$2:$AC$805,P3)</f>
        <v>0</v>
      </c>
      <c r="Q51" s="168">
        <f>SUMIFS([1]تیر!$AF$2:$AF$805,[1]تیر!$O$2:$O$805,"دمونتاژ",[1]تیر!$D$2:$D$805,$F$51,[1]تیر!$AC$2:$AC$805,Q3)</f>
        <v>0</v>
      </c>
      <c r="R51" s="168">
        <f>SUMIFS([1]تیر!$AF$2:$AF$805,[1]تیر!$O$2:$O$805,"دمونتاژ",[1]تیر!$D$2:$D$805,$F$51,[1]تیر!$AC$2:$AC$805,R3)</f>
        <v>0</v>
      </c>
      <c r="S51" s="168">
        <f>SUMIFS([1]تیر!$AF$2:$AF$805,[1]تیر!$O$2:$O$805,"دمونتاژ",[1]تیر!$D$2:$D$805,$F$51,[1]تیر!$AC$2:$AC$805,S3)</f>
        <v>0</v>
      </c>
      <c r="T51" s="168">
        <f>SUMIFS([1]تیر!$AF$2:$AF$805,[1]تیر!$O$2:$O$805,"دمونتاژ",[1]تیر!$D$2:$D$805,$F$51,[1]تیر!$AC$2:$AC$805,T3)</f>
        <v>0</v>
      </c>
      <c r="U51" s="108">
        <f>SUMIFS([1]تیر!$AF$2:$AF$805,[1]تیر!$O$2:$O$805,"دمونتاژ",[1]تیر!$D$2:$D$805,$F$51,[1]تیر!$AC$2:$AC$805,U3)</f>
        <v>0</v>
      </c>
    </row>
    <row r="52" spans="1:21" ht="36" customHeight="1" x14ac:dyDescent="0.25">
      <c r="A52" s="967"/>
      <c r="B52" s="975"/>
      <c r="C52" s="965"/>
      <c r="D52" s="933"/>
      <c r="E52" s="933"/>
      <c r="F52" s="29" t="s">
        <v>54</v>
      </c>
      <c r="G52" s="3">
        <f t="shared" si="0"/>
        <v>9</v>
      </c>
      <c r="H52" s="47">
        <f t="shared" si="1"/>
        <v>0</v>
      </c>
      <c r="I52" s="3">
        <v>0</v>
      </c>
      <c r="J52" s="3">
        <v>0</v>
      </c>
      <c r="K52" s="3">
        <v>0</v>
      </c>
      <c r="L52" s="3">
        <v>0</v>
      </c>
      <c r="M52" s="3">
        <f>SUM(G52:L52)-62</f>
        <v>-53</v>
      </c>
      <c r="N52" s="62"/>
      <c r="O52" s="293">
        <f>SUMIFS([1]تیر!$AF$2:$AF$805,[1]تیر!$O$2:$O$805,"دمونتاژ",[1]تیر!$D$2:$D$805,$F$52,[1]تیر!$AC$2:$AC$805,O3)</f>
        <v>0</v>
      </c>
      <c r="P52" s="168">
        <f>SUMIFS([1]تیر!$AF$2:$AF$805,[1]تیر!$O$2:$O$805,"دمونتاژ",[1]تیر!$D$2:$D$805,$F$52,[1]تیر!$AC$2:$AC$805,P3)</f>
        <v>3</v>
      </c>
      <c r="Q52" s="168">
        <f>SUMIFS([1]تیر!$AF$2:$AF$805,[1]تیر!$O$2:$O$805,"دمونتاژ",[1]تیر!$D$2:$D$805,$F$52,[1]تیر!$AC$2:$AC$805,Q3)</f>
        <v>0</v>
      </c>
      <c r="R52" s="168">
        <f>SUMIFS([1]تیر!$AF$2:$AF$805,[1]تیر!$O$2:$O$805,"دمونتاژ",[1]تیر!$D$2:$D$805,$F$52,[1]تیر!$AC$2:$AC$805,R3)</f>
        <v>6</v>
      </c>
      <c r="S52" s="168">
        <f>SUMIFS([1]تیر!$AF$2:$AF$805,[1]تیر!$O$2:$O$805,"دمونتاژ",[1]تیر!$D$2:$D$805,$F$52,[1]تیر!$AC$2:$AC$805,S3)</f>
        <v>0</v>
      </c>
      <c r="T52" s="168">
        <f>SUMIFS([1]تیر!$AF$2:$AF$805,[1]تیر!$O$2:$O$805,"دمونتاژ",[1]تیر!$D$2:$D$805,$F$52,[1]تیر!$AC$2:$AC$805,T3)</f>
        <v>0</v>
      </c>
      <c r="U52" s="108">
        <f>SUMIFS([1]تیر!$AF$2:$AF$805,[1]تیر!$O$2:$O$805,"دمونتاژ",[1]تیر!$D$2:$D$805,$F$52,[1]تیر!$AC$2:$AC$805,U3)</f>
        <v>0</v>
      </c>
    </row>
    <row r="53" spans="1:21" ht="36" customHeight="1" thickBot="1" x14ac:dyDescent="0.3">
      <c r="A53" s="967"/>
      <c r="B53" s="976"/>
      <c r="C53" s="966"/>
      <c r="D53" s="934"/>
      <c r="E53" s="934"/>
      <c r="F53" s="644"/>
      <c r="G53" s="4">
        <f t="shared" si="0"/>
        <v>0</v>
      </c>
      <c r="H53" s="49">
        <f t="shared" si="1"/>
        <v>0</v>
      </c>
      <c r="I53" s="25">
        <v>0</v>
      </c>
      <c r="J53" s="25">
        <v>0</v>
      </c>
      <c r="K53" s="25">
        <v>0</v>
      </c>
      <c r="L53" s="25">
        <v>0</v>
      </c>
      <c r="M53" s="25">
        <f>SUM(G53:L53)-62</f>
        <v>-62</v>
      </c>
      <c r="N53" s="58"/>
      <c r="O53" s="294">
        <f>SUMIFS([1]تیر!$AF$2:$AF$805,[1]تیر!$O$2:$O$805,"دمونتاژ",[1]تیر!$D$2:$D$805,$F$53,[1]تیر!$AC$2:$AC$805,O3)</f>
        <v>0</v>
      </c>
      <c r="P53" s="172">
        <f>SUMIFS([1]تیر!$AF$2:$AF$805,[1]تیر!$O$2:$O$805,"دمونتاژ",[1]تیر!$D$2:$D$805,$F$53,[1]تیر!$AC$2:$AC$805,P3)</f>
        <v>0</v>
      </c>
      <c r="Q53" s="172">
        <f>SUMIFS([1]تیر!$AF$2:$AF$805,[1]تیر!$O$2:$O$805,"دمونتاژ",[1]تیر!$D$2:$D$805,$F$53,[1]تیر!$AC$2:$AC$805,Q3)</f>
        <v>0</v>
      </c>
      <c r="R53" s="172">
        <f>SUMIFS([1]تیر!$AF$2:$AF$805,[1]تیر!$O$2:$O$805,"دمونتاژ",[1]تیر!$D$2:$D$805,$F$53,[1]تیر!$AC$2:$AC$805,R3)</f>
        <v>0</v>
      </c>
      <c r="S53" s="172">
        <f>SUMIFS([1]تیر!$AF$2:$AF$805,[1]تیر!$O$2:$O$805,"دمونتاژ",[1]تیر!$D$2:$D$805,$F$53,[1]تیر!$AC$2:$AC$805,S3)</f>
        <v>0</v>
      </c>
      <c r="T53" s="172">
        <f>SUMIFS([1]تیر!$AF$2:$AF$805,[1]تیر!$O$2:$O$805,"دمونتاژ",[1]تیر!$D$2:$D$805,$F$53,[1]تیر!$AC$2:$AC$805,T3)</f>
        <v>0</v>
      </c>
      <c r="U53" s="109">
        <f>SUMIFS([1]تیر!$AF$2:$AF$805,[1]تیر!$O$2:$O$805,"دمونتاژ",[1]تیر!$D$2:$D$805,$F$53,[1]تیر!$AC$2:$AC$805,U3)</f>
        <v>0</v>
      </c>
    </row>
    <row r="54" spans="1:21" ht="48.75" customHeight="1" thickBot="1" x14ac:dyDescent="0.3">
      <c r="A54" s="951" t="s">
        <v>49</v>
      </c>
      <c r="B54" s="952"/>
      <c r="C54" s="952"/>
      <c r="D54" s="952"/>
      <c r="E54" s="952"/>
      <c r="F54" s="953"/>
      <c r="G54" s="148">
        <f t="shared" ref="G54:L54" si="2">SUM(G4:G53)</f>
        <v>773.66666666666674</v>
      </c>
      <c r="H54" s="148">
        <f t="shared" si="2"/>
        <v>0</v>
      </c>
      <c r="I54" s="148">
        <f t="shared" si="2"/>
        <v>17</v>
      </c>
      <c r="J54" s="148">
        <f t="shared" si="2"/>
        <v>189</v>
      </c>
      <c r="K54" s="148">
        <f t="shared" si="2"/>
        <v>0</v>
      </c>
      <c r="L54" s="148">
        <f t="shared" si="2"/>
        <v>0</v>
      </c>
      <c r="M54" s="149">
        <f>SUMIFS(M4:M53,F4:F53,"*")</f>
        <v>-624</v>
      </c>
      <c r="N54" s="306"/>
      <c r="O54" s="302">
        <f>SUM(O4:O53)</f>
        <v>168.66666666666666</v>
      </c>
      <c r="P54" s="198">
        <f t="shared" ref="P54:U54" si="3">SUM(P4:P53)</f>
        <v>151</v>
      </c>
      <c r="Q54" s="198">
        <f t="shared" si="3"/>
        <v>126.83333333333333</v>
      </c>
      <c r="R54" s="198">
        <f t="shared" si="3"/>
        <v>110.5</v>
      </c>
      <c r="S54" s="198">
        <f t="shared" si="3"/>
        <v>126</v>
      </c>
      <c r="T54" s="198">
        <f t="shared" si="3"/>
        <v>90.666666666666657</v>
      </c>
      <c r="U54" s="150">
        <f t="shared" si="3"/>
        <v>0</v>
      </c>
    </row>
    <row r="55" spans="1:21" x14ac:dyDescent="0.25">
      <c r="G55" s="582"/>
    </row>
    <row r="56" spans="1:21" x14ac:dyDescent="0.25">
      <c r="G56" s="660"/>
    </row>
  </sheetData>
  <mergeCells count="45">
    <mergeCell ref="A12:A14"/>
    <mergeCell ref="B12:B14"/>
    <mergeCell ref="C12:C14"/>
    <mergeCell ref="D12:D14"/>
    <mergeCell ref="E12:E14"/>
    <mergeCell ref="A1:L2"/>
    <mergeCell ref="O1:U2"/>
    <mergeCell ref="E4:E6"/>
    <mergeCell ref="N4:N6"/>
    <mergeCell ref="E7:E9"/>
    <mergeCell ref="A33:A34"/>
    <mergeCell ref="E33:E34"/>
    <mergeCell ref="N33:N34"/>
    <mergeCell ref="E18:E20"/>
    <mergeCell ref="N18:N20"/>
    <mergeCell ref="E22:E24"/>
    <mergeCell ref="N22:N24"/>
    <mergeCell ref="E25:E27"/>
    <mergeCell ref="N25:N27"/>
    <mergeCell ref="E28:E30"/>
    <mergeCell ref="N28:N30"/>
    <mergeCell ref="A31:A32"/>
    <mergeCell ref="E31:E32"/>
    <mergeCell ref="N31:N32"/>
    <mergeCell ref="A35:A36"/>
    <mergeCell ref="E35:E36"/>
    <mergeCell ref="N35:N36"/>
    <mergeCell ref="A37:A38"/>
    <mergeCell ref="E37:E38"/>
    <mergeCell ref="N37:N38"/>
    <mergeCell ref="A54:F54"/>
    <mergeCell ref="A39:A40"/>
    <mergeCell ref="E39:E40"/>
    <mergeCell ref="N39:N40"/>
    <mergeCell ref="E41:E43"/>
    <mergeCell ref="N41:N43"/>
    <mergeCell ref="A46:A49"/>
    <mergeCell ref="B46:B53"/>
    <mergeCell ref="C46:C49"/>
    <mergeCell ref="D46:D49"/>
    <mergeCell ref="E46:E49"/>
    <mergeCell ref="A50:A53"/>
    <mergeCell ref="C50:C53"/>
    <mergeCell ref="D50:D53"/>
    <mergeCell ref="E50:E53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T5:T7 T12 T15:T16 T17:T19 T21 T23 T28 T31:U34 T35:U36 T39 T44 T46:T50 R44" formula="1"/>
    <ignoredError sqref="M5" formulaRange="1"/>
  </ignoredErrors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F8EC-2A8F-4E36-BDBA-C756191D3038}">
  <sheetPr>
    <pageSetUpPr fitToPage="1"/>
  </sheetPr>
  <dimension ref="A1:U61"/>
  <sheetViews>
    <sheetView rightToLeft="1" view="pageLayout" zoomScaleNormal="100" workbookViewId="0">
      <selection activeCell="N1" sqref="N1:V1048576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hidden="1" customWidth="1"/>
    <col min="15" max="20" width="6.42578125" style="52" hidden="1" customWidth="1"/>
    <col min="21" max="21" width="6.42578125" style="51" hidden="1" customWidth="1"/>
    <col min="22" max="22" width="0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19</v>
      </c>
      <c r="O2" s="926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291" t="s">
        <v>184</v>
      </c>
      <c r="P3" s="291" t="s">
        <v>185</v>
      </c>
      <c r="Q3" s="291" t="s">
        <v>186</v>
      </c>
      <c r="R3" s="291" t="s">
        <v>187</v>
      </c>
      <c r="S3" s="291" t="s">
        <v>188</v>
      </c>
      <c r="T3" s="291" t="s">
        <v>189</v>
      </c>
      <c r="U3" s="291" t="s">
        <v>190</v>
      </c>
    </row>
    <row r="4" spans="1:21" ht="33.75" customHeight="1" x14ac:dyDescent="0.25">
      <c r="A4" s="664"/>
      <c r="B4" s="682"/>
      <c r="C4" s="42"/>
      <c r="D4" s="688"/>
      <c r="E4" s="932" t="s">
        <v>15</v>
      </c>
      <c r="F4" s="669" t="s">
        <v>55</v>
      </c>
      <c r="G4" s="698">
        <f>SUM(O4:T4)</f>
        <v>45.5</v>
      </c>
      <c r="H4" s="46">
        <f>U4</f>
        <v>0</v>
      </c>
      <c r="I4" s="698">
        <v>0</v>
      </c>
      <c r="J4" s="698">
        <v>0</v>
      </c>
      <c r="K4" s="698">
        <v>0</v>
      </c>
      <c r="L4" s="698">
        <v>0</v>
      </c>
      <c r="M4" s="28"/>
      <c r="N4" s="945" t="s">
        <v>13</v>
      </c>
      <c r="O4" s="165">
        <f>SUMIFS([1]مرداد!$AF$2:$AF$805,[1]مرداد!$O$2:$O$805,7101,[1]مرداد!$D$2:$D$805,F4,[1]مرداد!$AC$2:$AC$805,$O$3)</f>
        <v>8</v>
      </c>
      <c r="P4" s="169">
        <f>SUMIFS([1]مرداد!$AF$2:$AF$805,[1]مرداد!$O$2:$O$805,7101,[1]مرداد!$D$2:$D$805,$F$4,[1]مرداد!$AC$2:$AC$805,P3)</f>
        <v>11</v>
      </c>
      <c r="Q4" s="169">
        <f>SUMIFS([1]مرداد!$AF$2:$AF$805,[1]مرداد!$O$2:$O$805,7101,[1]مرداد!$D$2:$D$805,$F$4,[1]مرداد!$AC$2:$AC$805,Q3)</f>
        <v>7.5</v>
      </c>
      <c r="R4" s="169">
        <f>SUMIFS([1]مرداد!$AF$2:$AF$805,[1]مرداد!$O$2:$O$805,7101,[1]مرداد!$D$2:$D$805,$F$4,[1]مرداد!$AC$2:$AC$805,R3)</f>
        <v>8</v>
      </c>
      <c r="S4" s="169">
        <f>SUMIFS([1]مرداد!$AF$2:$AF$805,[1]مرداد!$O$2:$O$805,7101,[1]مرداد!$D$2:$D$805,$F$4,[1]مرداد!$AC$2:$AC$805,S3)</f>
        <v>11</v>
      </c>
      <c r="T4" s="169">
        <f>SUMIFS([1]مرداد!$AF$2:$AF$805,[1]مرداد!$O$2:$O$805,7101,[1]مرداد!$D$2:$D$805,$F$4,[1]مرداد!$AC$2:$AC$805,T3)</f>
        <v>0</v>
      </c>
      <c r="U4" s="170">
        <f>SUMIFS([1]مرداد!$AF$2:$AF$805,[1]مرداد!$O$2:$O$805,7101,[1]مرداد!$D$2:$D$805,$F$4,[1]مرداد!$AC$2:$AC$805,U3)</f>
        <v>0</v>
      </c>
    </row>
    <row r="5" spans="1:21" ht="33.75" customHeight="1" x14ac:dyDescent="0.25">
      <c r="A5" s="665">
        <v>1</v>
      </c>
      <c r="B5" s="676" t="s">
        <v>14</v>
      </c>
      <c r="C5" s="674">
        <v>7101</v>
      </c>
      <c r="D5" s="689">
        <v>62.5</v>
      </c>
      <c r="E5" s="1003"/>
      <c r="F5" s="670"/>
      <c r="G5" s="3">
        <f t="shared" ref="G5:G54" si="0">SUM(O5:T5)</f>
        <v>0</v>
      </c>
      <c r="H5" s="47">
        <f t="shared" ref="H5:H54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-17</v>
      </c>
      <c r="N5" s="929"/>
      <c r="O5" s="166">
        <f>SUMIFS([1]مرداد!$AF$2:$AF$805,[1]مرداد!$O$2:$O$805,7101,[1]مرداد!$D$2:$D$805,$F$5,[1]مرداد!$AC$2:$AC$805,O3)</f>
        <v>0</v>
      </c>
      <c r="P5" s="168">
        <f>SUMIFS([1]مرداد!$AF$2:$AF$805,[1]مرداد!$O$2:$O$805,7101,[1]مرداد!$D$2:$D$805,$F$5,[1]مرداد!$AC$2:$AC$805,P3)</f>
        <v>0</v>
      </c>
      <c r="Q5" s="168">
        <f>SUMIFS([1]مرداد!$AF$2:$AF$805,[1]مرداد!$O$2:$O$805,7101,[1]مرداد!$D$2:$D$805,$F$5,[1]مرداد!$AC$2:$AC$805,Q3)</f>
        <v>0</v>
      </c>
      <c r="R5" s="168">
        <f>SUMIFS([1]مرداد!$AF$2:$AF$805,[1]مرداد!$O$2:$O$805,7101,[1]مرداد!$D$2:$D$805,$F$5,[1]مرداد!$AC$2:$AC$805,R3)</f>
        <v>0</v>
      </c>
      <c r="S5" s="168">
        <f>SUMIFS([1]مرداد!$AF$2:$AF$805,[1]مرداد!$O$2:$O$805,7101,[1]مرداد!$D$2:$D$805,$F$5,[1]مرداد!$AC$2:$AC$805,S3)</f>
        <v>0</v>
      </c>
      <c r="T5" s="168">
        <f>SUMIFS([1]مرداد!$AF$2:$AF$805,[1]مرداد!$O$2:$O$805,7101,[1]مرداد!$D$2:$D$805,$F$5,[1]مرداد!$AC$2:$AC$805,T3)</f>
        <v>0</v>
      </c>
      <c r="U5" s="424">
        <f>SUMIFS([1]مرداد!$AF$2:$AF$805,[1]مرداد!$O$2:$O$805,7101,[1]مرداد!$D$2:$D$805,$F$5,[1]مرداد!$AC$2:$AC$805,U3)</f>
        <v>0</v>
      </c>
    </row>
    <row r="6" spans="1:21" ht="33.75" customHeight="1" thickBot="1" x14ac:dyDescent="0.3">
      <c r="A6" s="666"/>
      <c r="B6" s="88"/>
      <c r="C6" s="43"/>
      <c r="D6" s="675"/>
      <c r="E6" s="934"/>
      <c r="F6" s="5"/>
      <c r="G6" s="6">
        <f t="shared" si="0"/>
        <v>0</v>
      </c>
      <c r="H6" s="64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171">
        <f>SUMIFS([1]مرداد!$AF$2:$AF$805,[1]مرداد!$O$2:$O$805,7101,[1]مرداد!$D$2:$D$805,$F$6,[1]مرداد!$AC$2:$AC$805,O3)</f>
        <v>0</v>
      </c>
      <c r="P6" s="172">
        <f>SUMIFS([1]مرداد!$AF$2:$AF$805,[1]مرداد!$O$2:$O$805,7101,[1]مرداد!$D$2:$D$805,$F$6,[1]مرداد!$AC$2:$AC$805,P3)</f>
        <v>0</v>
      </c>
      <c r="Q6" s="172">
        <f>SUMIFS([1]مرداد!$AF$2:$AF$805,[1]مرداد!$O$2:$O$805,7101,[1]مرداد!$D$2:$D$805,$F$6,[1]مرداد!$AC$2:$AC$805,Q3)</f>
        <v>0</v>
      </c>
      <c r="R6" s="172">
        <f>SUMIFS([1]مرداد!$AF$2:$AF$805,[1]مرداد!$O$2:$O$805,7101,[1]مرداد!$D$2:$D$805,$F$6,[1]مرداد!$AC$2:$AC$805,R3)</f>
        <v>0</v>
      </c>
      <c r="S6" s="172">
        <f>SUMIFS([1]مرداد!$AF$2:$AF$805,[1]مرداد!$O$2:$O$805,7101,[1]مرداد!$D$2:$D$805,$F$6,[1]مرداد!$AC$2:$AC$805,S3)</f>
        <v>0</v>
      </c>
      <c r="T6" s="172">
        <f>SUMIFS([1]مرداد!$AF$2:$AF$805,[1]مرداد!$O$2:$O$805,7101,[1]مرداد!$D$2:$D$805,$F$6,[1]مرداد!$AC$2:$AC$805,T3)</f>
        <v>0</v>
      </c>
      <c r="U6" s="741">
        <f>SUMIFS([1]مرداد!$AF$2:$AF$805,[1]مرداد!$O$2:$O$805,7101,[1]مرداد!$D$2:$D$805,$F$6,[1]مرداد!$AC$2:$AC$805,U3)</f>
        <v>0</v>
      </c>
    </row>
    <row r="7" spans="1:21" ht="33.75" customHeight="1" x14ac:dyDescent="0.25">
      <c r="A7" s="686"/>
      <c r="B7" s="682"/>
      <c r="C7" s="42"/>
      <c r="D7" s="673"/>
      <c r="E7" s="932" t="s">
        <v>15</v>
      </c>
      <c r="F7" s="20" t="s">
        <v>20</v>
      </c>
      <c r="G7" s="698">
        <f t="shared" si="0"/>
        <v>39.5</v>
      </c>
      <c r="H7" s="46">
        <f t="shared" si="1"/>
        <v>0</v>
      </c>
      <c r="I7" s="698">
        <v>0</v>
      </c>
      <c r="J7" s="698">
        <v>0</v>
      </c>
      <c r="K7" s="698">
        <v>0</v>
      </c>
      <c r="L7" s="698">
        <v>0</v>
      </c>
      <c r="M7" s="10"/>
      <c r="N7" s="663"/>
      <c r="O7" s="292">
        <f>SUMIFS([1]مرداد!$AF$2:$AF$805,[1]مرداد!$O$2:$O$805,7102,[1]مرداد!$D$2:$D$805,$F$7,[1]مرداد!$AC$2:$AC$805,O3)</f>
        <v>0</v>
      </c>
      <c r="P7" s="292">
        <f>SUMIFS([1]مرداد!$AF$2:$AF$805,[1]مرداد!$O$2:$O$805,7102,[1]مرداد!$D$2:$D$805,$F$7,[1]مرداد!$AC$2:$AC$805,P3)</f>
        <v>0</v>
      </c>
      <c r="Q7" s="292">
        <f>SUMIFS([1]مرداد!$AF$2:$AF$805,[1]مرداد!$O$2:$O$805,7102,[1]مرداد!$D$2:$D$805,$F$7,[1]مرداد!$AC$2:$AC$805,Q3)</f>
        <v>10</v>
      </c>
      <c r="R7" s="292">
        <f>SUMIFS([1]مرداد!$AF$2:$AF$805,[1]مرداد!$O$2:$O$805,7102,[1]مرداد!$D$2:$D$805,$F$7,[1]مرداد!$AC$2:$AC$805,R3)</f>
        <v>11</v>
      </c>
      <c r="S7" s="292">
        <f>SUMIFS([1]مرداد!$AF$2:$AF$805,[1]مرداد!$O$2:$O$805,7102,[1]مرداد!$D$2:$D$805,$F$7,[1]مرداد!$AC$2:$AC$805,S3)</f>
        <v>11</v>
      </c>
      <c r="T7" s="292">
        <f>SUMIFS([1]مرداد!$AF$2:$AF$805,[1]مرداد!$O$2:$O$805,7102,[1]مرداد!$D$2:$D$805,$F$7,[1]مرداد!$AC$2:$AC$805,T3)</f>
        <v>7.5</v>
      </c>
      <c r="U7" s="357">
        <f>SUMIFS([1]مرداد!$AF$2:$AF$805,[1]مرداد!$O$2:$O$805,7102,[1]مرداد!$D$2:$D$805,$F$7,[1]مرداد!$AC$2:$AC$805,U3)</f>
        <v>0</v>
      </c>
    </row>
    <row r="8" spans="1:21" ht="33.75" customHeight="1" x14ac:dyDescent="0.25">
      <c r="A8" s="686">
        <v>2</v>
      </c>
      <c r="B8" s="676" t="s">
        <v>14</v>
      </c>
      <c r="C8" s="674">
        <v>7102</v>
      </c>
      <c r="D8" s="586">
        <v>62.5</v>
      </c>
      <c r="E8" s="1003"/>
      <c r="F8" s="692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-23</v>
      </c>
      <c r="N8" s="678"/>
      <c r="O8" s="293">
        <f>SUMIFS([1]اردیبهشت!$AD$2:$AD$600,[1]اردیبهشت!$N$2:$N$600,7102,[1]اردیبهشت!$D$2:$D$600,$F$8,[1]اردیبهشت!$AA$2:$AA$600,O3)</f>
        <v>0</v>
      </c>
      <c r="P8" s="168">
        <f>SUMIFS([1]اردیبهشت!$AD$2:$AD$600,[1]اردیبهشت!$N$2:$N$600,7102,[1]اردیبهشت!$D$2:$D$600,$F$8,[1]اردیبهشت!$AA$2:$AA$600,P3)</f>
        <v>0</v>
      </c>
      <c r="Q8" s="168">
        <f>SUMIFS([1]اردیبهشت!$AD$2:$AD$600,[1]اردیبهشت!$N$2:$N$600,7102,[1]اردیبهشت!$D$2:$D$600,$F$8,[1]اردیبهشت!$AA$2:$AA$600,Q3)</f>
        <v>0</v>
      </c>
      <c r="R8" s="168">
        <f>SUMIFS([1]اردیبهشت!$AD$2:$AD$600,[1]اردیبهشت!$N$2:$N$600,7102,[1]اردیبهشت!$D$2:$D$600,$F$8,[1]اردیبهشت!$AA$2:$AA$600,R3)</f>
        <v>0</v>
      </c>
      <c r="S8" s="168">
        <f>SUMIFS([1]اردیبهشت!$AD$2:$AD$600,[1]اردیبهشت!$N$2:$N$600,7102,[1]اردیبهشت!$D$2:$D$600,$F$8,[1]اردیبهشت!$AA$2:$AA$600,S3)</f>
        <v>0</v>
      </c>
      <c r="T8" s="168">
        <f>SUMIFS([1]اردیبهشت!$AD$2:$AD$600,[1]اردیبهشت!$N$2:$N$600,7102,[1]اردیبهشت!$D$2:$D$600,$F$8,[1]اردیبهشت!$AA$2:$AA$600,T3)</f>
        <v>0</v>
      </c>
      <c r="U8" s="108">
        <f>SUMIFS([1]اردیبهشت!$AD$2:$AD$600,[1]اردیبهشت!$N$2:$N$600,7102,[1]اردیبهشت!$D$2:$D$600,$F$8,[1]اردیبهشت!$AA$2:$AA$600,U3)</f>
        <v>0</v>
      </c>
    </row>
    <row r="9" spans="1:21" ht="33.75" customHeight="1" thickBot="1" x14ac:dyDescent="0.3">
      <c r="A9" s="686"/>
      <c r="B9" s="684"/>
      <c r="C9" s="699"/>
      <c r="D9" s="674"/>
      <c r="E9" s="933"/>
      <c r="F9" s="24"/>
      <c r="G9" s="4">
        <f t="shared" si="0"/>
        <v>0</v>
      </c>
      <c r="H9" s="67">
        <f t="shared" si="1"/>
        <v>0</v>
      </c>
      <c r="I9" s="25">
        <v>0</v>
      </c>
      <c r="J9" s="25">
        <v>0</v>
      </c>
      <c r="K9" s="4">
        <v>0</v>
      </c>
      <c r="L9" s="4">
        <v>0</v>
      </c>
      <c r="M9" s="69"/>
      <c r="N9" s="678"/>
      <c r="O9" s="352">
        <f>SUMIFS([1]اردیبهشت!$AD$2:$AD$600,[1]اردیبهشت!$N$2:$N$600,7102,[1]اردیبهشت!$D$2:$D$600,$F$9,[1]اردیبهشت!$AA$2:$AA$600,O3)</f>
        <v>0</v>
      </c>
      <c r="P9" s="175">
        <f>SUMIFS([1]اردیبهشت!$AD$2:$AD$600,[1]اردیبهشت!$N$2:$N$600,7102,[1]اردیبهشت!$D$2:$D$600,$F$9,[1]اردیبهشت!$AA$2:$AA$600,P3)</f>
        <v>0</v>
      </c>
      <c r="Q9" s="175">
        <f>SUMIFS([1]اردیبهشت!$AD$2:$AD$600,[1]اردیبهشت!$N$2:$N$600,7102,[1]اردیبهشت!$D$2:$D$600,$F$9,[1]اردیبهشت!$AA$2:$AA$600,Q3)</f>
        <v>0</v>
      </c>
      <c r="R9" s="175">
        <f>SUMIFS([1]اردیبهشت!$AD$2:$AD$600,[1]اردیبهشت!$N$2:$N$600,7102,[1]اردیبهشت!$D$2:$D$600,$F$9,[1]اردیبهشت!$AA$2:$AA$600,R3)</f>
        <v>0</v>
      </c>
      <c r="S9" s="175">
        <f>SUMIFS([1]اردیبهشت!$AD$2:$AD$600,[1]اردیبهشت!$N$2:$N$600,7102,[1]اردیبهشت!$D$2:$D$600,$F$9,[1]اردیبهشت!$AA$2:$AA$600,S3)</f>
        <v>0</v>
      </c>
      <c r="T9" s="175">
        <f>SUMIFS([1]اردیبهشت!$AD$2:$AD$600,[1]اردیبهشت!$N$2:$N$600,7102,[1]اردیبهشت!$D$2:$D$600,$F$9,[1]اردیبهشت!$AA$2:$AA$600,T3)</f>
        <v>0</v>
      </c>
      <c r="U9" s="114">
        <f>SUMIFS([1]اردیبهشت!$AD$2:$AD$600,[1]اردیبهشت!$N$2:$N$600,7102,[1]اردیبهشت!$D$2:$D$600,$F$9,[1]اردیبهشت!$AA$2:$AA$600,U3)</f>
        <v>0</v>
      </c>
    </row>
    <row r="10" spans="1:21" ht="33.75" customHeight="1" thickBot="1" x14ac:dyDescent="0.3">
      <c r="A10" s="45">
        <v>3</v>
      </c>
      <c r="B10" s="41" t="s">
        <v>14</v>
      </c>
      <c r="C10" s="13">
        <v>7103</v>
      </c>
      <c r="D10" s="283">
        <v>44</v>
      </c>
      <c r="E10" s="13" t="s">
        <v>15</v>
      </c>
      <c r="F10" s="13" t="s">
        <v>12</v>
      </c>
      <c r="G10" s="14">
        <f t="shared" si="0"/>
        <v>26</v>
      </c>
      <c r="H10" s="48">
        <f t="shared" si="1"/>
        <v>0</v>
      </c>
      <c r="I10" s="14">
        <v>0</v>
      </c>
      <c r="J10" s="14">
        <v>0</v>
      </c>
      <c r="K10" s="14">
        <v>0</v>
      </c>
      <c r="L10" s="14">
        <v>0</v>
      </c>
      <c r="M10" s="14">
        <f>SUM(G10:L10)-64</f>
        <v>-38</v>
      </c>
      <c r="N10" s="61" t="s">
        <v>40</v>
      </c>
      <c r="O10" s="295">
        <f>SUMIFS([1]مرداد!$AF$2:$AF$805,[1]مرداد!$O$2:$O$805,7103,[1]مرداد!$D$2:$D$805,$F$10,[1]مرداد!$AC$2:$AC$805,O3)</f>
        <v>0</v>
      </c>
      <c r="P10" s="295">
        <f>SUMIFS([1]مرداد!$AF$2:$AF$805,[1]مرداد!$O$2:$O$805,7103,[1]مرداد!$D$2:$D$805,$F$10,[1]مرداد!$AC$2:$AC$805,P3)</f>
        <v>6.5</v>
      </c>
      <c r="Q10" s="295">
        <f>SUMIFS([1]مرداد!$AF$2:$AF$805,[1]مرداد!$O$2:$O$805,7103,[1]مرداد!$D$2:$D$805,$F$10,[1]مرداد!$AC$2:$AC$805,Q3)</f>
        <v>6.5</v>
      </c>
      <c r="R10" s="295">
        <f>SUMIFS([1]مرداد!$AF$2:$AF$805,[1]مرداد!$O$2:$O$805,7103,[1]مرداد!$D$2:$D$805,$F$10,[1]مرداد!$AC$2:$AC$805,R3)</f>
        <v>6.5</v>
      </c>
      <c r="S10" s="295">
        <f>SUMIFS([1]مرداد!$AF$2:$AF$805,[1]مرداد!$O$2:$O$805,7103,[1]مرداد!$D$2:$D$805,$F$10,[1]مرداد!$AC$2:$AC$805,S3)</f>
        <v>6.5</v>
      </c>
      <c r="T10" s="295">
        <f>SUMIFS([1]مرداد!$AF$2:$AF$805,[1]مرداد!$O$2:$O$805,7103,[1]مرداد!$D$2:$D$805,$F$10,[1]مرداد!$AC$2:$AC$805,T3)</f>
        <v>0</v>
      </c>
      <c r="U10" s="744">
        <f>SUMIFS([1]مرداد!$AF$2:$AF$805,[1]مرداد!$O$2:$O$805,7103,[1]مرداد!$D$2:$D$805,$F$10,[1]مرداد!$AC$2:$AC$805,U3)</f>
        <v>0</v>
      </c>
    </row>
    <row r="11" spans="1:21" ht="33.75" customHeight="1" thickBot="1" x14ac:dyDescent="0.3">
      <c r="A11" s="686">
        <v>4</v>
      </c>
      <c r="B11" s="693" t="s">
        <v>18</v>
      </c>
      <c r="C11" s="694">
        <v>7201</v>
      </c>
      <c r="D11" s="694">
        <v>62.5</v>
      </c>
      <c r="E11" s="694" t="s">
        <v>19</v>
      </c>
      <c r="F11" s="140"/>
      <c r="G11" s="21">
        <f t="shared" si="0"/>
        <v>0</v>
      </c>
      <c r="H11" s="63">
        <f t="shared" si="1"/>
        <v>0</v>
      </c>
      <c r="I11" s="141">
        <v>0</v>
      </c>
      <c r="J11" s="141">
        <v>62</v>
      </c>
      <c r="K11" s="141">
        <v>0</v>
      </c>
      <c r="L11" s="141">
        <v>0</v>
      </c>
      <c r="M11" s="141">
        <f>SUM(G11:J11)-62</f>
        <v>0</v>
      </c>
      <c r="N11" s="142" t="s">
        <v>41</v>
      </c>
      <c r="O11" s="296"/>
      <c r="P11" s="201"/>
      <c r="Q11" s="201"/>
      <c r="R11" s="201"/>
      <c r="S11" s="201"/>
      <c r="T11" s="201"/>
      <c r="U11" s="111"/>
    </row>
    <row r="12" spans="1:21" ht="33.75" customHeight="1" x14ac:dyDescent="0.25">
      <c r="A12" s="985">
        <v>5</v>
      </c>
      <c r="B12" s="974" t="s">
        <v>18</v>
      </c>
      <c r="C12" s="932">
        <v>7202</v>
      </c>
      <c r="D12" s="932">
        <v>62.5</v>
      </c>
      <c r="E12" s="932" t="s">
        <v>15</v>
      </c>
      <c r="F12" s="574" t="s">
        <v>191</v>
      </c>
      <c r="G12" s="21">
        <f t="shared" si="0"/>
        <v>11</v>
      </c>
      <c r="H12" s="63">
        <v>0</v>
      </c>
      <c r="I12" s="21">
        <v>0</v>
      </c>
      <c r="J12" s="21">
        <v>55</v>
      </c>
      <c r="K12" s="21">
        <v>0</v>
      </c>
      <c r="L12" s="21">
        <v>0</v>
      </c>
      <c r="M12" s="21"/>
      <c r="N12" s="677"/>
      <c r="O12" s="187">
        <f>SUMIFS([1]مرداد!$AF$2:$AF$805,[1]مرداد!$O$2:$O$805,7202,[1]مرداد!$D$2:$D$805,$F$12,[1]مرداد!$AC$2:$AC$805,O3)</f>
        <v>0</v>
      </c>
      <c r="P12" s="298">
        <f>SUMIFS([1]مرداد!$AF$2:$AF$805,[1]مرداد!$O$2:$O$805,7202,[1]مرداد!$D$2:$D$805,$F$12,[1]مرداد!$AC$2:$AC$805,P3)</f>
        <v>11</v>
      </c>
      <c r="Q12" s="298">
        <f>SUMIFS([1]مرداد!$AF$2:$AF$805,[1]مرداد!$O$2:$O$805,7202,[1]مرداد!$D$2:$D$805,$F$12,[1]مرداد!$AC$2:$AC$805,Q3)</f>
        <v>0</v>
      </c>
      <c r="R12" s="298">
        <f>SUMIFS([1]مرداد!$AF$2:$AF$805,[1]مرداد!$O$2:$O$805,7202,[1]مرداد!$D$2:$D$805,$F$12,[1]مرداد!$AC$2:$AC$805,R3)</f>
        <v>0</v>
      </c>
      <c r="S12" s="298">
        <f>SUMIFS([1]مرداد!$AF$2:$AF$805,[1]مرداد!$O$2:$O$805,7202,[1]مرداد!$D$2:$D$805,$F$12,[1]مرداد!$AC$2:$AC$805,S3)</f>
        <v>0</v>
      </c>
      <c r="T12" s="298">
        <f>SUMIFS([1]مرداد!$AF$2:$AF$805,[1]مرداد!$O$2:$O$805,7202,[1]مرداد!$D$2:$D$805,$F$12,[1]مرداد!$AC$2:$AC$805,T3)</f>
        <v>0</v>
      </c>
      <c r="U12" s="463">
        <f>SUMIFS([1]مرداد!$AF$2:$AF$805,[1]مرداد!$O$2:$O$805,7202,[1]مرداد!$D$2:$D$805,$F$12,[1]مرداد!$AC$2:$AC$805,U3)</f>
        <v>0</v>
      </c>
    </row>
    <row r="13" spans="1:21" ht="33.75" customHeight="1" x14ac:dyDescent="0.25">
      <c r="A13" s="986"/>
      <c r="B13" s="975"/>
      <c r="C13" s="933"/>
      <c r="D13" s="933"/>
      <c r="E13" s="933"/>
      <c r="F13" s="22"/>
      <c r="G13" s="3">
        <f t="shared" si="0"/>
        <v>0</v>
      </c>
      <c r="H13" s="47">
        <v>0</v>
      </c>
      <c r="I13" s="3">
        <v>0</v>
      </c>
      <c r="J13" s="3">
        <v>0</v>
      </c>
      <c r="K13" s="3">
        <v>0</v>
      </c>
      <c r="L13" s="3">
        <v>0</v>
      </c>
      <c r="M13" s="3">
        <f>(G12+G13+G14)-(D12)+(J12)</f>
        <v>3.5</v>
      </c>
      <c r="N13" s="579" t="s">
        <v>28</v>
      </c>
      <c r="O13" s="742">
        <f>SUMIFS([1]مرداد!$AF$2:$AF$805,[1]مرداد!$O$2:$O$805,7202,[1]مرداد!$D$2:$D$805,$F$13,[1]مرداد!$AC$2:$AC$805,O3)</f>
        <v>0</v>
      </c>
      <c r="P13" s="583">
        <f>SUMIFS([1]مرداد!$AF$2:$AF$805,[1]مرداد!$O$2:$O$805,7202,[1]مرداد!$D$2:$D$805,$F$13,[1]مرداد!$AC$2:$AC$805,P3)</f>
        <v>0</v>
      </c>
      <c r="Q13" s="583">
        <f>SUMIFS([1]مرداد!$AF$2:$AF$805,[1]مرداد!$O$2:$O$805,7202,[1]مرداد!$D$2:$D$805,$F$13,[1]مرداد!$AC$2:$AC$805,Q3)</f>
        <v>0</v>
      </c>
      <c r="R13" s="583">
        <f>SUMIFS([1]مرداد!$AF$2:$AF$805,[1]مرداد!$O$2:$O$805,7202,[1]مرداد!$D$2:$D$805,$F$13,[1]مرداد!$AC$2:$AC$805,R3)</f>
        <v>0</v>
      </c>
      <c r="S13" s="583">
        <f>SUMIFS([1]مرداد!$AF$2:$AF$805,[1]مرداد!$O$2:$O$805,7202,[1]مرداد!$D$2:$D$805,$F$13,[1]مرداد!$AC$2:$AC$805,S3)</f>
        <v>0</v>
      </c>
      <c r="T13" s="583">
        <f>SUMIFS([1]مرداد!$AF$2:$AF$805,[1]مرداد!$O$2:$O$805,7202,[1]مرداد!$D$2:$D$805,$F$13,[1]مرداد!$AC$2:$AC$805,T3)</f>
        <v>0</v>
      </c>
      <c r="U13" s="743">
        <f>SUMIFS([1]مرداد!$AF$2:$AF$805,[1]مرداد!$O$2:$O$805,7202,[1]مرداد!$D$2:$D$805,$F$13,[1]مرداد!$AC$2:$AC$805,U3)</f>
        <v>0</v>
      </c>
    </row>
    <row r="14" spans="1:21" ht="33.75" customHeight="1" thickBot="1" x14ac:dyDescent="0.3">
      <c r="A14" s="986"/>
      <c r="B14" s="975"/>
      <c r="C14" s="933"/>
      <c r="D14" s="933"/>
      <c r="E14" s="933"/>
      <c r="F14" s="66"/>
      <c r="G14" s="4">
        <f t="shared" si="0"/>
        <v>0</v>
      </c>
      <c r="H14" s="67">
        <v>0</v>
      </c>
      <c r="I14" s="4">
        <v>0</v>
      </c>
      <c r="J14" s="4">
        <v>0</v>
      </c>
      <c r="K14" s="4">
        <v>0</v>
      </c>
      <c r="L14" s="4">
        <v>0</v>
      </c>
      <c r="M14" s="4"/>
      <c r="N14" s="312"/>
      <c r="O14" s="190">
        <f>SUMIFS([1]تیر!$AF$2:$AF$805,[1]تیر!$O$2:$O$805,7202,[1]تیر!$D$2:$D$805,$F$14,[1]تیر!$AC$2:$AC$805,O3)</f>
        <v>0</v>
      </c>
      <c r="P14" s="191">
        <f>SUMIFS([1]تیر!$AF$2:$AF$805,[1]تیر!$O$2:$O$805,7202,[1]تیر!$D$2:$D$805,$F$14,[1]تیر!$AC$2:$AC$805,P3)</f>
        <v>0</v>
      </c>
      <c r="Q14" s="191">
        <f>SUMIFS([1]تیر!$AF$2:$AF$805,[1]تیر!$O$2:$O$805,7202,[1]تیر!$D$2:$D$805,$F$14,[1]تیر!$AC$2:$AC$805,Q3)</f>
        <v>0</v>
      </c>
      <c r="R14" s="191">
        <f>SUMIFS([1]تیر!$AF$2:$AF$805,[1]تیر!$O$2:$O$805,7202,[1]تیر!$D$2:$D$805,$F$14,[1]تیر!$AC$2:$AC$805,R3)</f>
        <v>0</v>
      </c>
      <c r="S14" s="191">
        <f>SUMIFS([1]تیر!$AF$2:$AF$805,[1]تیر!$O$2:$O$805,7202,[1]تیر!$D$2:$D$805,$F$14,[1]تیر!$AC$2:$AC$805,S3)</f>
        <v>0</v>
      </c>
      <c r="T14" s="191">
        <f>SUMIFS([1]تیر!$AF$2:$AF$805,[1]تیر!$O$2:$O$805,7202,[1]تیر!$D$2:$D$805,$F$14,[1]تیر!$AC$2:$AC$805,T3)</f>
        <v>0</v>
      </c>
      <c r="U14" s="115">
        <f>SUMIFS([1]تیر!$AF$2:$AF$805,[1]تیر!$O$2:$O$805,7202,[1]تیر!$D$2:$D$805,$F$14,[1]تیر!$AC$2:$AC$805,U3)</f>
        <v>0</v>
      </c>
    </row>
    <row r="15" spans="1:21" ht="33.75" customHeight="1" x14ac:dyDescent="0.25">
      <c r="A15" s="985">
        <v>6</v>
      </c>
      <c r="B15" s="974" t="s">
        <v>18</v>
      </c>
      <c r="C15" s="932">
        <v>7203</v>
      </c>
      <c r="D15" s="932">
        <v>62.5</v>
      </c>
      <c r="E15" s="932" t="s">
        <v>15</v>
      </c>
      <c r="F15" s="20" t="s">
        <v>191</v>
      </c>
      <c r="G15" s="698">
        <f t="shared" ref="G15" si="2">SUM(O15:T15)</f>
        <v>18.5</v>
      </c>
      <c r="H15" s="46">
        <v>0</v>
      </c>
      <c r="I15" s="698">
        <v>0</v>
      </c>
      <c r="J15" s="698">
        <v>0</v>
      </c>
      <c r="K15" s="698">
        <v>0</v>
      </c>
      <c r="L15" s="698">
        <v>0</v>
      </c>
      <c r="M15" s="698"/>
      <c r="N15" s="756"/>
      <c r="O15" s="292">
        <f>SUMIFS([1]مرداد!$AF$2:$AF$805,[1]مرداد!$O$2:$O$805,7203,[1]مرداد!$D$2:$D$805,$F$15,[1]مرداد!$AC$2:$AC$805,O3)</f>
        <v>0</v>
      </c>
      <c r="P15" s="292">
        <f>SUMIFS([1]مرداد!$AF$2:$AF$805,[1]مرداد!$O$2:$O$805,7203,[1]مرداد!$D$2:$D$805,$F$15,[1]مرداد!$AC$2:$AC$805,P3)</f>
        <v>7.5</v>
      </c>
      <c r="Q15" s="292">
        <f>SUMIFS([1]مرداد!$AF$2:$AF$805,[1]مرداد!$O$2:$O$805,7203,[1]مرداد!$D$2:$D$805,$F$15,[1]مرداد!$AC$2:$AC$805,Q3)</f>
        <v>11</v>
      </c>
      <c r="R15" s="292">
        <f>SUMIFS([1]مرداد!$AF$2:$AF$805,[1]مرداد!$O$2:$O$805,7203,[1]مرداد!$D$2:$D$805,$F$15,[1]مرداد!$AC$2:$AC$805,R3)</f>
        <v>0</v>
      </c>
      <c r="S15" s="292">
        <f>SUMIFS([1]مرداد!$AF$2:$AF$805,[1]مرداد!$O$2:$O$805,7203,[1]مرداد!$D$2:$D$805,$F$15,[1]مرداد!$AC$2:$AC$805,S3)</f>
        <v>0</v>
      </c>
      <c r="T15" s="292">
        <f>SUMIFS([1]مرداد!$AF$2:$AF$805,[1]مرداد!$O$2:$O$805,7203,[1]مرداد!$D$2:$D$805,$F$15,[1]مرداد!$AC$2:$AC$805,T3)</f>
        <v>0</v>
      </c>
      <c r="U15" s="357">
        <f>SUMIFS([1]مرداد!$AF$2:$AF$805,[1]مرداد!$O$2:$O$805,7203,[1]مرداد!$D$2:$D$805,$F$15,[1]مرداد!$AC$2:$AC$805,U3)</f>
        <v>0</v>
      </c>
    </row>
    <row r="16" spans="1:21" ht="33.75" customHeight="1" thickBot="1" x14ac:dyDescent="0.3">
      <c r="A16" s="987"/>
      <c r="B16" s="976"/>
      <c r="C16" s="934"/>
      <c r="D16" s="934"/>
      <c r="E16" s="934"/>
      <c r="F16" s="745" t="s">
        <v>45</v>
      </c>
      <c r="G16" s="6">
        <f t="shared" si="0"/>
        <v>24</v>
      </c>
      <c r="H16" s="64">
        <v>0</v>
      </c>
      <c r="I16" s="6">
        <v>0</v>
      </c>
      <c r="J16" s="6">
        <v>0</v>
      </c>
      <c r="K16" s="6">
        <v>0</v>
      </c>
      <c r="L16" s="6">
        <v>0</v>
      </c>
      <c r="M16" s="6">
        <f>(G16+H16+I16+J16+K16)-D15</f>
        <v>-38.5</v>
      </c>
      <c r="N16" s="696"/>
      <c r="O16" s="353">
        <f>SUMIFS([1]مرداد!$AF$2:$AF$805,[1]مرداد!$O$2:$O$805,7203,[1]مرداد!$D$2:$D$805,$F$16,[1]مرداد!$AC$2:$AC$805,O3)</f>
        <v>0</v>
      </c>
      <c r="P16" s="353">
        <f>SUMIFS([1]مرداد!$AF$2:$AF$805,[1]مرداد!$O$2:$O$805,7203,[1]مرداد!$D$2:$D$805,$F$16,[1]مرداد!$AC$2:$AC$805,P3)</f>
        <v>0</v>
      </c>
      <c r="Q16" s="353">
        <f>SUMIFS([1]مرداد!$AF$2:$AF$805,[1]مرداد!$O$2:$O$805,7203,[1]مرداد!$D$2:$D$805,$F$16,[1]مرداد!$AC$2:$AC$805,Q3)</f>
        <v>0</v>
      </c>
      <c r="R16" s="353">
        <f>SUMIFS([1]مرداد!$AF$2:$AF$805,[1]مرداد!$O$2:$O$805,7203,[1]مرداد!$D$2:$D$805,$F$16,[1]مرداد!$AC$2:$AC$805,R3)</f>
        <v>13</v>
      </c>
      <c r="S16" s="353">
        <f>SUMIFS([1]مرداد!$AF$2:$AF$805,[1]مرداد!$O$2:$O$805,7203,[1]مرداد!$D$2:$D$805,$F$16,[1]مرداد!$AC$2:$AC$805,S3)</f>
        <v>11</v>
      </c>
      <c r="T16" s="353">
        <f>SUMIFS([1]مرداد!$AF$2:$AF$805,[1]مرداد!$O$2:$O$805,7203,[1]مرداد!$D$2:$D$805,$F$16,[1]مرداد!$AC$2:$AC$805,T3)</f>
        <v>0</v>
      </c>
      <c r="U16" s="746">
        <f>SUMIFS([1]مرداد!$AF$2:$AF$805,[1]مرداد!$O$2:$O$805,7203,[1]مرداد!$D$2:$D$805,$F$16,[1]مرداد!$AC$2:$AC$805,U3)</f>
        <v>0</v>
      </c>
    </row>
    <row r="17" spans="1:21" ht="33.75" customHeight="1" thickBot="1" x14ac:dyDescent="0.3">
      <c r="A17" s="687">
        <v>7</v>
      </c>
      <c r="B17" s="43" t="s">
        <v>18</v>
      </c>
      <c r="C17" s="675">
        <v>7204</v>
      </c>
      <c r="D17" s="675">
        <v>62.5</v>
      </c>
      <c r="E17" s="675" t="s">
        <v>15</v>
      </c>
      <c r="F17" s="745" t="s">
        <v>144</v>
      </c>
      <c r="G17" s="6">
        <f t="shared" si="0"/>
        <v>59</v>
      </c>
      <c r="H17" s="64">
        <f t="shared" si="1"/>
        <v>0</v>
      </c>
      <c r="I17" s="6">
        <v>0</v>
      </c>
      <c r="J17" s="6">
        <v>0</v>
      </c>
      <c r="K17" s="6">
        <v>0</v>
      </c>
      <c r="L17" s="6">
        <v>0</v>
      </c>
      <c r="M17" s="6">
        <f>SUM(G17:J17)-62</f>
        <v>-3</v>
      </c>
      <c r="N17" s="679"/>
      <c r="O17" s="354">
        <f>SUMIFS([1]مرداد!$AF$2:$AF$805,[1]مرداد!$O$2:$O$805,7204,[1]مرداد!$D$2:$D$805,$F$17,[1]مرداد!$AC$2:$AC$805,O3)</f>
        <v>11</v>
      </c>
      <c r="P17" s="354">
        <f>SUMIFS([1]مرداد!$AF$2:$AF$805,[1]مرداد!$O$2:$O$805,7204,[1]مرداد!$D$2:$D$805,$F$17,[1]مرداد!$AC$2:$AC$805,P3)</f>
        <v>11</v>
      </c>
      <c r="Q17" s="354">
        <f>SUMIFS([1]مرداد!$AF$2:$AF$805,[1]مرداد!$O$2:$O$805,7204,[1]مرداد!$D$2:$D$805,$F$17,[1]مرداد!$AC$2:$AC$805,Q3)</f>
        <v>7.5</v>
      </c>
      <c r="R17" s="354">
        <f>SUMIFS([1]مرداد!$AF$2:$AF$805,[1]مرداد!$O$2:$O$805,7204,[1]مرداد!$D$2:$D$805,$F$17,[1]مرداد!$AC$2:$AC$805,R3)</f>
        <v>11</v>
      </c>
      <c r="S17" s="354">
        <f>SUMIFS([1]مرداد!$AF$2:$AF$805,[1]مرداد!$O$2:$O$805,7204,[1]مرداد!$D$2:$D$805,$F$17,[1]مرداد!$AC$2:$AC$805,S3)</f>
        <v>11</v>
      </c>
      <c r="T17" s="354">
        <f>SUMIFS([1]مرداد!$AF$2:$AF$805,[1]مرداد!$O$2:$O$805,7204,[1]مرداد!$D$2:$D$805,$F$17,[1]مرداد!$AC$2:$AC$805,T3)</f>
        <v>7.5</v>
      </c>
      <c r="U17" s="354">
        <f>SUMIFS([1]مرداد!$AF$2:$AF$805,[1]مرداد!$O$2:$O$805,7204,[1]مرداد!$D$2:$D$805,$F$17,[1]مرداد!$AC$2:$AC$805,U3)</f>
        <v>0</v>
      </c>
    </row>
    <row r="18" spans="1:21" ht="33.75" customHeight="1" thickBot="1" x14ac:dyDescent="0.3">
      <c r="A18" s="45">
        <v>8</v>
      </c>
      <c r="B18" s="12" t="s">
        <v>21</v>
      </c>
      <c r="C18" s="13">
        <v>7301</v>
      </c>
      <c r="D18" s="13">
        <v>62.5</v>
      </c>
      <c r="E18" s="13" t="s">
        <v>15</v>
      </c>
      <c r="F18" s="19" t="s">
        <v>22</v>
      </c>
      <c r="G18" s="14">
        <f t="shared" si="0"/>
        <v>35.833333333333336</v>
      </c>
      <c r="H18" s="48">
        <f t="shared" si="1"/>
        <v>0</v>
      </c>
      <c r="I18" s="14">
        <v>3</v>
      </c>
      <c r="J18" s="14">
        <v>0</v>
      </c>
      <c r="K18" s="14">
        <v>0</v>
      </c>
      <c r="L18" s="14">
        <v>0</v>
      </c>
      <c r="M18" s="14">
        <f>SUM(G18:L18)-D18</f>
        <v>-23.666666666666664</v>
      </c>
      <c r="N18" s="15" t="s">
        <v>29</v>
      </c>
      <c r="O18" s="176">
        <f>SUMIFS([1]مرداد!$AF$2:$AF$805,[1]مرداد!$O$2:$O$805,7301,[1]مرداد!$D$2:$D$805,$F$18,[1]مرداد!$AC$2:$AC$805,O3)</f>
        <v>10.5</v>
      </c>
      <c r="P18" s="177">
        <f>SUMIFS([1]مرداد!$AF$2:$AF$805,[1]مرداد!$O$2:$O$805,7301,[1]مرداد!$D$2:$D$805,$F$18,[1]مرداد!$AC$2:$AC$805,P3)</f>
        <v>8.3333333333333339</v>
      </c>
      <c r="Q18" s="177">
        <f>SUMIFS([1]مرداد!$AF$2:$AF$805,[1]مرداد!$O$2:$O$805,7301,[1]مرداد!$D$2:$D$805,$F$18,[1]مرداد!$AC$2:$AC$805,Q3)</f>
        <v>8</v>
      </c>
      <c r="R18" s="177">
        <f>SUMIFS([1]مرداد!$AF$2:$AF$805,[1]مرداد!$O$2:$O$805,7301,[1]مرداد!$D$2:$D$805,$F$18,[1]مرداد!$AC$2:$AC$805,R3)</f>
        <v>9</v>
      </c>
      <c r="S18" s="177">
        <f>SUMIFS([1]مرداد!$AF$2:$AF$805,[1]مرداد!$O$2:$O$805,7301,[1]مرداد!$D$2:$D$805,$F$18,[1]مرداد!$AC$2:$AC$805,S3)</f>
        <v>0</v>
      </c>
      <c r="T18" s="177">
        <f>SUMIFS([1]مرداد!$AF$2:$AF$805,[1]مرداد!$O$2:$O$805,7301,[1]مرداد!$D$2:$D$805,$F$18,[1]مرداد!$AC$2:$AC$805,T3)</f>
        <v>0</v>
      </c>
      <c r="U18" s="178">
        <f>SUMIFS([1]مرداد!$AF$2:$AF$805,[1]مرداد!$O$2:$O$805,7301,[1]مرداد!$D$2:$D$805,$F$18,[1]مرداد!$AC$2:$AC$805,U3)</f>
        <v>0</v>
      </c>
    </row>
    <row r="19" spans="1:21" ht="33.75" customHeight="1" x14ac:dyDescent="0.25">
      <c r="A19" s="685"/>
      <c r="B19" s="682"/>
      <c r="C19" s="42"/>
      <c r="D19" s="673"/>
      <c r="E19" s="932" t="s">
        <v>15</v>
      </c>
      <c r="F19" s="20"/>
      <c r="G19" s="698">
        <f t="shared" si="0"/>
        <v>0</v>
      </c>
      <c r="H19" s="46">
        <f>U19</f>
        <v>0</v>
      </c>
      <c r="I19" s="698">
        <v>0</v>
      </c>
      <c r="J19" s="698">
        <v>0</v>
      </c>
      <c r="K19" s="698">
        <v>0</v>
      </c>
      <c r="L19" s="698">
        <v>0</v>
      </c>
      <c r="M19" s="21"/>
      <c r="N19" s="945" t="s">
        <v>44</v>
      </c>
      <c r="O19" s="356">
        <f>SUMIFS([1]تیر!$AF$2:$AF$805,[1]تیر!$O$2:$O$805,7302,[1]تیر!$D$2:$D$805,$F$19,[1]تیر!$AC$2:$AC$805,O3)</f>
        <v>0</v>
      </c>
      <c r="P19" s="174">
        <f>SUMIFS([1]تیر!$AF$2:$AF$805,[1]تیر!$O$2:$O$805,7302,[1]تیر!$D$2:$D$805,$F$19,[1]تیر!$AC$2:$AC$805,P3)</f>
        <v>0</v>
      </c>
      <c r="Q19" s="174">
        <f>SUMIFS([1]تیر!$AF$2:$AF$805,[1]تیر!$O$2:$O$805,7302,[1]تیر!$D$2:$D$805,$F$19,[1]تیر!$AC$2:$AC$805,Q3)</f>
        <v>0</v>
      </c>
      <c r="R19" s="174">
        <f>SUMIFS([1]تیر!$AF$2:$AF$805,[1]تیر!$O$2:$O$805,7302,[1]تیر!$D$2:$D$805,$F$19,[1]تیر!$AC$2:$AC$805,R3)</f>
        <v>0</v>
      </c>
      <c r="S19" s="174">
        <f>SUMIFS([1]تیر!$AF$2:$AF$805,[1]تیر!$O$2:$O$805,7302,[1]تیر!$D$2:$D$805,$F$19,[1]تیر!$AC$2:$AC$805,S3)</f>
        <v>0</v>
      </c>
      <c r="T19" s="174">
        <f>SUMIFS([1]تیر!$AF$2:$AF$805,[1]تیر!$O$2:$O$805,7302,[1]تیر!$D$2:$D$805,$F$19,[1]تیر!$AC$2:$AC$805,T3)</f>
        <v>0</v>
      </c>
      <c r="U19" s="110">
        <f>SUMIFS([1]تیر!$AF$2:$AF$805,[1]تیر!$O$2:$O$805,7302,[1]تیر!$D$2:$D$805,$F$19,[1]تیر!$AC$2:$AC$805,U3)</f>
        <v>0</v>
      </c>
    </row>
    <row r="20" spans="1:21" ht="33.75" customHeight="1" x14ac:dyDescent="0.25">
      <c r="A20" s="686">
        <v>9</v>
      </c>
      <c r="B20" s="676" t="s">
        <v>21</v>
      </c>
      <c r="C20" s="588">
        <v>7302</v>
      </c>
      <c r="D20" s="674">
        <v>62.5</v>
      </c>
      <c r="E20" s="1003"/>
      <c r="F20" s="27" t="s">
        <v>17</v>
      </c>
      <c r="G20" s="3">
        <f t="shared" si="0"/>
        <v>44</v>
      </c>
      <c r="H20" s="47">
        <f t="shared" si="1"/>
        <v>0</v>
      </c>
      <c r="I20" s="3">
        <v>6</v>
      </c>
      <c r="J20" s="3">
        <v>0</v>
      </c>
      <c r="K20" s="3">
        <v>0</v>
      </c>
      <c r="L20" s="3">
        <v>0</v>
      </c>
      <c r="M20" s="4">
        <f>SUM(G19:L21)-D20</f>
        <v>-12.5</v>
      </c>
      <c r="N20" s="929"/>
      <c r="O20" s="293">
        <f>SUMIFS([1]مرداد!$AF$2:$AF$805,[1]مرداد!$O$2:$O$805,7302,[1]مرداد!$D$2:$D$805,$F$20,[1]مرداد!$AC$2:$AC$805,O3)</f>
        <v>9</v>
      </c>
      <c r="P20" s="293">
        <f>SUMIFS([1]مرداد!$AF$2:$AF$805,[1]مرداد!$O$2:$O$805,7302,[1]مرداد!$D$2:$D$805,$F$20,[1]مرداد!$AC$2:$AC$805,P3)</f>
        <v>4</v>
      </c>
      <c r="Q20" s="293">
        <f>SUMIFS([1]مرداد!$AF$2:$AF$805,[1]مرداد!$O$2:$O$805,7302,[1]مرداد!$D$2:$D$805,$F$20,[1]مرداد!$AC$2:$AC$805,Q3)</f>
        <v>6</v>
      </c>
      <c r="R20" s="293">
        <f>SUMIFS([1]مرداد!$AF$2:$AF$805,[1]مرداد!$O$2:$O$805,7302,[1]مرداد!$D$2:$D$805,$F$20,[1]مرداد!$AC$2:$AC$805,R3)</f>
        <v>12</v>
      </c>
      <c r="S20" s="293">
        <f>SUMIFS([1]مرداد!$AF$2:$AF$805,[1]مرداد!$O$2:$O$805,7302,[1]مرداد!$D$2:$D$805,$F$20,[1]مرداد!$AC$2:$AC$805,S3)</f>
        <v>7</v>
      </c>
      <c r="T20" s="293">
        <f>SUMIFS([1]مرداد!$AF$2:$AF$805,[1]مرداد!$O$2:$O$805,7302,[1]مرداد!$D$2:$D$805,$F$20,[1]مرداد!$AC$2:$AC$805,T3)</f>
        <v>6</v>
      </c>
      <c r="U20" s="293">
        <f>SUMIFS([1]مرداد!$AF$2:$AF$805,[1]مرداد!$O$2:$O$805,7302,[1]مرداد!$D$2:$D$805,$F$20,[1]مرداد!$AC$2:$AC$805,U3)</f>
        <v>0</v>
      </c>
    </row>
    <row r="21" spans="1:21" ht="33.75" customHeight="1" thickBot="1" x14ac:dyDescent="0.3">
      <c r="A21" s="687"/>
      <c r="B21" s="683"/>
      <c r="C21" s="43"/>
      <c r="D21" s="675"/>
      <c r="E21" s="934"/>
      <c r="F21" s="5"/>
      <c r="G21" s="6">
        <f t="shared" si="0"/>
        <v>0</v>
      </c>
      <c r="H21" s="64">
        <f t="shared" si="1"/>
        <v>0</v>
      </c>
      <c r="I21" s="7">
        <v>0</v>
      </c>
      <c r="J21" s="7">
        <v>0</v>
      </c>
      <c r="K21" s="6">
        <v>0</v>
      </c>
      <c r="L21" s="6">
        <v>0</v>
      </c>
      <c r="M21" s="6"/>
      <c r="N21" s="930"/>
      <c r="O21" s="294">
        <f>SUMIFS([1]اردیبهشت!$AD$2:$AD$805,[1]اردیبهشت!$N$2:$N$805,$C$20,[1]اردیبهشت!$D$2:$D$805,$F$20,[1]اردیبهشت!$AA$2:$AA$805,O4)</f>
        <v>0</v>
      </c>
      <c r="P21" s="172">
        <f>SUMIFS([1]اردیبهشت!$AD$2:$AD$805,[1]اردیبهشت!$N$2:$N$805,$C$20,[1]اردیبهشت!$D$2:$D$805,$F$20,[1]اردیبهشت!$AA$2:$AA$805,P4)</f>
        <v>0</v>
      </c>
      <c r="Q21" s="172">
        <f>SUMIFS([1]اردیبهشت!$AD$2:$AD$805,[1]اردیبهشت!$N$2:$N$805,$C$20,[1]اردیبهشت!$D$2:$D$805,$F$20,[1]اردیبهشت!$AA$2:$AA$805,Q4)</f>
        <v>0</v>
      </c>
      <c r="R21" s="172">
        <f>SUMIFS([1]اردیبهشت!$AD$2:$AD$805,[1]اردیبهشت!$N$2:$N$805,$C$20,[1]اردیبهشت!$D$2:$D$805,$F$20,[1]اردیبهشت!$AA$2:$AA$805,R4)</f>
        <v>0</v>
      </c>
      <c r="S21" s="172">
        <f>SUMIFS([1]اردیبهشت!$AD$2:$AD$805,[1]اردیبهشت!$N$2:$N$805,$C$20,[1]اردیبهشت!$D$2:$D$805,$F$20,[1]اردیبهشت!$AA$2:$AA$805,S4)</f>
        <v>0</v>
      </c>
      <c r="T21" s="172">
        <f>SUMIFS([1]اردیبهشت!$AD$2:$AD$805,[1]اردیبهشت!$N$2:$N$805,$C$20,[1]اردیبهشت!$D$2:$D$805,$F$20,[1]اردیبهشت!$AA$2:$AA$805,T4)</f>
        <v>0</v>
      </c>
      <c r="U21" s="109">
        <f>SUMIFS([1]خرداد!$AF$2:$AF$700,[1]خرداد!$O$2:$O$700,7101,[1]خرداد!$D$2:$D$700,$F$4,[1]خرداد!$AC$2:$AC$700,U20)</f>
        <v>0</v>
      </c>
    </row>
    <row r="22" spans="1:21" ht="33.75" customHeight="1" thickBot="1" x14ac:dyDescent="0.3">
      <c r="A22" s="147">
        <v>10</v>
      </c>
      <c r="B22" s="681" t="s">
        <v>21</v>
      </c>
      <c r="C22" s="680">
        <v>7303</v>
      </c>
      <c r="D22" s="680">
        <v>44</v>
      </c>
      <c r="E22" s="680" t="s">
        <v>19</v>
      </c>
      <c r="F22" s="574" t="s">
        <v>20</v>
      </c>
      <c r="G22" s="754">
        <f t="shared" si="0"/>
        <v>23</v>
      </c>
      <c r="H22" s="755">
        <f t="shared" si="1"/>
        <v>0</v>
      </c>
      <c r="I22" s="754">
        <v>0</v>
      </c>
      <c r="J22" s="754">
        <v>0</v>
      </c>
      <c r="K22" s="754">
        <v>0</v>
      </c>
      <c r="L22" s="754">
        <v>0</v>
      </c>
      <c r="M22" s="754">
        <f>SUM(G22:L22)-44</f>
        <v>-21</v>
      </c>
      <c r="N22" s="748" t="s">
        <v>40</v>
      </c>
      <c r="O22" s="297">
        <f>SUMIFS([1]مرداد!$AF$2:$AF$805,[1]مرداد!$O$2:$O$805,7303,[1]مرداد!$D$2:$D$805,$F$22,[1]مرداد!$AC$2:$AC$805,O3)</f>
        <v>11</v>
      </c>
      <c r="P22" s="297">
        <f>SUMIFS([1]مرداد!$AF$2:$AF$805,[1]مرداد!$O$2:$O$805,7303,[1]مرداد!$D$2:$D$805,$F$22,[1]مرداد!$AC$2:$AC$805,P3)</f>
        <v>11</v>
      </c>
      <c r="Q22" s="297">
        <f>SUMIFS([1]مرداد!$AF$2:$AF$805,[1]مرداد!$O$2:$O$805,7303,[1]مرداد!$D$2:$D$805,$F$22,[1]مرداد!$AC$2:$AC$805,Q3)</f>
        <v>1</v>
      </c>
      <c r="R22" s="297">
        <f>SUMIFS([1]مرداد!$AF$2:$AF$805,[1]مرداد!$O$2:$O$805,7303,[1]مرداد!$D$2:$D$805,$F$22,[1]مرداد!$AC$2:$AC$805,R3)</f>
        <v>0</v>
      </c>
      <c r="S22" s="297">
        <f>SUMIFS([1]مرداد!$AF$2:$AF$805,[1]مرداد!$O$2:$O$805,7303,[1]مرداد!$D$2:$D$805,$F$22,[1]مرداد!$AC$2:$AC$805,S3)</f>
        <v>0</v>
      </c>
      <c r="T22" s="297">
        <f>SUMIFS([1]مرداد!$AF$2:$AF$805,[1]مرداد!$O$2:$O$805,7303,[1]مرداد!$D$2:$D$805,$F$22,[1]مرداد!$AC$2:$AC$805,T3)</f>
        <v>0</v>
      </c>
      <c r="U22" s="297">
        <f>SUMIFS([1]مرداد!$AF$2:$AF$805,[1]مرداد!$O$2:$O$805,7303,[1]مرداد!$D$2:$D$805,$F$22,[1]مرداد!$AC$2:$AC$805,U3)</f>
        <v>0</v>
      </c>
    </row>
    <row r="23" spans="1:21" ht="33.75" customHeight="1" x14ac:dyDescent="0.25">
      <c r="A23" s="685"/>
      <c r="B23" s="682"/>
      <c r="C23" s="42"/>
      <c r="D23" s="673"/>
      <c r="E23" s="932" t="s">
        <v>15</v>
      </c>
      <c r="F23" s="574"/>
      <c r="G23" s="698">
        <f t="shared" si="0"/>
        <v>0</v>
      </c>
      <c r="H23" s="46">
        <f t="shared" si="1"/>
        <v>0</v>
      </c>
      <c r="I23" s="698">
        <v>0</v>
      </c>
      <c r="J23" s="698">
        <v>0</v>
      </c>
      <c r="K23" s="698">
        <v>0</v>
      </c>
      <c r="L23" s="698">
        <v>0</v>
      </c>
      <c r="M23" s="21"/>
      <c r="N23" s="1004" t="s">
        <v>180</v>
      </c>
      <c r="O23" s="292">
        <f>SUMIFS([1]تیر!$AF$2:$AF$805,[1]تیر!$O$2:$O$805,7401,[1]تیر!$D$2:$D$805,$F$23,[1]تیر!$AC$2:$AC$805,O3)</f>
        <v>0</v>
      </c>
      <c r="P23" s="169">
        <f>SUMIFS([1]تیر!$AF$2:$AF$805,[1]تیر!$O$2:$O$805,7401,[1]تیر!$D$2:$D$805,$F$23,[1]تیر!$AC$2:$AC$805,P3)</f>
        <v>0</v>
      </c>
      <c r="Q23" s="169">
        <f>SUMIFS([1]تیر!$AF$2:$AF$805,[1]تیر!$O$2:$O$805,7401,[1]تیر!$D$2:$D$805,$F$23,[1]تیر!$AC$2:$AC$805,Q3)</f>
        <v>0</v>
      </c>
      <c r="R23" s="169">
        <f>SUMIFS([1]تیر!$AF$2:$AF$805,[1]تیر!$O$2:$O$805,7401,[1]تیر!$D$2:$D$805,$F$23,[1]تیر!$AC$2:$AC$805,R3)</f>
        <v>0</v>
      </c>
      <c r="S23" s="169">
        <f>SUMIFS([1]تیر!$AF$2:$AF$805,[1]تیر!$O$2:$O$805,7401,[1]تیر!$D$2:$D$805,$F$23,[1]تیر!$AC$2:$AC$805,S3)</f>
        <v>0</v>
      </c>
      <c r="T23" s="169">
        <f>SUMIFS([1]تیر!$AF$2:$AF$805,[1]تیر!$O$2:$O$805,7401,[1]تیر!$D$2:$D$805,$F$23,[1]تیر!$AC$2:$AC$805,T3)</f>
        <v>0</v>
      </c>
      <c r="U23" s="107">
        <f>SUMIFS([1]تیر!$AF$2:$AF$805,[1]تیر!$O$2:$O$805,7401,[1]تیر!$D$2:$D$805,$F$23,[1]تیر!$AC$2:$AC$805,U3)</f>
        <v>0</v>
      </c>
    </row>
    <row r="24" spans="1:21" ht="33.75" customHeight="1" x14ac:dyDescent="0.25">
      <c r="A24" s="686">
        <v>11</v>
      </c>
      <c r="B24" s="676" t="s">
        <v>24</v>
      </c>
      <c r="C24" s="674">
        <v>7401</v>
      </c>
      <c r="D24" s="674">
        <v>62.5</v>
      </c>
      <c r="E24" s="1003"/>
      <c r="F24" s="22" t="s">
        <v>16</v>
      </c>
      <c r="G24" s="3">
        <f t="shared" si="0"/>
        <v>25.5</v>
      </c>
      <c r="H24" s="47">
        <f t="shared" si="1"/>
        <v>0</v>
      </c>
      <c r="I24" s="3">
        <v>0</v>
      </c>
      <c r="J24" s="3">
        <v>0</v>
      </c>
      <c r="K24" s="3">
        <v>0</v>
      </c>
      <c r="L24" s="205">
        <v>0</v>
      </c>
      <c r="M24" s="4">
        <f>SUM(G23:L25)-D24</f>
        <v>-37</v>
      </c>
      <c r="N24" s="1005"/>
      <c r="O24" s="293">
        <f>SUMIFS([1]مرداد!$AF$2:$AF$805,[1]مرداد!$O$2:$O$805,7401,[1]مرداد!$D$2:$D$805,$F$24,[1]مرداد!$AC$2:$AC$805,O3)+3</f>
        <v>7</v>
      </c>
      <c r="P24" s="293">
        <f>SUMIFS([1]مرداد!$AF$2:$AF$805,[1]مرداد!$O$2:$O$805,7401,[1]مرداد!$D$2:$D$805,$F$24,[1]مرداد!$AC$2:$AC$805,P3)</f>
        <v>4</v>
      </c>
      <c r="Q24" s="293">
        <f>SUMIFS([1]مرداد!$AF$2:$AF$805,[1]مرداد!$O$2:$O$805,7401,[1]مرداد!$D$2:$D$805,$F$24,[1]مرداد!$AC$2:$AC$805,Q3)</f>
        <v>7.5</v>
      </c>
      <c r="R24" s="293">
        <f>SUMIFS([1]مرداد!$AF$2:$AF$805,[1]مرداد!$O$2:$O$805,7401,[1]مرداد!$D$2:$D$805,$F$24,[1]مرداد!$AC$2:$AC$805,R3)</f>
        <v>5.5</v>
      </c>
      <c r="S24" s="293">
        <f>SUMIFS([1]مرداد!$AF$2:$AF$805,[1]مرداد!$O$2:$O$805,7401,[1]مرداد!$D$2:$D$805,$F$24,[1]مرداد!$AC$2:$AC$805,S3)</f>
        <v>1.5</v>
      </c>
      <c r="T24" s="293">
        <f>SUMIFS([1]مرداد!$AF$2:$AF$805,[1]مرداد!$O$2:$O$805,7401,[1]مرداد!$D$2:$D$805,$F$24,[1]مرداد!$AC$2:$AC$805,T3)</f>
        <v>0</v>
      </c>
      <c r="U24" s="361">
        <f>SUMIFS([1]مرداد!$AF$2:$AF$805,[1]مرداد!$O$2:$O$805,7401,[1]مرداد!$D$2:$D$805,$F$24,[1]مرداد!$AC$2:$AC$805,U3)</f>
        <v>0</v>
      </c>
    </row>
    <row r="25" spans="1:21" ht="33.75" customHeight="1" thickBot="1" x14ac:dyDescent="0.3">
      <c r="A25" s="686"/>
      <c r="B25" s="683"/>
      <c r="C25" s="43"/>
      <c r="D25" s="675"/>
      <c r="E25" s="934"/>
      <c r="F25" s="5"/>
      <c r="G25" s="6">
        <f t="shared" si="0"/>
        <v>0</v>
      </c>
      <c r="H25" s="64">
        <f t="shared" si="1"/>
        <v>0</v>
      </c>
      <c r="I25" s="7">
        <v>0</v>
      </c>
      <c r="J25" s="7">
        <v>0</v>
      </c>
      <c r="K25" s="6">
        <v>0</v>
      </c>
      <c r="L25" s="6">
        <v>0</v>
      </c>
      <c r="M25" s="6"/>
      <c r="N25" s="1006"/>
      <c r="O25" s="352">
        <f>SUMIFS([1]تیر!$AF$2:$AF$805,[1]تیر!$O$2:$O$805,7401,[1]تیر!$D$2:$D$805,$F$25,[1]تیر!$AC$2:$AC$805,O3)</f>
        <v>0</v>
      </c>
      <c r="P25" s="175">
        <f>SUMIFS([1]تیر!$AF$2:$AF$805,[1]تیر!$O$2:$O$805,7401,[1]تیر!$D$2:$D$805,$F$25,[1]تیر!$AC$2:$AC$805,P3)</f>
        <v>0</v>
      </c>
      <c r="Q25" s="175">
        <f>SUMIFS([1]تیر!$AF$2:$AF$805,[1]تیر!$O$2:$O$805,7401,[1]تیر!$D$2:$D$805,$F$25,[1]تیر!$AC$2:$AC$805,Q3)</f>
        <v>0</v>
      </c>
      <c r="R25" s="175">
        <f>SUMIFS([1]تیر!$AF$2:$AF$805,[1]تیر!$O$2:$O$805,7401,[1]تیر!$D$2:$D$805,$F$25,[1]تیر!$AC$2:$AC$805,R3)</f>
        <v>0</v>
      </c>
      <c r="S25" s="175">
        <f>SUMIFS([1]تیر!$AF$2:$AF$805,[1]تیر!$O$2:$O$805,7401,[1]تیر!$D$2:$D$805,$F$25,[1]تیر!$AC$2:$AC$805,S3)</f>
        <v>0</v>
      </c>
      <c r="T25" s="175">
        <f>SUMIFS([1]تیر!$AF$2:$AF$805,[1]تیر!$O$2:$O$805,7401,[1]تیر!$D$2:$D$805,$F$25,[1]تیر!$AC$2:$AC$805,T3)</f>
        <v>0</v>
      </c>
      <c r="U25" s="114">
        <f>SUMIFS([1]تیر!$AF$2:$AF$805,[1]تیر!$O$2:$O$805,7401,[1]تیر!$D$2:$D$805,$F$25,[1]تیر!$AC$2:$AC$805,U3)</f>
        <v>0</v>
      </c>
    </row>
    <row r="26" spans="1:21" ht="33.75" customHeight="1" thickBot="1" x14ac:dyDescent="0.3">
      <c r="A26" s="682"/>
      <c r="B26" s="673"/>
      <c r="C26" s="673"/>
      <c r="D26" s="673"/>
      <c r="E26" s="749" t="s">
        <v>15</v>
      </c>
      <c r="F26" s="574"/>
      <c r="G26" s="21">
        <f t="shared" si="0"/>
        <v>0</v>
      </c>
      <c r="H26" s="63">
        <f t="shared" si="1"/>
        <v>0</v>
      </c>
      <c r="I26" s="21">
        <v>0</v>
      </c>
      <c r="J26" s="21">
        <v>0</v>
      </c>
      <c r="K26" s="21">
        <v>0</v>
      </c>
      <c r="L26" s="21">
        <v>0</v>
      </c>
      <c r="M26" s="21"/>
      <c r="N26" s="752"/>
      <c r="O26" s="354">
        <f>SUMIFS([1]اردیبهشت!$AD$2:$AD$805,[1]اردیبهشت!$N$2:$N$805,$C$26,[1]اردیبهشت!$D$2:$D$805,$F$26,[1]اردیبهشت!$AA$2:$AA$805,O3)</f>
        <v>0</v>
      </c>
      <c r="P26" s="185">
        <f>SUMIFS([1]اردیبهشت!$AD$2:$AD$805,[1]اردیبهشت!$N$2:$N$805,$C$26,[1]اردیبهشت!$D$2:$D$805,$F$26,[1]اردیبهشت!$AA$2:$AA$805,P3)</f>
        <v>0</v>
      </c>
      <c r="Q26" s="185">
        <f>SUMIFS([1]اردیبهشت!$AD$2:$AD$805,[1]اردیبهشت!$N$2:$N$805,$C$26,[1]اردیبهشت!$D$2:$D$805,$F$26,[1]اردیبهشت!$AA$2:$AA$805,Q3)</f>
        <v>0</v>
      </c>
      <c r="R26" s="185">
        <f>SUMIFS([1]اردیبهشت!$AD$2:$AD$805,[1]اردیبهشت!$N$2:$N$805,$C$26,[1]اردیبهشت!$D$2:$D$805,$F$26,[1]اردیبهشت!$AA$2:$AA$805,R3)</f>
        <v>0</v>
      </c>
      <c r="S26" s="185">
        <f>SUMIFS([1]اردیبهشت!$AD$2:$AD$805,[1]اردیبهشت!$N$2:$N$805,$C$26,[1]اردیبهشت!$D$2:$D$805,$F$26,[1]اردیبهشت!$AA$2:$AA$805,S3)</f>
        <v>0</v>
      </c>
      <c r="T26" s="185">
        <f>SUMIFS([1]اردیبهشت!$AD$2:$AD$805,[1]اردیبهشت!$N$2:$N$805,$C$26,[1]اردیبهشت!$D$2:$D$805,$F$26,[1]اردیبهشت!$AA$2:$AA$805,T3)</f>
        <v>0</v>
      </c>
      <c r="U26" s="112">
        <f>SUMIFS([1]خرداد!$AF$2:$AF$700,[1]خرداد!$O$2:$O$700,7101,[1]خرداد!$D$2:$D$700,$F$4,[1]خرداد!$AC$2:$AC$700,U25)</f>
        <v>0</v>
      </c>
    </row>
    <row r="27" spans="1:21" ht="33.75" customHeight="1" thickBot="1" x14ac:dyDescent="0.3">
      <c r="A27" s="12">
        <v>12</v>
      </c>
      <c r="B27" s="13" t="s">
        <v>25</v>
      </c>
      <c r="C27" s="13">
        <v>7501</v>
      </c>
      <c r="D27" s="13">
        <v>62.5</v>
      </c>
      <c r="E27" s="13" t="s">
        <v>15</v>
      </c>
      <c r="F27" s="16" t="s">
        <v>36</v>
      </c>
      <c r="G27" s="14">
        <f t="shared" si="0"/>
        <v>19</v>
      </c>
      <c r="H27" s="48">
        <f t="shared" si="1"/>
        <v>0</v>
      </c>
      <c r="I27" s="14">
        <v>4</v>
      </c>
      <c r="J27" s="14">
        <v>0</v>
      </c>
      <c r="K27" s="14">
        <v>0</v>
      </c>
      <c r="L27" s="14">
        <v>0</v>
      </c>
      <c r="M27" s="14">
        <f>SUM(G26:L28)-D27</f>
        <v>-39.5</v>
      </c>
      <c r="N27" s="61" t="s">
        <v>182</v>
      </c>
      <c r="O27" s="295">
        <f>SUMIFS([1]مرداد!$AF$2:$AF$805,[1]مرداد!$O$2:$O$805,7501,[1]مرداد!$D$2:$D$805,$F$27,[1]مرداد!$AC$2:$AC$805,O3)</f>
        <v>3</v>
      </c>
      <c r="P27" s="177">
        <f>SUMIFS([1]مرداد!$AF$2:$AF$805,[1]مرداد!$O$2:$O$805,7501,[1]مرداد!$D$2:$D$805,$F$27,[1]مرداد!$AC$2:$AC$805,P3)</f>
        <v>7</v>
      </c>
      <c r="Q27" s="177">
        <f>SUMIFS([1]مرداد!$AF$2:$AF$805,[1]مرداد!$O$2:$O$805,7501,[1]مرداد!$D$2:$D$805,$F$27,[1]مرداد!$AC$2:$AC$805,Q3)</f>
        <v>5</v>
      </c>
      <c r="R27" s="177">
        <f>SUMIFS([1]مرداد!$AF$2:$AF$805,[1]مرداد!$O$2:$O$805,7501,[1]مرداد!$D$2:$D$805,$F$27,[1]مرداد!$AC$2:$AC$805,R3)</f>
        <v>4</v>
      </c>
      <c r="S27" s="177">
        <f>SUMIFS([1]مرداد!$AF$2:$AF$805,[1]مرداد!$O$2:$O$805,7501,[1]مرداد!$D$2:$D$805,$F$27,[1]مرداد!$AC$2:$AC$805,S3)</f>
        <v>0</v>
      </c>
      <c r="T27" s="177">
        <f>SUMIFS([1]مرداد!$AF$2:$AF$805,[1]مرداد!$O$2:$O$805,7501,[1]مرداد!$D$2:$D$805,$F$27,[1]مرداد!$AC$2:$AC$805,T3)</f>
        <v>0</v>
      </c>
      <c r="U27" s="178">
        <f>SUMIFS([1]مرداد!$AF$2:$AF$805,[1]مرداد!$O$2:$O$805,7501,[1]مرداد!$D$2:$D$805,$F$27,[1]مرداد!$AC$2:$AC$805,U3)</f>
        <v>0</v>
      </c>
    </row>
    <row r="28" spans="1:21" ht="33.75" customHeight="1" thickBot="1" x14ac:dyDescent="0.3">
      <c r="A28" s="683"/>
      <c r="B28" s="675"/>
      <c r="C28" s="675"/>
      <c r="D28" s="675"/>
      <c r="E28" s="750"/>
      <c r="F28" s="745"/>
      <c r="G28" s="6">
        <f t="shared" si="0"/>
        <v>0</v>
      </c>
      <c r="H28" s="64">
        <f t="shared" si="1"/>
        <v>0</v>
      </c>
      <c r="I28" s="6">
        <v>0</v>
      </c>
      <c r="J28" s="6">
        <v>0</v>
      </c>
      <c r="K28" s="6">
        <v>0</v>
      </c>
      <c r="L28" s="6">
        <v>0</v>
      </c>
      <c r="M28" s="6"/>
      <c r="N28" s="679"/>
      <c r="O28" s="353">
        <f>SUMIFS([1]تیر!$AF$2:$AF$805,[1]تیر!$O$2:$O$805,7501,[1]تیر!$D$2:$D$805,$F$28,[1]تیر!$AC$2:$AC$805,O3)</f>
        <v>0</v>
      </c>
      <c r="P28" s="747">
        <f>SUMIFS([1]تیر!$AF$2:$AF$805,[1]تیر!$O$2:$O$805,7501,[1]تیر!$D$2:$D$805,$F$28,[1]تیر!$AC$2:$AC$805,P3)</f>
        <v>0</v>
      </c>
      <c r="Q28" s="747">
        <f>SUMIFS([1]تیر!$AF$2:$AF$805,[1]تیر!$O$2:$O$805,7501,[1]تیر!$D$2:$D$805,$F$28,[1]تیر!$AC$2:$AC$805,Q3)</f>
        <v>0</v>
      </c>
      <c r="R28" s="747">
        <f>SUMIFS([1]تیر!$AF$2:$AF$805,[1]تیر!$O$2:$O$805,7501,[1]تیر!$D$2:$D$805,$F$28,[1]تیر!$AC$2:$AC$805,R3)</f>
        <v>0</v>
      </c>
      <c r="S28" s="747">
        <f>SUMIFS([1]تیر!$AF$2:$AF$805,[1]تیر!$O$2:$O$805,7501,[1]تیر!$D$2:$D$805,$F$28,[1]تیر!$AC$2:$AC$805,S3)</f>
        <v>0</v>
      </c>
      <c r="T28" s="747">
        <f>SUMIFS([1]تیر!$AF$2:$AF$805,[1]تیر!$O$2:$O$805,7501,[1]تیر!$D$2:$D$805,$F$28,[1]تیر!$AC$2:$AC$805,T3)</f>
        <v>0</v>
      </c>
      <c r="U28" s="753">
        <f>SUMIFS([1]تیر!$AF$2:$AF$805,[1]تیر!$O$2:$O$805,7501,[1]تیر!$D$2:$D$805,$F$28,[1]تیر!$AC$2:$AC$805,U3)</f>
        <v>0</v>
      </c>
    </row>
    <row r="29" spans="1:21" ht="33.75" customHeight="1" thickBot="1" x14ac:dyDescent="0.3">
      <c r="A29" s="686"/>
      <c r="B29" s="699"/>
      <c r="C29" s="674"/>
      <c r="D29" s="674"/>
      <c r="E29" s="751"/>
      <c r="F29" s="66"/>
      <c r="G29" s="4">
        <f t="shared" si="0"/>
        <v>0</v>
      </c>
      <c r="H29" s="67">
        <v>0</v>
      </c>
      <c r="I29" s="89">
        <v>4</v>
      </c>
      <c r="J29" s="89">
        <v>0</v>
      </c>
      <c r="K29" s="89">
        <v>0</v>
      </c>
      <c r="L29" s="89">
        <v>0</v>
      </c>
      <c r="M29" s="4"/>
      <c r="N29" s="690"/>
      <c r="O29" s="577">
        <f>SUMIFS([1]تیر!$AF$2:$AF$805,[1]تیر!$O$2:$O$805,7502,[1]تیر!$D$2:$D$805,$F$29,[1]تیر!$AC$2:$AC$805,O3)</f>
        <v>0</v>
      </c>
      <c r="P29" s="202">
        <f>SUMIFS([1]تیر!$AF$2:$AF$805,[1]تیر!$O$2:$O$805,7502,[1]تیر!$D$2:$D$805,$F$29,[1]تیر!$AC$2:$AC$805,P3)</f>
        <v>0</v>
      </c>
      <c r="Q29" s="202">
        <f>SUMIFS([1]تیر!$AF$2:$AF$805,[1]تیر!$O$2:$O$805,7502,[1]تیر!$D$2:$D$805,$F$29,[1]تیر!$AC$2:$AC$805,Q3)</f>
        <v>0</v>
      </c>
      <c r="R29" s="202">
        <f>SUMIFS([1]تیر!$AF$2:$AF$805,[1]تیر!$O$2:$O$805,7502,[1]تیر!$D$2:$D$805,$F$29,[1]تیر!$AC$2:$AC$805,R3)</f>
        <v>0</v>
      </c>
      <c r="S29" s="202">
        <f>SUMIFS([1]تیر!$AF$2:$AF$805,[1]تیر!$O$2:$O$805,7502,[1]تیر!$D$2:$D$805,$F$29,[1]تیر!$AC$2:$AC$805,S3)</f>
        <v>0</v>
      </c>
      <c r="T29" s="202">
        <f>SUMIFS([1]مرداد!$AF$2:$AF$805,[1]مرداد!$O$2:$O$805,7502,[1]مرداد!$D$2:$D$805,F29,[1]مرداد!$AC$2:$AC$805,$T$3)</f>
        <v>0</v>
      </c>
      <c r="U29" s="120">
        <f>SUMIFS([1]تیر!$AF$2:$AF$805,[1]تیر!$O$2:$O$805,7502,[1]تیر!$D$2:$D$805,$F$29,[1]تیر!$AC$2:$AC$805,U3)</f>
        <v>0</v>
      </c>
    </row>
    <row r="30" spans="1:21" ht="33.75" customHeight="1" thickBot="1" x14ac:dyDescent="0.3">
      <c r="A30" s="45">
        <v>13</v>
      </c>
      <c r="B30" s="972" t="s">
        <v>25</v>
      </c>
      <c r="C30" s="935">
        <v>7502</v>
      </c>
      <c r="D30" s="932">
        <v>62.5</v>
      </c>
      <c r="E30" s="935" t="s">
        <v>15</v>
      </c>
      <c r="F30" s="20" t="s">
        <v>36</v>
      </c>
      <c r="G30" s="698">
        <f t="shared" si="0"/>
        <v>60.5</v>
      </c>
      <c r="H30" s="46">
        <f t="shared" si="1"/>
        <v>0</v>
      </c>
      <c r="I30" s="698">
        <v>0</v>
      </c>
      <c r="J30" s="698">
        <v>0</v>
      </c>
      <c r="K30" s="698">
        <v>0</v>
      </c>
      <c r="L30" s="698">
        <v>0</v>
      </c>
      <c r="M30" s="698">
        <f>SUM(G29:L31)-D30</f>
        <v>4</v>
      </c>
      <c r="N30" s="938" t="s">
        <v>42</v>
      </c>
      <c r="O30" s="295">
        <f>SUMIFS([1]مرداد!$AF$2:$AF$805,[1]مرداد!$O$2:$O$805,7502,[1]مرداد!$D$2:$D$805,$F$30,[1]مرداد!$AC$2:$AC$805,O3)</f>
        <v>11</v>
      </c>
      <c r="P30" s="295">
        <f>SUMIFS([1]مرداد!$AF$2:$AF$805,[1]مرداد!$O$2:$O$805,7502,[1]مرداد!$D$2:$D$805,$F$30,[1]مرداد!$AC$2:$AC$805,P3)</f>
        <v>11</v>
      </c>
      <c r="Q30" s="295">
        <f>SUMIFS([1]مرداد!$AF$2:$AF$805,[1]مرداد!$O$2:$O$805,7502,[1]مرداد!$D$2:$D$805,$F$30,[1]مرداد!$AC$2:$AC$805,Q3)</f>
        <v>6</v>
      </c>
      <c r="R30" s="295">
        <f>SUMIFS([1]مرداد!$AF$2:$AF$805,[1]مرداد!$O$2:$O$805,7502,[1]مرداد!$D$2:$D$805,$F$30,[1]مرداد!$AC$2:$AC$805,R3)</f>
        <v>16</v>
      </c>
      <c r="S30" s="295">
        <f>SUMIFS([1]مرداد!$AF$2:$AF$805,[1]مرداد!$O$2:$O$805,7502,[1]مرداد!$D$2:$D$805,$F$30,[1]مرداد!$AC$2:$AC$805,S3)</f>
        <v>11</v>
      </c>
      <c r="T30" s="295">
        <f>SUMIFS([1]مرداد!$AF$2:$AF$805,[1]مرداد!$O$2:$O$805,7502,[1]مرداد!$D$2:$D$805,$F$30,[1]مرداد!$AC$2:$AC$805,T3)</f>
        <v>5.5</v>
      </c>
      <c r="U30" s="744">
        <f>SUMIFS([1]مرداد!$AF$2:$AF$805,[1]مرداد!$O$2:$O$805,7502,[1]مرداد!$D$2:$D$805,$F$30,[1]مرداد!$AC$2:$AC$805,U3)</f>
        <v>0</v>
      </c>
    </row>
    <row r="31" spans="1:21" ht="33.75" customHeight="1" thickBot="1" x14ac:dyDescent="0.3">
      <c r="A31" s="687"/>
      <c r="B31" s="973"/>
      <c r="C31" s="937"/>
      <c r="D31" s="934"/>
      <c r="E31" s="937"/>
      <c r="F31" s="745" t="s">
        <v>54</v>
      </c>
      <c r="G31" s="6">
        <f t="shared" si="0"/>
        <v>2</v>
      </c>
      <c r="H31" s="64">
        <f t="shared" si="1"/>
        <v>0</v>
      </c>
      <c r="I31" s="6">
        <v>0</v>
      </c>
      <c r="J31" s="6">
        <v>0</v>
      </c>
      <c r="K31" s="6">
        <v>0</v>
      </c>
      <c r="L31" s="6">
        <v>0</v>
      </c>
      <c r="M31" s="6"/>
      <c r="N31" s="1007"/>
      <c r="O31" s="577">
        <f>SUMIFS([1]مرداد!$AF$2:$AF$805,[1]مرداد!$O$2:$O$805,7502,[1]مرداد!$D$2:$D$805,$F$31,[1]مرداد!$AC$2:$AC$805,O3)</f>
        <v>0</v>
      </c>
      <c r="P31" s="577">
        <f>SUMIFS([1]مرداد!$AF$2:$AF$805,[1]مرداد!$O$2:$O$805,7502,[1]مرداد!$D$2:$D$805,$F$31,[1]مرداد!$AC$2:$AC$805,P3)</f>
        <v>0</v>
      </c>
      <c r="Q31" s="577">
        <f>SUMIFS([1]مرداد!$AF$2:$AF$805,[1]مرداد!$O$2:$O$805,7502,[1]مرداد!$D$2:$D$805,$F$31,[1]مرداد!$AC$2:$AC$805,Q3)</f>
        <v>0</v>
      </c>
      <c r="R31" s="577">
        <f>SUMIFS([1]مرداد!$AF$2:$AF$805,[1]مرداد!$O$2:$O$805,7502,[1]مرداد!$D$2:$D$805,$F$31,[1]مرداد!$AC$2:$AC$805,R3)</f>
        <v>0</v>
      </c>
      <c r="S31" s="577">
        <f>SUMIFS([1]مرداد!$AF$2:$AF$805,[1]مرداد!$O$2:$O$805,7502,[1]مرداد!$D$2:$D$805,$F$31,[1]مرداد!$AC$2:$AC$805,S3)</f>
        <v>0</v>
      </c>
      <c r="T31" s="577">
        <f>SUMIFS([1]مرداد!$AF$2:$AF$805,[1]مرداد!$O$2:$O$805,7502,[1]مرداد!$D$2:$D$805,$F$31,[1]مرداد!$AC$2:$AC$805,T3)</f>
        <v>2</v>
      </c>
      <c r="U31" s="577">
        <f>SUMIFS([1]مرداد!$AF$2:$AF$805,[1]مرداد!$O$2:$O$805,7502,[1]مرداد!$D$2:$D$805,$F$31,[1]مرداد!$AC$2:$AC$805,U3)</f>
        <v>0</v>
      </c>
    </row>
    <row r="32" spans="1:21" ht="33.75" customHeight="1" x14ac:dyDescent="0.25">
      <c r="A32" s="939">
        <v>14</v>
      </c>
      <c r="B32" s="83" t="s">
        <v>26</v>
      </c>
      <c r="C32" s="661">
        <v>7601</v>
      </c>
      <c r="D32" s="661">
        <v>72</v>
      </c>
      <c r="E32" s="914" t="s">
        <v>15</v>
      </c>
      <c r="F32" s="84" t="s">
        <v>27</v>
      </c>
      <c r="G32" s="85">
        <f t="shared" si="0"/>
        <v>65</v>
      </c>
      <c r="H32" s="86">
        <f t="shared" si="1"/>
        <v>0</v>
      </c>
      <c r="I32" s="85">
        <v>0</v>
      </c>
      <c r="J32" s="85">
        <v>0</v>
      </c>
      <c r="K32" s="85">
        <v>0</v>
      </c>
      <c r="L32" s="85">
        <v>0</v>
      </c>
      <c r="M32" s="87">
        <f>(J32+J33+I33+I32+H32+H33+G33+G32+L32+K32)-D32</f>
        <v>-7</v>
      </c>
      <c r="N32" s="941" t="s">
        <v>13</v>
      </c>
      <c r="O32" s="298">
        <f>SUMIFS([1]مرداد!$AF$2:$AF$805,[1]مرداد!$O$2:$O$805,7601,[1]مرداد!$D$2:$D$805,$F$32,[1]مرداد!$AC$2:$AC$805,O3)</f>
        <v>12</v>
      </c>
      <c r="P32" s="298">
        <f>SUMIFS([1]مرداد!$AF$2:$AF$805,[1]مرداد!$O$2:$O$805,7601,[1]مرداد!$D$2:$D$805,$F$32,[1]مرداد!$AC$2:$AC$805,P3)</f>
        <v>12</v>
      </c>
      <c r="Q32" s="298">
        <f>SUMIFS([1]مرداد!$AF$2:$AF$805,[1]مرداد!$O$2:$O$805,7601,[1]مرداد!$D$2:$D$805,$F$32,[1]مرداد!$AC$2:$AC$805,Q3)</f>
        <v>11</v>
      </c>
      <c r="R32" s="298">
        <f>SUMIFS([1]مرداد!$AF$2:$AF$805,[1]مرداد!$O$2:$O$805,7601,[1]مرداد!$D$2:$D$805,$F$32,[1]مرداد!$AC$2:$AC$805,R3)</f>
        <v>12</v>
      </c>
      <c r="S32" s="298">
        <f>SUMIFS([1]مرداد!$AF$2:$AF$805,[1]مرداد!$O$2:$O$805,7601,[1]مرداد!$D$2:$D$805,$F$32,[1]مرداد!$AC$2:$AC$805,S3)</f>
        <v>10</v>
      </c>
      <c r="T32" s="298">
        <f>SUMIFS([1]مرداد!$AF$2:$AF$805,[1]مرداد!$O$2:$O$805,7601,[1]مرداد!$D$2:$D$805,$F$32,[1]مرداد!$AC$2:$AC$805,T3)</f>
        <v>8</v>
      </c>
      <c r="U32" s="298">
        <f>SUMIFS([1]مرداد!$AF$2:$AF$805,[1]مرداد!$O$2:$O$805,7601,[1]مرداد!$D$2:$D$805,$F$32,[1]مرداد!$AC$2:$AC$805,U3)</f>
        <v>0</v>
      </c>
    </row>
    <row r="33" spans="1:21" ht="33.75" customHeight="1" thickBot="1" x14ac:dyDescent="0.3">
      <c r="A33" s="940"/>
      <c r="B33" s="123"/>
      <c r="C33" s="662"/>
      <c r="D33" s="662"/>
      <c r="E33" s="915"/>
      <c r="F33" s="124"/>
      <c r="G33" s="93">
        <f t="shared" si="0"/>
        <v>0</v>
      </c>
      <c r="H33" s="92">
        <f t="shared" si="1"/>
        <v>0</v>
      </c>
      <c r="I33" s="125">
        <v>0</v>
      </c>
      <c r="J33" s="125">
        <v>0</v>
      </c>
      <c r="K33" s="126">
        <v>0</v>
      </c>
      <c r="L33" s="126">
        <v>0</v>
      </c>
      <c r="M33" s="127"/>
      <c r="N33" s="917"/>
      <c r="O33" s="584">
        <f>SUMIFS([1]مرداد!$AF$2:$AF$805,[1]مرداد!$O$2:$O$805,7601,[1]مرداد!$D$2:$D$805,$F$33,[1]مرداد!$AC$2:$AC$805,O3)</f>
        <v>0</v>
      </c>
      <c r="P33" s="584">
        <f>SUMIFS([1]مرداد!$AF$2:$AF$805,[1]مرداد!$O$2:$O$805,7601,[1]مرداد!$D$2:$D$805,$F$33,[1]مرداد!$AC$2:$AC$805,P3)</f>
        <v>0</v>
      </c>
      <c r="Q33" s="584">
        <f>SUMIFS([1]مرداد!$AF$2:$AF$805,[1]مرداد!$O$2:$O$805,7601,[1]مرداد!$D$2:$D$805,$F$33,[1]مرداد!$AC$2:$AC$805,Q3)</f>
        <v>0</v>
      </c>
      <c r="R33" s="584">
        <f>SUMIFS([1]مرداد!$AF$2:$AF$805,[1]مرداد!$O$2:$O$805,7601,[1]مرداد!$D$2:$D$805,$F$33,[1]مرداد!$AC$2:$AC$805,R3)</f>
        <v>0</v>
      </c>
      <c r="S33" s="584">
        <f>SUMIFS([1]مرداد!$AF$2:$AF$805,[1]مرداد!$O$2:$O$805,7601,[1]مرداد!$D$2:$D$805,$F$33,[1]مرداد!$AC$2:$AC$805,S3)</f>
        <v>0</v>
      </c>
      <c r="T33" s="584">
        <f>SUMIFS([1]مرداد!$AF$2:$AF$805,[1]مرداد!$O$2:$O$805,7601,[1]مرداد!$D$2:$D$805,$F$33,[1]مرداد!$AC$2:$AC$805,T3)</f>
        <v>0</v>
      </c>
      <c r="U33" s="584">
        <f>SUMIFS([1]مرداد!$AF$2:$AF$805,[1]مرداد!$O$2:$O$805,7601,[1]مرداد!$D$2:$D$805,$F$33,[1]مرداد!$AC$2:$AC$805,U3)</f>
        <v>0</v>
      </c>
    </row>
    <row r="34" spans="1:21" ht="33.75" customHeight="1" x14ac:dyDescent="0.25">
      <c r="A34" s="912">
        <v>15</v>
      </c>
      <c r="B34" s="83" t="s">
        <v>26</v>
      </c>
      <c r="C34" s="661">
        <v>7602</v>
      </c>
      <c r="D34" s="661">
        <v>72</v>
      </c>
      <c r="E34" s="914" t="s">
        <v>15</v>
      </c>
      <c r="F34" s="84" t="s">
        <v>27</v>
      </c>
      <c r="G34" s="698">
        <f t="shared" si="0"/>
        <v>62</v>
      </c>
      <c r="H34" s="46">
        <f t="shared" si="1"/>
        <v>0</v>
      </c>
      <c r="I34" s="85">
        <v>0</v>
      </c>
      <c r="J34" s="85">
        <v>0</v>
      </c>
      <c r="K34" s="85">
        <v>0</v>
      </c>
      <c r="L34" s="85">
        <v>0</v>
      </c>
      <c r="M34" s="87">
        <f>(J34+J35+I35+I34+H34+H35+G35+G34)-D34</f>
        <v>-10</v>
      </c>
      <c r="N34" s="916" t="s">
        <v>13</v>
      </c>
      <c r="O34" s="292">
        <f>SUMIFS([1]مرداد!$AF$2:$AF$805,[1]مرداد!$O$2:$O$805,7602,[1]مرداد!$D$2:$D$805,$F$34,[1]مرداد!$AC$2:$AC$805,O3)</f>
        <v>12</v>
      </c>
      <c r="P34" s="292">
        <f>SUMIFS([1]مرداد!$AF$2:$AF$805,[1]مرداد!$O$2:$O$805,7602,[1]مرداد!$D$2:$D$805,$F$34,[1]مرداد!$AC$2:$AC$805,P3)</f>
        <v>12</v>
      </c>
      <c r="Q34" s="292">
        <f>SUMIFS([1]مرداد!$AF$2:$AF$805,[1]مرداد!$O$2:$O$805,7602,[1]مرداد!$D$2:$D$805,$F$34,[1]مرداد!$AC$2:$AC$805,Q3)</f>
        <v>11</v>
      </c>
      <c r="R34" s="292">
        <f>SUMIFS([1]مرداد!$AF$2:$AF$805,[1]مرداد!$O$2:$O$805,7602,[1]مرداد!$D$2:$D$805,$F$34,[1]مرداد!$AC$2:$AC$805,R3)</f>
        <v>9</v>
      </c>
      <c r="S34" s="292">
        <f>SUMIFS([1]مرداد!$AF$2:$AF$805,[1]مرداد!$O$2:$O$805,7602,[1]مرداد!$D$2:$D$805,$F$34,[1]مرداد!$AC$2:$AC$805,S3)</f>
        <v>10</v>
      </c>
      <c r="T34" s="292">
        <f>SUMIFS([1]مرداد!$AF$2:$AF$805,[1]مرداد!$O$2:$O$805,7602,[1]مرداد!$D$2:$D$805,$F$34,[1]مرداد!$AC$2:$AC$805,T3)</f>
        <v>8</v>
      </c>
      <c r="U34" s="292">
        <f>SUMIFS([1]مرداد!$AF$2:$AF$805,[1]مرداد!$O$2:$O$805,7602,[1]مرداد!$D$2:$D$805,$F$34,[1]مرداد!$AC$2:$AC$805,U3)</f>
        <v>0</v>
      </c>
    </row>
    <row r="35" spans="1:21" ht="33.75" customHeight="1" thickBot="1" x14ac:dyDescent="0.3">
      <c r="A35" s="913"/>
      <c r="B35" s="123"/>
      <c r="C35" s="662"/>
      <c r="D35" s="662"/>
      <c r="E35" s="915"/>
      <c r="F35" s="124"/>
      <c r="G35" s="6">
        <f t="shared" si="0"/>
        <v>0</v>
      </c>
      <c r="H35" s="64">
        <f t="shared" si="1"/>
        <v>0</v>
      </c>
      <c r="I35" s="125">
        <v>0</v>
      </c>
      <c r="J35" s="125">
        <v>0</v>
      </c>
      <c r="K35" s="126">
        <v>0</v>
      </c>
      <c r="L35" s="126">
        <v>0</v>
      </c>
      <c r="M35" s="127"/>
      <c r="N35" s="917"/>
      <c r="O35" s="352">
        <f>SUMIFS([1]اردیبهشت!$AD$2:$AD$805,[1]اردیبهشت!$N$2:$N$805,$C$34,[1]اردیبهشت!$D$2:$D$805,$F$35,[1]اردیبهشت!$AA$2:$AA$805,O3)</f>
        <v>0</v>
      </c>
      <c r="P35" s="175">
        <f>SUMIFS([1]اردیبهشت!$AD$2:$AD$600,[1]اردیبهشت!$N$2:$N$600,$C$34,[1]اردیبهشت!$D$2:$D$600,$F$35,[1]اردیبهشت!$AA$2:$AA$600,P3)</f>
        <v>0</v>
      </c>
      <c r="Q35" s="175">
        <f>SUMIFS([1]اردیبهشت!$AD$2:$AD$600,[1]اردیبهشت!$N$2:$N$600,$C$34,[1]اردیبهشت!$D$2:$D$600,$F$35,[1]اردیبهشت!$AA$2:$AA$600,Q3)</f>
        <v>0</v>
      </c>
      <c r="R35" s="175">
        <f>SUMIFS([1]اردیبهشت!$AD$2:$AD$600,[1]اردیبهشت!$N$2:$N$600,$C$34,[1]اردیبهشت!$D$2:$D$600,$F$35,[1]اردیبهشت!$AA$2:$AA$600,R3)</f>
        <v>0</v>
      </c>
      <c r="S35" s="175">
        <f>SUMIFS([1]اردیبهشت!$AD$2:$AD$600,[1]اردیبهشت!$N$2:$N$600,$C$34,[1]اردیبهشت!$D$2:$D$600,$F$35,[1]اردیبهشت!$AA$2:$AA$600,S3)</f>
        <v>0</v>
      </c>
      <c r="T35" s="175">
        <f>SUMIFS([1]اردیبهشت!$AD$2:$AD$600,[1]اردیبهشت!$N$2:$N$600,$C$34,[1]اردیبهشت!$D$2:$D$600,$F$35,[1]اردیبهشت!$AA$2:$AA$600,T3)</f>
        <v>0</v>
      </c>
      <c r="U35" s="114">
        <f>SUMIFS([1]خرداد!$AF$2:$AF$700,[1]خرداد!$O$2:$O$700,7101,[1]خرداد!$D$2:$D$700,$F$4,[1]خرداد!$AC$2:$AC$700,U34)</f>
        <v>0</v>
      </c>
    </row>
    <row r="36" spans="1:21" ht="33.75" customHeight="1" x14ac:dyDescent="0.25">
      <c r="A36" s="912">
        <v>16</v>
      </c>
      <c r="B36" s="667" t="s">
        <v>26</v>
      </c>
      <c r="C36" s="669">
        <v>7603</v>
      </c>
      <c r="D36" s="669">
        <v>72</v>
      </c>
      <c r="E36" s="943" t="s">
        <v>15</v>
      </c>
      <c r="F36" s="84" t="s">
        <v>27</v>
      </c>
      <c r="G36" s="698">
        <f t="shared" si="0"/>
        <v>35</v>
      </c>
      <c r="H36" s="46">
        <f t="shared" si="1"/>
        <v>0</v>
      </c>
      <c r="I36" s="698">
        <v>0</v>
      </c>
      <c r="J36" s="698">
        <v>0</v>
      </c>
      <c r="K36" s="698">
        <v>0</v>
      </c>
      <c r="L36" s="698">
        <v>0</v>
      </c>
      <c r="M36" s="23">
        <f>(J36+J37+I37+I36+H36+H37+G37+G36+L36+L37)-D36</f>
        <v>-37</v>
      </c>
      <c r="N36" s="945" t="s">
        <v>13</v>
      </c>
      <c r="O36" s="292">
        <f>SUMIFS([1]مرداد!$AF$2:$AF$805,[1]مرداد!$O$2:$O$805,7603,[1]مرداد!$D$2:$D$805,$F$36,[1]مرداد!$AC$2:$AC$805,O3)</f>
        <v>12</v>
      </c>
      <c r="P36" s="292">
        <f>SUMIFS([1]مرداد!$AF$2:$AF$805,[1]مرداد!$O$2:$O$805,7603,[1]مرداد!$D$2:$D$805,$F$36,[1]مرداد!$AC$2:$AC$805,P3)</f>
        <v>12</v>
      </c>
      <c r="Q36" s="292">
        <f>SUMIFS([1]مرداد!$AF$2:$AF$805,[1]مرداد!$O$2:$O$805,7603,[1]مرداد!$D$2:$D$805,$F$36,[1]مرداد!$AC$2:$AC$805,Q3)</f>
        <v>11</v>
      </c>
      <c r="R36" s="292">
        <f>SUMIFS([1]مرداد!$AF$2:$AF$805,[1]مرداد!$O$2:$O$805,7603,[1]مرداد!$D$2:$D$805,$F$36,[1]مرداد!$AC$2:$AC$805,R3)</f>
        <v>0</v>
      </c>
      <c r="S36" s="292">
        <f>SUMIFS([1]مرداد!$AF$2:$AF$805,[1]مرداد!$O$2:$O$805,7603,[1]مرداد!$D$2:$D$805,$F$36,[1]مرداد!$AC$2:$AC$805,S3)</f>
        <v>0</v>
      </c>
      <c r="T36" s="292">
        <f>SUMIFS([1]مرداد!$AF$2:$AF$805,[1]مرداد!$O$2:$O$805,7603,[1]مرداد!$D$2:$D$805,$F$36,[1]مرداد!$AC$2:$AC$805,T3)</f>
        <v>0</v>
      </c>
      <c r="U36" s="292">
        <f>SUMIFS([1]مرداد!$AF$2:$AF$805,[1]مرداد!$O$2:$O$805,7603,[1]مرداد!$D$2:$D$805,$F$36,[1]مرداد!$AC$2:$AC$805,U3)</f>
        <v>0</v>
      </c>
    </row>
    <row r="37" spans="1:21" ht="33.75" customHeight="1" thickBot="1" x14ac:dyDescent="0.3">
      <c r="A37" s="942"/>
      <c r="B37" s="668"/>
      <c r="C37" s="672"/>
      <c r="D37" s="672"/>
      <c r="E37" s="944"/>
      <c r="F37" s="5"/>
      <c r="G37" s="1">
        <f t="shared" si="0"/>
        <v>0</v>
      </c>
      <c r="H37" s="49">
        <f t="shared" si="1"/>
        <v>0</v>
      </c>
      <c r="I37" s="7">
        <v>0</v>
      </c>
      <c r="J37" s="7">
        <v>0</v>
      </c>
      <c r="K37" s="6">
        <v>0</v>
      </c>
      <c r="L37" s="6">
        <v>0</v>
      </c>
      <c r="M37" s="8"/>
      <c r="N37" s="946"/>
      <c r="O37" s="294">
        <f>SUMIFS([1]اردیبهشت!$AD$2:$AD$805,[1]اردیبهشت!$N$2:$N$805,$C$36,[1]اردیبهشت!$D$2:$D$805,$F$37,[1]اردیبهشت!$AA$2:$AA$805,O3)</f>
        <v>0</v>
      </c>
      <c r="P37" s="172">
        <f>SUMIFS([1]اردیبهشت!$AD$2:$AD$600,[1]اردیبهشت!$N$2:$N$600,$C$36,[1]اردیبهشت!$D$2:$D$600,$F$37,[1]اردیبهشت!$AA$2:$AA$600,P3)</f>
        <v>0</v>
      </c>
      <c r="Q37" s="172">
        <f>SUMIFS([1]اردیبهشت!$AD$2:$AD$600,[1]اردیبهشت!$N$2:$N$600,$C$36,[1]اردیبهشت!$D$2:$D$600,$F$37,[1]اردیبهشت!$AA$2:$AA$600,Q3)</f>
        <v>0</v>
      </c>
      <c r="R37" s="172">
        <f>SUMIFS([1]اردیبهشت!$AD$2:$AD$600,[1]اردیبهشت!$N$2:$N$600,$C$36,[1]اردیبهشت!$D$2:$D$600,$F$37,[1]اردیبهشت!$AA$2:$AA$600,R3)</f>
        <v>0</v>
      </c>
      <c r="S37" s="172">
        <f>SUMIFS([1]اردیبهشت!$AD$2:$AD$600,[1]اردیبهشت!$N$2:$N$600,$C$36,[1]اردیبهشت!$D$2:$D$600,$F$37,[1]اردیبهشت!$AA$2:$AA$600,S3)</f>
        <v>0</v>
      </c>
      <c r="T37" s="172">
        <f>SUMIFS([1]اردیبهشت!$AD$2:$AD$600,[1]اردیبهشت!$N$2:$N$600,$C$36,[1]اردیبهشت!$D$2:$D$600,$F$37,[1]اردیبهشت!$AA$2:$AA$600,T3)</f>
        <v>0</v>
      </c>
      <c r="U37" s="109">
        <f>SUMIFS([1]خرداد!$AF$2:$AF$700,[1]خرداد!$O$2:$O$700,7101,[1]خرداد!$D$2:$D$700,$F$4,[1]خرداد!$AC$2:$AC$700,U36)</f>
        <v>0</v>
      </c>
    </row>
    <row r="38" spans="1:21" ht="33.75" customHeight="1" x14ac:dyDescent="0.25">
      <c r="A38" s="912">
        <v>17</v>
      </c>
      <c r="B38" s="691" t="s">
        <v>26</v>
      </c>
      <c r="C38" s="458">
        <v>7604</v>
      </c>
      <c r="D38" s="695">
        <v>72</v>
      </c>
      <c r="E38" s="968" t="s">
        <v>15</v>
      </c>
      <c r="F38" s="91" t="s">
        <v>27</v>
      </c>
      <c r="G38" s="85">
        <f>SUM(O36:T36)</f>
        <v>35</v>
      </c>
      <c r="H38" s="86">
        <f t="shared" si="1"/>
        <v>0</v>
      </c>
      <c r="I38" s="93">
        <v>0</v>
      </c>
      <c r="J38" s="93">
        <v>0</v>
      </c>
      <c r="K38" s="93">
        <v>0</v>
      </c>
      <c r="L38" s="93">
        <v>0</v>
      </c>
      <c r="M38" s="94"/>
      <c r="N38" s="971"/>
      <c r="O38" s="187">
        <f>SUMIFS([1]مرداد!$AF$2:$AF$805,[1]مرداد!$O$2:$O$805,7604,[1]مرداد!$D$2:$D$805,$F$38,[1]مرداد!$AC$2:$AC$805,O3)</f>
        <v>0</v>
      </c>
      <c r="P38" s="298">
        <f>SUMIFS([1]مرداد!$AF$2:$AF$805,[1]مرداد!$O$2:$O$805,7604,[1]مرداد!$D$2:$D$805,$F$38,[1]مرداد!$AC$2:$AC$805,P3)</f>
        <v>0</v>
      </c>
      <c r="Q38" s="298">
        <f>SUMIFS([1]مرداد!$AF$2:$AF$805,[1]مرداد!$O$2:$O$805,7604,[1]مرداد!$D$2:$D$805,$F$38,[1]مرداد!$AC$2:$AC$805,Q3)</f>
        <v>0</v>
      </c>
      <c r="R38" s="298">
        <f>SUMIFS([1]مرداد!$AF$2:$AF$805,[1]مرداد!$O$2:$O$805,7604,[1]مرداد!$D$2:$D$805,$F$38,[1]مرداد!$AC$2:$AC$805,R3)</f>
        <v>9</v>
      </c>
      <c r="S38" s="298">
        <f>SUMIFS([1]مرداد!$AF$2:$AF$805,[1]مرداد!$O$2:$O$805,7604,[1]مرداد!$D$2:$D$805,$F$38,[1]مرداد!$AC$2:$AC$805,S3)</f>
        <v>9</v>
      </c>
      <c r="T38" s="298">
        <f>SUMIFS([1]مرداد!$AF$2:$AF$805,[1]مرداد!$O$2:$O$805,7604,[1]مرداد!$D$2:$D$805,$F$38,[1]مرداد!$AC$2:$AC$805,T3)</f>
        <v>8</v>
      </c>
      <c r="U38" s="463">
        <f>SUMIFS([1]مرداد!$AF$2:$AF$805,[1]مرداد!$O$2:$O$805,7604,[1]مرداد!$D$2:$D$805,$F$38,[1]مرداد!$AC$2:$AC$805,U3)</f>
        <v>0</v>
      </c>
    </row>
    <row r="39" spans="1:21" ht="41.25" customHeight="1" thickBot="1" x14ac:dyDescent="0.3">
      <c r="A39" s="913"/>
      <c r="B39" s="691"/>
      <c r="C39" s="459"/>
      <c r="D39" s="697"/>
      <c r="E39" s="997"/>
      <c r="F39" s="461"/>
      <c r="G39" s="93">
        <f t="shared" si="0"/>
        <v>0</v>
      </c>
      <c r="H39" s="92">
        <f t="shared" si="1"/>
        <v>0</v>
      </c>
      <c r="I39" s="462">
        <v>0</v>
      </c>
      <c r="J39" s="462">
        <v>0</v>
      </c>
      <c r="K39" s="89">
        <v>0</v>
      </c>
      <c r="L39" s="89">
        <v>0</v>
      </c>
      <c r="M39" s="94"/>
      <c r="N39" s="998"/>
      <c r="O39" s="274"/>
      <c r="P39" s="275"/>
      <c r="Q39" s="275"/>
      <c r="R39" s="275"/>
      <c r="S39" s="275"/>
      <c r="T39" s="275"/>
      <c r="U39" s="121"/>
    </row>
    <row r="40" spans="1:21" ht="33.75" customHeight="1" x14ac:dyDescent="0.25">
      <c r="A40" s="954">
        <v>18</v>
      </c>
      <c r="B40" s="83" t="s">
        <v>26</v>
      </c>
      <c r="C40" s="661">
        <v>7605</v>
      </c>
      <c r="D40" s="661">
        <v>72</v>
      </c>
      <c r="E40" s="914" t="s">
        <v>15</v>
      </c>
      <c r="F40" s="84" t="s">
        <v>27</v>
      </c>
      <c r="G40" s="85">
        <f t="shared" si="0"/>
        <v>65</v>
      </c>
      <c r="H40" s="86">
        <f t="shared" si="1"/>
        <v>0</v>
      </c>
      <c r="I40" s="85">
        <v>0</v>
      </c>
      <c r="J40" s="85">
        <v>0</v>
      </c>
      <c r="K40" s="85">
        <v>0</v>
      </c>
      <c r="L40" s="153">
        <v>0</v>
      </c>
      <c r="M40" s="87">
        <f>(G40+H40+I40+J40+K40+L40)-D40</f>
        <v>-7</v>
      </c>
      <c r="N40" s="955" t="s">
        <v>13</v>
      </c>
      <c r="O40" s="298">
        <f>SUMIFS([1]مرداد!$AF$2:$AF$805,[1]مرداد!$O$2:$O$805,7605,[1]مرداد!$D$2:$D$805,$F$40,[1]مرداد!$AC$2:$AC$805,O3)</f>
        <v>12</v>
      </c>
      <c r="P40" s="298">
        <f>SUMIFS([1]مرداد!$AF$2:$AF$805,[1]مرداد!$O$2:$O$805,7605,[1]مرداد!$D$2:$D$805,$F$40,[1]مرداد!$AC$2:$AC$805,P3)</f>
        <v>12</v>
      </c>
      <c r="Q40" s="298">
        <f>SUMIFS([1]مرداد!$AF$2:$AF$805,[1]مرداد!$O$2:$O$805,7605,[1]مرداد!$D$2:$D$805,$F$40,[1]مرداد!$AC$2:$AC$805,Q3)</f>
        <v>11</v>
      </c>
      <c r="R40" s="298">
        <f>SUMIFS([1]مرداد!$AF$2:$AF$805,[1]مرداد!$O$2:$O$805,7605,[1]مرداد!$D$2:$D$805,$F$40,[1]مرداد!$AC$2:$AC$805,R3)</f>
        <v>12</v>
      </c>
      <c r="S40" s="298">
        <f>SUMIFS([1]مرداد!$AF$2:$AF$805,[1]مرداد!$O$2:$O$805,7605,[1]مرداد!$D$2:$D$805,$F$40,[1]مرداد!$AC$2:$AC$805,S3)</f>
        <v>10</v>
      </c>
      <c r="T40" s="298">
        <f>SUMIFS([1]مرداد!$AF$2:$AF$805,[1]مرداد!$O$2:$O$805,7605,[1]مرداد!$D$2:$D$805,$F$40,[1]مرداد!$AC$2:$AC$805,T3)</f>
        <v>8</v>
      </c>
      <c r="U40" s="298">
        <f>SUMIFS([1]مرداد!$AF$2:$AF$805,[1]مرداد!$O$2:$O$805,7605,[1]مرداد!$D$2:$D$805,$F$40,[1]مرداد!$AC$2:$AC$805,U3)</f>
        <v>0</v>
      </c>
    </row>
    <row r="41" spans="1:21" ht="33.75" customHeight="1" thickBot="1" x14ac:dyDescent="0.3">
      <c r="A41" s="942"/>
      <c r="B41" s="589"/>
      <c r="C41" s="697"/>
      <c r="D41" s="697"/>
      <c r="E41" s="997"/>
      <c r="F41" s="461"/>
      <c r="G41" s="89">
        <f t="shared" si="0"/>
        <v>0</v>
      </c>
      <c r="H41" s="286">
        <f t="shared" si="1"/>
        <v>0</v>
      </c>
      <c r="I41" s="462">
        <v>0</v>
      </c>
      <c r="J41" s="462">
        <v>0</v>
      </c>
      <c r="K41" s="89">
        <v>0</v>
      </c>
      <c r="L41" s="89">
        <v>0</v>
      </c>
      <c r="M41" s="94"/>
      <c r="N41" s="998"/>
      <c r="O41" s="584">
        <f>SUMIFS([1]اردیبهشت!$AD$2:$AD$805,[1]اردیبهشت!$N$2:$N$805,$C$40,[1]اردیبهشت!$D$2:$D$805,$F$41,[1]اردیبهشت!$AA$2:$AA$805,O3)</f>
        <v>0</v>
      </c>
      <c r="P41" s="191">
        <f>SUMIFS([1]اردیبهشت!$AD$2:$AD$600,[1]اردیبهشت!$N$2:$N$600,$C$40,[1]اردیبهشت!$D$2:$D$600,$F$41,[1]اردیبهشت!$AA$2:$AA$600,P3)</f>
        <v>0</v>
      </c>
      <c r="Q41" s="191">
        <f>SUMIFS([1]اردیبهشت!$AD$2:$AD$600,[1]اردیبهشت!$N$2:$N$600,$C$40,[1]اردیبهشت!$D$2:$D$600,$F$41,[1]اردیبهشت!$AA$2:$AA$600,Q3)</f>
        <v>0</v>
      </c>
      <c r="R41" s="191">
        <f>SUMIFS([1]اردیبهشت!$AD$2:$AD$600,[1]اردیبهشت!$N$2:$N$600,$C$40,[1]اردیبهشت!$D$2:$D$600,$F$41,[1]اردیبهشت!$AA$2:$AA$600,R3)</f>
        <v>0</v>
      </c>
      <c r="S41" s="191">
        <f>SUMIFS([1]اردیبهشت!$AD$2:$AD$600,[1]اردیبهشت!$N$2:$N$600,$C$40,[1]اردیبهشت!$D$2:$D$600,$F$41,[1]اردیبهشت!$AA$2:$AA$600,S3)</f>
        <v>0</v>
      </c>
      <c r="T41" s="191">
        <f>SUMIFS([1]اردیبهشت!$AD$2:$AD$600,[1]اردیبهشت!$N$2:$N$600,$C$40,[1]اردیبهشت!$D$2:$D$600,$F$41,[1]اردیبهشت!$AA$2:$AA$600,T3)</f>
        <v>0</v>
      </c>
      <c r="U41" s="115">
        <f>SUMIFS([1]اردیبهشت!$AD$2:$AD$600,[1]اردیبهشت!$N$2:$N$600,$C$40,[1]اردیبهشت!$D$2:$D$600,$F$41,[1]اردیبهشت!$AA$2:$AA$600,U3)</f>
        <v>0</v>
      </c>
    </row>
    <row r="42" spans="1:21" ht="33.75" customHeight="1" x14ac:dyDescent="0.25">
      <c r="A42" s="685"/>
      <c r="B42" s="307"/>
      <c r="C42" s="669"/>
      <c r="D42" s="669"/>
      <c r="E42" s="932" t="s">
        <v>15</v>
      </c>
      <c r="F42" s="84" t="s">
        <v>27</v>
      </c>
      <c r="G42" s="698">
        <f t="shared" si="0"/>
        <v>0</v>
      </c>
      <c r="H42" s="46">
        <f t="shared" si="1"/>
        <v>0</v>
      </c>
      <c r="I42" s="698">
        <v>0</v>
      </c>
      <c r="J42" s="698">
        <v>0</v>
      </c>
      <c r="K42" s="698">
        <v>0</v>
      </c>
      <c r="L42" s="698">
        <v>0</v>
      </c>
      <c r="M42" s="28"/>
      <c r="N42" s="945" t="s">
        <v>183</v>
      </c>
      <c r="O42" s="292">
        <f>SUMIFS([1]مرداد!$AF$2:$AF$805,[1]مرداد!$O$2:$O$805,7701,[1]مرداد!$D$2:$D$805,$F$42,[1]مرداد!$AC$2:$AC$805,O3)</f>
        <v>0</v>
      </c>
      <c r="P42" s="292">
        <f>SUMIFS([1]مرداد!$AF$2:$AF$805,[1]مرداد!$O$2:$O$805,7701,[1]مرداد!$D$2:$D$805,$F$42,[1]مرداد!$AC$2:$AC$805,P3)</f>
        <v>0</v>
      </c>
      <c r="Q42" s="292">
        <f>SUMIFS([1]مرداد!$AF$2:$AF$805,[1]مرداد!$O$2:$O$805,7701,[1]مرداد!$D$2:$D$805,$F$42,[1]مرداد!$AC$2:$AC$805,Q3)</f>
        <v>0</v>
      </c>
      <c r="R42" s="292">
        <f>SUMIFS([1]مرداد!$AF$2:$AF$805,[1]مرداد!$O$2:$O$805,7701,[1]مرداد!$D$2:$D$805,$F$42,[1]مرداد!$AC$2:$AC$805,R3)</f>
        <v>0</v>
      </c>
      <c r="S42" s="292">
        <f>SUMIFS([1]مرداد!$AF$2:$AF$805,[1]مرداد!$O$2:$O$805,7701,[1]مرداد!$D$2:$D$805,$F$42,[1]مرداد!$AC$2:$AC$805,S3)</f>
        <v>0</v>
      </c>
      <c r="T42" s="292">
        <f>SUMIFS([1]مرداد!$AF$2:$AF$805,[1]مرداد!$O$2:$O$805,7701,[1]مرداد!$D$2:$D$805,$F$42,[1]مرداد!$AC$2:$AC$805,T3)</f>
        <v>0</v>
      </c>
      <c r="U42" s="292">
        <f>SUMIFS([1]مرداد!$AF$2:$AF$805,[1]مرداد!$O$2:$O$805,7701,[1]مرداد!$D$2:$D$805,$F$42,[1]مرداد!$AC$2:$AC$805,U3)</f>
        <v>0</v>
      </c>
    </row>
    <row r="43" spans="1:21" ht="39" customHeight="1" x14ac:dyDescent="0.25">
      <c r="A43" s="686">
        <v>19</v>
      </c>
      <c r="B43" s="308" t="s">
        <v>30</v>
      </c>
      <c r="C43" s="670">
        <v>7701</v>
      </c>
      <c r="D43" s="670">
        <v>62.5</v>
      </c>
      <c r="E43" s="933"/>
      <c r="F43" s="29"/>
      <c r="G43" s="3">
        <f t="shared" si="0"/>
        <v>0</v>
      </c>
      <c r="H43" s="47">
        <f t="shared" si="1"/>
        <v>0</v>
      </c>
      <c r="I43" s="3">
        <v>0</v>
      </c>
      <c r="J43" s="25">
        <v>0</v>
      </c>
      <c r="K43" s="25">
        <v>0</v>
      </c>
      <c r="L43" s="70">
        <v>0</v>
      </c>
      <c r="M43" s="4">
        <f>(J42+J43+J44+I44+I43+I42+H42+H43+H44+G44+G43+G42)-D43</f>
        <v>-62.5</v>
      </c>
      <c r="N43" s="956"/>
      <c r="O43" s="293">
        <f>SUMIFS([1]اردیبهشت!$AD$2:$AD$805,[1]اردیبهشت!$N$2:$N$805,$C$43,[1]اردیبهشت!$D$2:$D$805,$F$43,[1]اردیبهشت!$AA$2:$AA$805,O3)</f>
        <v>0</v>
      </c>
      <c r="P43" s="168">
        <f>SUMIFS([1]اردیبهشت!$AD$2:$AD$805,[1]اردیبهشت!$N$2:$N$805,$C$43,[1]اردیبهشت!$D$2:$D$805,$F$43,[1]اردیبهشت!$AA$2:$AA$805,P3)</f>
        <v>0</v>
      </c>
      <c r="Q43" s="168">
        <f>SUMIFS([1]اردیبهشت!$AD$2:$AD$805,[1]اردیبهشت!$N$2:$N$805,$C$43,[1]اردیبهشت!$D$2:$D$805,$F$43,[1]اردیبهشت!$AA$2:$AA$805,Q3)</f>
        <v>0</v>
      </c>
      <c r="R43" s="168">
        <f>SUMIFS([1]اردیبهشت!$AD$2:$AD$805,[1]اردیبهشت!$N$2:$N$805,$C$43,[1]اردیبهشت!$D$2:$D$805,$F$43,[1]اردیبهشت!$AA$2:$AA$805,R3)</f>
        <v>0</v>
      </c>
      <c r="S43" s="168">
        <f>SUMIFS([1]اردیبهشت!$AD$2:$AD$805,[1]اردیبهشت!$N$2:$N$805,$C$43,[1]اردیبهشت!$D$2:$D$805,$F$43,[1]اردیبهشت!$AA$2:$AA$805,S3)</f>
        <v>0</v>
      </c>
      <c r="T43" s="168">
        <f>SUMIFS([1]اردیبهشت!$AD$2:$AD$805,[1]اردیبهشت!$N$2:$N$805,$C$43,[1]اردیبهشت!$D$2:$D$805,$F$43,[1]اردیبهشت!$AA$2:$AA$805,T3)</f>
        <v>0</v>
      </c>
      <c r="U43" s="108">
        <f>SUMIFS([1]اردیبهشت!$AD$2:$AD$600,[1]اردیبهشت!$N$2:$N$600,$C$43,[1]اردیبهشت!$D$2:$D$600,$F$43,[1]اردیبهشت!$AA$2:$AA$600,U3)</f>
        <v>0</v>
      </c>
    </row>
    <row r="44" spans="1:21" ht="40.5" customHeight="1" thickBot="1" x14ac:dyDescent="0.3">
      <c r="A44" s="686"/>
      <c r="B44" s="309"/>
      <c r="C44" s="671"/>
      <c r="D44" s="671"/>
      <c r="E44" s="933"/>
      <c r="F44" s="57"/>
      <c r="G44" s="4">
        <f t="shared" si="0"/>
        <v>0</v>
      </c>
      <c r="H44" s="67">
        <f t="shared" si="1"/>
        <v>0</v>
      </c>
      <c r="I44" s="25">
        <v>0</v>
      </c>
      <c r="J44" s="25">
        <v>0</v>
      </c>
      <c r="K44" s="25">
        <v>0</v>
      </c>
      <c r="L44" s="25">
        <v>0</v>
      </c>
      <c r="M44" s="65"/>
      <c r="N44" s="950"/>
      <c r="O44" s="352">
        <f>SUMIFS([1]اردیبهشت!$AD$2:$AD$805,[1]اردیبهشت!$N$2:$N$805,$C$43,[1]اردیبهشت!$D$2:$D$805,$F$44,[1]اردیبهشت!$AA$2:$AA$805,O3)</f>
        <v>0</v>
      </c>
      <c r="P44" s="175">
        <f>SUMIFS([1]اردیبهشت!$AD$2:$AD$805,[1]اردیبهشت!$N$2:$N$805,$C$43,[1]اردیبهشت!$D$2:$D$805,$F$44,[1]اردیبهشت!$AA$2:$AA$805,P3)</f>
        <v>0</v>
      </c>
      <c r="Q44" s="175">
        <f>SUMIFS([1]اردیبهشت!$AD$2:$AD$805,[1]اردیبهشت!$N$2:$N$805,$C$43,[1]اردیبهشت!$D$2:$D$805,$F$44,[1]اردیبهشت!$AA$2:$AA$805,Q3)</f>
        <v>0</v>
      </c>
      <c r="R44" s="175">
        <f>SUMIFS([1]اردیبهشت!$AD$2:$AD$805,[1]اردیبهشت!$N$2:$N$805,$C$43,[1]اردیبهشت!$D$2:$D$805,$F$44,[1]اردیبهشت!$AA$2:$AA$805,R3)</f>
        <v>0</v>
      </c>
      <c r="S44" s="175">
        <f>SUMIFS([1]اردیبهشت!$AD$2:$AD$805,[1]اردیبهشت!$N$2:$N$805,$C$43,[1]اردیبهشت!$D$2:$D$805,$F$44,[1]اردیبهشت!$AA$2:$AA$805,S3)</f>
        <v>0</v>
      </c>
      <c r="T44" s="175">
        <f>SUMIFS([1]اردیبهشت!$AD$2:$AD$805,[1]اردیبهشت!$N$2:$N$805,$C$43,[1]اردیبهشت!$D$2:$D$805,$F$44,[1]اردیبهشت!$AA$2:$AA$805,T3)</f>
        <v>0</v>
      </c>
      <c r="U44" s="114">
        <f>SUMIFS([1]اردیبهشت!$AD$2:$AD$600,[1]اردیبهشت!$N$2:$N$600,$C$43,[1]اردیبهشت!$D$2:$D$600,$F$44,[1]اردیبهشت!$AA$2:$AA$600,U3)</f>
        <v>0</v>
      </c>
    </row>
    <row r="45" spans="1:21" ht="42.75" customHeight="1" thickBot="1" x14ac:dyDescent="0.3">
      <c r="A45" s="45">
        <v>20</v>
      </c>
      <c r="B45" s="12" t="s">
        <v>63</v>
      </c>
      <c r="C45" s="13">
        <v>8001</v>
      </c>
      <c r="D45" s="13">
        <v>62.5</v>
      </c>
      <c r="E45" s="13" t="s">
        <v>15</v>
      </c>
      <c r="F45" s="31" t="s">
        <v>54</v>
      </c>
      <c r="G45" s="14">
        <f t="shared" si="0"/>
        <v>7</v>
      </c>
      <c r="H45" s="48">
        <f t="shared" si="1"/>
        <v>0</v>
      </c>
      <c r="I45" s="14">
        <v>0</v>
      </c>
      <c r="J45" s="14">
        <v>0</v>
      </c>
      <c r="K45" s="14">
        <v>0</v>
      </c>
      <c r="L45" s="14">
        <v>0</v>
      </c>
      <c r="M45" s="14">
        <f>SUM(G45:J45)-62</f>
        <v>-55</v>
      </c>
      <c r="N45" s="18" t="s">
        <v>31</v>
      </c>
      <c r="O45" s="297">
        <f>SUMIFS([1]مرداد!$AF$2:$AF$805,[1]مرداد!$O$2:$O$805,8001,[1]مرداد!$D$2:$D$805,"*",[1]مرداد!$AC$2:$AC$805,O3)</f>
        <v>3</v>
      </c>
      <c r="P45" s="297">
        <f>SUMIFS([1]مرداد!$AF$2:$AF$805,[1]مرداد!$O$2:$O$805,8001,[1]مرداد!$D$2:$D$805,"*",[1]مرداد!$AC$2:$AC$805,P3)</f>
        <v>2</v>
      </c>
      <c r="Q45" s="297">
        <f>SUMIFS([1]مرداد!$AF$2:$AF$805,[1]مرداد!$O$2:$O$805,8001,[1]مرداد!$D$2:$D$805,"*",[1]مرداد!$AC$2:$AC$805,Q3)</f>
        <v>2</v>
      </c>
      <c r="R45" s="297">
        <f>SUMIFS([1]مرداد!$AF$2:$AF$805,[1]مرداد!$O$2:$O$805,8001,[1]مرداد!$D$2:$D$805,"*",[1]مرداد!$AC$2:$AC$805,R3)</f>
        <v>0</v>
      </c>
      <c r="S45" s="297">
        <f>SUMIFS([1]مرداد!$AF$2:$AF$805,[1]مرداد!$O$2:$O$805,8001,[1]مرداد!$D$2:$D$805,"*",[1]مرداد!$AC$2:$AC$805,S3)</f>
        <v>0</v>
      </c>
      <c r="T45" s="297">
        <f>SUMIFS([1]مرداد!$AF$2:$AF$805,[1]مرداد!$O$2:$O$805,8001,[1]مرداد!$D$2:$D$805,"*",[1]مرداد!$AC$2:$AC$805,T3)</f>
        <v>0</v>
      </c>
      <c r="U45" s="297">
        <f>SUMIFS([1]مرداد!$AF$2:$AF$805,[1]مرداد!$O$2:$O$805,8001,[1]مرداد!$D$2:$D$805,"*",[1]مرداد!$AC$2:$AC$805,U3)</f>
        <v>0</v>
      </c>
    </row>
    <row r="46" spans="1:21" ht="39" customHeight="1" thickBot="1" x14ac:dyDescent="0.3">
      <c r="A46" s="45">
        <v>21</v>
      </c>
      <c r="B46" s="12" t="s">
        <v>32</v>
      </c>
      <c r="C46" s="13">
        <v>8002</v>
      </c>
      <c r="D46" s="13">
        <v>44</v>
      </c>
      <c r="E46" s="13" t="s">
        <v>15</v>
      </c>
      <c r="F46" s="31"/>
      <c r="G46" s="14">
        <f t="shared" si="0"/>
        <v>0</v>
      </c>
      <c r="H46" s="48">
        <f t="shared" si="1"/>
        <v>0</v>
      </c>
      <c r="I46" s="14">
        <v>0</v>
      </c>
      <c r="J46" s="14">
        <v>0</v>
      </c>
      <c r="K46" s="14">
        <v>0</v>
      </c>
      <c r="L46" s="14">
        <v>0</v>
      </c>
      <c r="M46" s="14">
        <f>SUM(G46:L46)-(D46)</f>
        <v>-44</v>
      </c>
      <c r="N46" s="17" t="s">
        <v>40</v>
      </c>
      <c r="O46" s="536">
        <f>SUMIFS([1]تیر!$AF$2:$AF$805,[1]تیر!$O$2:$O$805,8002,[1]تیر!$D$2:$D$805,$F$46,[1]تیر!$AC$2:$AC$805,O3)</f>
        <v>0</v>
      </c>
      <c r="P46" s="186">
        <f>SUMIFS([1]تیر!$AF$2:$AF$805,[1]تیر!$O$2:$O$805,8002,[1]تیر!$D$2:$D$805,$F$46,[1]تیر!$AC$2:$AC$805,P3)</f>
        <v>0</v>
      </c>
      <c r="Q46" s="186">
        <f>SUMIFS([1]تیر!$AF$2:$AF$805,[1]تیر!$O$2:$O$805,8002,[1]تیر!$D$2:$D$805,$F$46,[1]تیر!$AC$2:$AC$805,Q3)</f>
        <v>0</v>
      </c>
      <c r="R46" s="186">
        <f>SUMIFS([1]تیر!$AF$2:$AF$805,[1]تیر!$O$2:$O$805,8002,[1]تیر!$D$2:$D$805,$F$46,[1]تیر!$AC$2:$AC$805,R3)</f>
        <v>0</v>
      </c>
      <c r="S46" s="186">
        <f>SUMIFS([1]تیر!$AF$2:$AF$805,[1]تیر!$O$2:$O$805,8002,[1]تیر!$D$2:$D$805,$F$46,[1]تیر!$AC$2:$AC$805,S3)</f>
        <v>0</v>
      </c>
      <c r="T46" s="186">
        <f>SUMIFS([1]تیر!$AF$2:$AF$805,[1]تیر!$O$2:$O$805,8002,[1]تیر!$D$2:$D$805,$F$46,[1]تیر!$AC$2:$AC$805,T3)</f>
        <v>0</v>
      </c>
      <c r="U46" s="118">
        <f>SUMIFS([1]تیر!$AF$2:$AF$805,[1]تیر!$O$2:$O$805,8002,[1]تیر!$D$2:$D$805,$F$46,[1]تیر!$AC$2:$AC$805,U3)</f>
        <v>0</v>
      </c>
    </row>
    <row r="47" spans="1:21" ht="33.75" customHeight="1" x14ac:dyDescent="0.25">
      <c r="A47" s="957">
        <v>22</v>
      </c>
      <c r="B47" s="974" t="s">
        <v>33</v>
      </c>
      <c r="C47" s="943" t="s">
        <v>33</v>
      </c>
      <c r="D47" s="932">
        <v>62.5</v>
      </c>
      <c r="E47" s="1002">
        <f>G47+G48+G49+G50</f>
        <v>70</v>
      </c>
      <c r="F47" s="32" t="s">
        <v>16</v>
      </c>
      <c r="G47" s="698">
        <f t="shared" si="0"/>
        <v>23.5</v>
      </c>
      <c r="H47" s="46">
        <f t="shared" si="1"/>
        <v>0</v>
      </c>
      <c r="I47" s="698">
        <v>0</v>
      </c>
      <c r="J47" s="698">
        <v>0</v>
      </c>
      <c r="K47" s="698">
        <v>0</v>
      </c>
      <c r="L47" s="698">
        <v>0</v>
      </c>
      <c r="M47" s="698">
        <f>(SUM(G47:L47))-D47</f>
        <v>-39</v>
      </c>
      <c r="N47" s="33"/>
      <c r="O47" s="292">
        <f>SUMIFS([1]مرداد!$AF$2:$AF$805,[1]مرداد!$O$2:$O$805,"مونتاژ",[1]مرداد!$D$2:$D$805,$F$47,[1]مرداد!$AC$2:$AC$805,O3)</f>
        <v>2</v>
      </c>
      <c r="P47" s="292">
        <f>SUMIFS([1]مرداد!$AF$2:$AF$805,[1]مرداد!$O$2:$O$805,"مونتاژ",[1]مرداد!$D$2:$D$805,$F$47,[1]مرداد!$AC$2:$AC$805,P3)</f>
        <v>5</v>
      </c>
      <c r="Q47" s="292">
        <f>SUMIFS([1]مرداد!$AF$2:$AF$805,[1]مرداد!$O$2:$O$805,"مونتاژ",[1]مرداد!$D$2:$D$805,$F$47,[1]مرداد!$AC$2:$AC$805,Q3)</f>
        <v>3.5</v>
      </c>
      <c r="R47" s="292">
        <f>SUMIFS([1]مرداد!$AF$2:$AF$805,[1]مرداد!$O$2:$O$805,"مونتاژ",[1]مرداد!$D$2:$D$805,$F$47,[1]مرداد!$AC$2:$AC$805,R3)</f>
        <v>5.5</v>
      </c>
      <c r="S47" s="292">
        <f>SUMIFS([1]مرداد!$AF$2:$AF$805,[1]مرداد!$O$2:$O$805,"مونتاژ",[1]مرداد!$D$2:$D$805,$F$47,[1]مرداد!$AC$2:$AC$805,S3)</f>
        <v>6.5</v>
      </c>
      <c r="T47" s="292">
        <f>SUMIFS([1]مرداد!$AF$2:$AF$805,[1]مرداد!$O$2:$O$805,"مونتاژ",[1]مرداد!$D$2:$D$805,$F$47,[1]مرداد!$AC$2:$AC$805,T3)</f>
        <v>1</v>
      </c>
      <c r="U47" s="292">
        <f>SUMIFS([1]مرداد!$AF$2:$AF$805,[1]مرداد!$O$2:$O$805,"مونتاژ",[1]مرداد!$D$2:$D$805,$F$47,[1]مرداد!$AC$2:$AC$805,U3)</f>
        <v>0</v>
      </c>
    </row>
    <row r="48" spans="1:21" ht="33.75" customHeight="1" x14ac:dyDescent="0.25">
      <c r="A48" s="958"/>
      <c r="B48" s="975"/>
      <c r="C48" s="965"/>
      <c r="D48" s="933"/>
      <c r="E48" s="965"/>
      <c r="F48" s="29" t="s">
        <v>17</v>
      </c>
      <c r="G48" s="3">
        <f>SUM(O48:T48)</f>
        <v>10</v>
      </c>
      <c r="H48" s="47">
        <f t="shared" si="1"/>
        <v>0</v>
      </c>
      <c r="I48" s="3">
        <v>0</v>
      </c>
      <c r="J48" s="3">
        <v>0</v>
      </c>
      <c r="K48" s="3">
        <v>0</v>
      </c>
      <c r="L48" s="3">
        <v>0</v>
      </c>
      <c r="M48" s="3">
        <f>(SUM(G48:L48))-D47</f>
        <v>-52.5</v>
      </c>
      <c r="N48" s="58"/>
      <c r="O48" s="293">
        <f>SUMIFS([1]مرداد!$AF$2:$AF$805,[1]مرداد!$O$2:$O$805,"مونتاژ",[1]مرداد!$D$2:$D$805,$F$48,[1]مرداد!$AC$2:$AC$805,O3)</f>
        <v>0</v>
      </c>
      <c r="P48" s="293">
        <f>SUMIFS([1]مرداد!$AF$2:$AF$805,[1]مرداد!$O$2:$O$805,"مونتاژ",[1]مرداد!$D$2:$D$805,$F$48,[1]مرداد!$AC$2:$AC$805,P3)</f>
        <v>5</v>
      </c>
      <c r="Q48" s="293">
        <f>SUMIFS([1]مرداد!$AF$2:$AF$805,[1]مرداد!$O$2:$O$805,"مونتاژ",[1]مرداد!$D$2:$D$805,$F$48,[1]مرداد!$AC$2:$AC$805,Q3)</f>
        <v>3</v>
      </c>
      <c r="R48" s="293">
        <f>SUMIFS([1]مرداد!$AF$2:$AF$805,[1]مرداد!$O$2:$O$805,"مونتاژ",[1]مرداد!$D$2:$D$805,$F$48,[1]مرداد!$AC$2:$AC$805,R3)</f>
        <v>0</v>
      </c>
      <c r="S48" s="293">
        <f>SUMIFS([1]مرداد!$AF$2:$AF$805,[1]مرداد!$O$2:$O$805,"مونتاژ",[1]مرداد!$D$2:$D$805,$F$48,[1]مرداد!$AC$2:$AC$805,S3)</f>
        <v>2</v>
      </c>
      <c r="T48" s="293">
        <f>SUMIFS([1]مرداد!$AF$2:$AF$805,[1]مرداد!$O$2:$O$805,"مونتاژ",[1]مرداد!$D$2:$D$805,$F$48,[1]مرداد!$AC$2:$AC$805,T3)</f>
        <v>0</v>
      </c>
      <c r="U48" s="293">
        <f>SUMIFS([1]مرداد!$AF$2:$AF$805,[1]مرداد!$O$2:$O$805,"مونتاژ",[1]مرداد!$D$2:$D$805,$F$48,[1]مرداد!$AC$2:$AC$805,U3)</f>
        <v>0</v>
      </c>
    </row>
    <row r="49" spans="1:21" ht="33.75" customHeight="1" x14ac:dyDescent="0.25">
      <c r="A49" s="959"/>
      <c r="B49" s="975"/>
      <c r="C49" s="966"/>
      <c r="D49" s="933"/>
      <c r="E49" s="966"/>
      <c r="F49" s="29" t="s">
        <v>54</v>
      </c>
      <c r="G49" s="3">
        <f t="shared" si="0"/>
        <v>27.5</v>
      </c>
      <c r="H49" s="47">
        <f t="shared" si="1"/>
        <v>0</v>
      </c>
      <c r="I49" s="3">
        <v>0</v>
      </c>
      <c r="J49" s="3">
        <v>0</v>
      </c>
      <c r="K49" s="3">
        <v>0</v>
      </c>
      <c r="L49" s="3">
        <v>0</v>
      </c>
      <c r="M49" s="3">
        <f>(SUM(G49:L49))-62</f>
        <v>-34.5</v>
      </c>
      <c r="N49" s="62"/>
      <c r="O49" s="293">
        <f>SUMIFS([1]مرداد!$AF$2:$AF$805,[1]مرداد!$O$2:$O$805,"مونتاژ",[1]مرداد!$D$2:$D$805,$F$49,[1]مرداد!$AC$2:$AC$805,O3)</f>
        <v>6</v>
      </c>
      <c r="P49" s="293">
        <f>SUMIFS([1]مرداد!$AF$2:$AF$805,[1]مرداد!$O$2:$O$805,"مونتاژ",[1]مرداد!$D$2:$D$805,$F$49,[1]مرداد!$AC$2:$AC$805,P3)</f>
        <v>4</v>
      </c>
      <c r="Q49" s="293">
        <f>SUMIFS([1]مرداد!$AF$2:$AF$805,[1]مرداد!$O$2:$O$805,"مونتاژ",[1]مرداد!$D$2:$D$805,$F$49,[1]مرداد!$AC$2:$AC$805,Q3)</f>
        <v>5</v>
      </c>
      <c r="R49" s="293">
        <f>SUMIFS([1]مرداد!$AF$2:$AF$805,[1]مرداد!$O$2:$O$805,"مونتاژ",[1]مرداد!$D$2:$D$805,$F$49,[1]مرداد!$AC$2:$AC$805,R3)</f>
        <v>4</v>
      </c>
      <c r="S49" s="293">
        <f>SUMIFS([1]مرداد!$AF$2:$AF$805,[1]مرداد!$O$2:$O$805,"مونتاژ",[1]مرداد!$D$2:$D$805,$F$49,[1]مرداد!$AC$2:$AC$805,S3)</f>
        <v>3.5</v>
      </c>
      <c r="T49" s="293">
        <f>SUMIFS([1]مرداد!$AF$2:$AF$805,[1]مرداد!$O$2:$O$805,"مونتاژ",[1]مرداد!$D$2:$D$805,$F$49,[1]مرداد!$AC$2:$AC$805,T3)</f>
        <v>5</v>
      </c>
      <c r="U49" s="293">
        <f>SUMIFS([1]مرداد!$AF$2:$AF$805,[1]مرداد!$O$2:$O$805,"مونتاژ",[1]مرداد!$D$2:$D$805,$F$49,[1]مرداد!$AC$2:$AC$805,U3)</f>
        <v>0</v>
      </c>
    </row>
    <row r="50" spans="1:21" ht="33.75" customHeight="1" thickBot="1" x14ac:dyDescent="0.3">
      <c r="A50" s="960"/>
      <c r="B50" s="975"/>
      <c r="C50" s="944"/>
      <c r="D50" s="934"/>
      <c r="E50" s="944"/>
      <c r="F50" s="30" t="s">
        <v>55</v>
      </c>
      <c r="G50" s="6">
        <f t="shared" si="0"/>
        <v>9</v>
      </c>
      <c r="H50" s="64">
        <f t="shared" si="1"/>
        <v>0</v>
      </c>
      <c r="I50" s="7">
        <v>0</v>
      </c>
      <c r="J50" s="7">
        <v>0</v>
      </c>
      <c r="K50" s="7">
        <v>0</v>
      </c>
      <c r="L50" s="7">
        <v>0</v>
      </c>
      <c r="M50" s="7">
        <f>SUM(G50:J50)-62</f>
        <v>-53</v>
      </c>
      <c r="N50" s="34"/>
      <c r="O50" s="352">
        <f>SUMIFS([1]مرداد!$AF$2:$AF$805,[1]مرداد!$O$2:$O$805,"مونتاژ",[1]مرداد!$D$2:$D$805,$F$50,[1]مرداد!$AC$2:$AC$805,O3)</f>
        <v>0</v>
      </c>
      <c r="P50" s="352">
        <f>SUMIFS([1]مرداد!$AF$2:$AF$805,[1]مرداد!$O$2:$O$805,"مونتاژ",[1]مرداد!$D$2:$D$805,$F$50,[1]مرداد!$AC$2:$AC$805,P3)</f>
        <v>0</v>
      </c>
      <c r="Q50" s="352">
        <f>SUMIFS([1]مرداد!$AF$2:$AF$805,[1]مرداد!$O$2:$O$805,"مونتاژ",[1]مرداد!$D$2:$D$805,$F$50,[1]مرداد!$AC$2:$AC$805,Q3)</f>
        <v>0</v>
      </c>
      <c r="R50" s="352">
        <f>SUMIFS([1]مرداد!$AF$2:$AF$805,[1]مرداد!$O$2:$O$805,"مونتاژ",[1]مرداد!$D$2:$D$805,$F$50,[1]مرداد!$AC$2:$AC$805,R3)</f>
        <v>3</v>
      </c>
      <c r="S50" s="352">
        <f>SUMIFS([1]مرداد!$AF$2:$AF$805,[1]مرداد!$O$2:$O$805,"مونتاژ",[1]مرداد!$D$2:$D$805,$F$50,[1]مرداد!$AC$2:$AC$805,S3)</f>
        <v>0</v>
      </c>
      <c r="T50" s="352">
        <f>SUMIFS([1]مرداد!$AF$2:$AF$805,[1]مرداد!$O$2:$O$805,"مونتاژ",[1]مرداد!$D$2:$D$805,$F$50,[1]مرداد!$AC$2:$AC$805,T3)</f>
        <v>6</v>
      </c>
      <c r="U50" s="352">
        <f>SUMIFS([1]مرداد!$AF$2:$AF$805,[1]مرداد!$O$2:$O$805,"مونتاژ",[1]مرداد!$D$2:$D$805,$F$50,[1]مرداد!$AC$2:$AC$805,U3)</f>
        <v>0</v>
      </c>
    </row>
    <row r="51" spans="1:21" ht="33.75" customHeight="1" x14ac:dyDescent="0.25">
      <c r="A51" s="967">
        <v>23</v>
      </c>
      <c r="B51" s="975"/>
      <c r="C51" s="943" t="s">
        <v>34</v>
      </c>
      <c r="D51" s="932">
        <v>62.5</v>
      </c>
      <c r="E51" s="932"/>
      <c r="F51" s="32" t="s">
        <v>16</v>
      </c>
      <c r="G51" s="698">
        <f t="shared" si="0"/>
        <v>15</v>
      </c>
      <c r="H51" s="46">
        <f t="shared" si="1"/>
        <v>0</v>
      </c>
      <c r="I51" s="698">
        <v>0</v>
      </c>
      <c r="J51" s="698">
        <v>0</v>
      </c>
      <c r="K51" s="698">
        <v>0</v>
      </c>
      <c r="L51" s="698">
        <v>0</v>
      </c>
      <c r="M51" s="698">
        <f>SUM(G51:L51)-62</f>
        <v>-47</v>
      </c>
      <c r="N51" s="56"/>
      <c r="O51" s="292">
        <f>SUMIFS([1]مرداد!$AF$2:$AF$805,[1]مرداد!$O$2:$O$805,"دمونتاژ",[1]مرداد!$D$2:$D$805,$F$51,[1]مرداد!$AC$2:$AC$805,O3)</f>
        <v>7</v>
      </c>
      <c r="P51" s="292">
        <f>SUMIFS([1]مرداد!$AF$2:$AF$805,[1]مرداد!$O$2:$O$805,"دمونتاژ",[1]مرداد!$D$2:$D$805,$F$51,[1]مرداد!$AC$2:$AC$805,P3)</f>
        <v>2</v>
      </c>
      <c r="Q51" s="292">
        <f>SUMIFS([1]مرداد!$AF$2:$AF$805,[1]مرداد!$O$2:$O$805,"دمونتاژ",[1]مرداد!$D$2:$D$805,$F$51,[1]مرداد!$AC$2:$AC$805,Q3)</f>
        <v>0</v>
      </c>
      <c r="R51" s="292">
        <f>SUMIFS([1]مرداد!$AF$2:$AF$805,[1]مرداد!$O$2:$O$805,"دمونتاژ",[1]مرداد!$D$2:$D$805,$F$51,[1]مرداد!$AC$2:$AC$805,R3)</f>
        <v>0</v>
      </c>
      <c r="S51" s="292">
        <f>SUMIFS([1]مرداد!$AF$2:$AF$805,[1]مرداد!$O$2:$O$805,"دمونتاژ",[1]مرداد!$D$2:$D$805,$F$51,[1]مرداد!$AC$2:$AC$805,S3)</f>
        <v>3</v>
      </c>
      <c r="T51" s="292">
        <f>SUMIFS([1]مرداد!$AF$2:$AF$805,[1]مرداد!$O$2:$O$805,"دمونتاژ",[1]مرداد!$D$2:$D$805,$F$51,[1]مرداد!$AC$2:$AC$805,T3)</f>
        <v>3</v>
      </c>
      <c r="U51" s="292">
        <f>SUMIFS([1]مرداد!$AF$2:$AF$805,[1]مرداد!$O$2:$O$805,"دمونتاژ",[1]مرداد!$D$2:$D$805,$F$51,[1]مرداد!$AC$2:$AC$805,U3)</f>
        <v>0</v>
      </c>
    </row>
    <row r="52" spans="1:21" ht="33.75" customHeight="1" x14ac:dyDescent="0.25">
      <c r="A52" s="967"/>
      <c r="B52" s="975"/>
      <c r="C52" s="965"/>
      <c r="D52" s="933"/>
      <c r="E52" s="933"/>
      <c r="F52" s="29" t="s">
        <v>55</v>
      </c>
      <c r="G52" s="3">
        <f t="shared" si="0"/>
        <v>4.5</v>
      </c>
      <c r="H52" s="47">
        <f t="shared" si="1"/>
        <v>0</v>
      </c>
      <c r="I52" s="3">
        <v>0</v>
      </c>
      <c r="J52" s="3">
        <v>0</v>
      </c>
      <c r="K52" s="3">
        <v>0</v>
      </c>
      <c r="L52" s="3">
        <v>0</v>
      </c>
      <c r="M52" s="3">
        <f>SUM(G52:L52)-62</f>
        <v>-57.5</v>
      </c>
      <c r="N52" s="62"/>
      <c r="O52" s="293">
        <f>SUMIFS([1]مرداد!$AF$2:$AF$805,[1]مرداد!$O$2:$O$805,"دمونتاژ",[1]مرداد!$D$2:$D$805,$F$52,[1]مرداد!$AC$2:$AC$805,O3)</f>
        <v>0</v>
      </c>
      <c r="P52" s="293">
        <f>SUMIFS([1]مرداد!$AF$2:$AF$805,[1]مرداد!$O$2:$O$805,"دمونتاژ",[1]مرداد!$D$2:$D$805,$F$52,[1]مرداد!$AC$2:$AC$805,P3)</f>
        <v>0</v>
      </c>
      <c r="Q52" s="293">
        <f>SUMIFS([1]مرداد!$AF$2:$AF$805,[1]مرداد!$O$2:$O$805,"دمونتاژ",[1]مرداد!$D$2:$D$805,$F$52,[1]مرداد!$AC$2:$AC$805,Q3)</f>
        <v>3.5</v>
      </c>
      <c r="R52" s="293">
        <f>SUMIFS([1]مرداد!$AF$2:$AF$805,[1]مرداد!$O$2:$O$805,"دمونتاژ",[1]مرداد!$D$2:$D$805,$F$52,[1]مرداد!$AC$2:$AC$805,R3)</f>
        <v>0</v>
      </c>
      <c r="S52" s="293">
        <f>SUMIFS([1]مرداد!$AF$2:$AF$805,[1]مرداد!$O$2:$O$805,"دمونتاژ",[1]مرداد!$D$2:$D$805,$F$52,[1]مرداد!$AC$2:$AC$805,S3)</f>
        <v>0</v>
      </c>
      <c r="T52" s="293">
        <f>SUMIFS([1]مرداد!$AF$2:$AF$805,[1]مرداد!$O$2:$O$805,"دمونتاژ",[1]مرداد!$D$2:$D$805,$F$52,[1]مرداد!$AC$2:$AC$805,T3)</f>
        <v>1</v>
      </c>
      <c r="U52" s="293">
        <f>SUMIFS([1]مرداد!$AF$2:$AF$805,[1]مرداد!$O$2:$O$805,"دمونتاژ",[1]مرداد!$D$2:$D$805,$F$52,[1]مرداد!$AC$2:$AC$805,U3)</f>
        <v>0</v>
      </c>
    </row>
    <row r="53" spans="1:21" ht="33.75" customHeight="1" x14ac:dyDescent="0.25">
      <c r="A53" s="967"/>
      <c r="B53" s="975"/>
      <c r="C53" s="965"/>
      <c r="D53" s="933"/>
      <c r="E53" s="933"/>
      <c r="F53" s="29" t="s">
        <v>54</v>
      </c>
      <c r="G53" s="3">
        <f t="shared" si="0"/>
        <v>21.5</v>
      </c>
      <c r="H53" s="47">
        <f t="shared" si="1"/>
        <v>0</v>
      </c>
      <c r="I53" s="3">
        <v>0</v>
      </c>
      <c r="J53" s="3">
        <v>0</v>
      </c>
      <c r="K53" s="3">
        <v>0</v>
      </c>
      <c r="L53" s="3">
        <v>0</v>
      </c>
      <c r="M53" s="3">
        <f>SUM(G53:L53)-62</f>
        <v>-40.5</v>
      </c>
      <c r="N53" s="62"/>
      <c r="O53" s="293">
        <f>SUMIFS([1]مرداد!$AF$2:$AF$805,[1]مرداد!$O$2:$O$805,"دمونتاژ",[1]مرداد!$D$2:$D$805,$F$53,[1]مرداد!$AC$2:$AC$805,O3)</f>
        <v>2</v>
      </c>
      <c r="P53" s="293">
        <f>SUMIFS([1]مرداد!$AF$2:$AF$805,[1]مرداد!$O$2:$O$805,"دمونتاژ",[1]مرداد!$D$2:$D$805,$F$53,[1]مرداد!$AC$2:$AC$805,P3)</f>
        <v>2</v>
      </c>
      <c r="Q53" s="293">
        <f>SUMIFS([1]مرداد!$AF$2:$AF$805,[1]مرداد!$O$2:$O$805,"دمونتاژ",[1]مرداد!$D$2:$D$805,$F$53,[1]مرداد!$AC$2:$AC$805,Q3)</f>
        <v>3</v>
      </c>
      <c r="R53" s="293">
        <f>SUMIFS([1]مرداد!$AF$2:$AF$805,[1]مرداد!$O$2:$O$805,"دمونتاژ",[1]مرداد!$D$2:$D$805,$F$53,[1]مرداد!$AC$2:$AC$805,R3)</f>
        <v>7</v>
      </c>
      <c r="S53" s="293">
        <f>SUMIFS([1]مرداد!$AF$2:$AF$805,[1]مرداد!$O$2:$O$805,"دمونتاژ",[1]مرداد!$D$2:$D$805,$F$53,[1]مرداد!$AC$2:$AC$805,S3)</f>
        <v>1.5</v>
      </c>
      <c r="T53" s="293">
        <f>SUMIFS([1]مرداد!$AF$2:$AF$805,[1]مرداد!$O$2:$O$805,"دمونتاژ",[1]مرداد!$D$2:$D$805,$F$53,[1]مرداد!$AC$2:$AC$805,T3)</f>
        <v>6</v>
      </c>
      <c r="U53" s="293">
        <f>SUMIFS([1]مرداد!$AF$2:$AF$805,[1]مرداد!$O$2:$O$805,"دمونتاژ",[1]مرداد!$D$2:$D$805,$F$53,[1]مرداد!$AC$2:$AC$805,U3)</f>
        <v>0</v>
      </c>
    </row>
    <row r="54" spans="1:21" ht="33.75" customHeight="1" thickBot="1" x14ac:dyDescent="0.3">
      <c r="A54" s="967"/>
      <c r="B54" s="976"/>
      <c r="C54" s="966"/>
      <c r="D54" s="934"/>
      <c r="E54" s="934"/>
      <c r="F54" s="671"/>
      <c r="G54" s="4">
        <f t="shared" si="0"/>
        <v>0</v>
      </c>
      <c r="H54" s="49">
        <f t="shared" si="1"/>
        <v>0</v>
      </c>
      <c r="I54" s="25">
        <v>0</v>
      </c>
      <c r="J54" s="25">
        <v>0</v>
      </c>
      <c r="K54" s="25">
        <v>0</v>
      </c>
      <c r="L54" s="25">
        <v>0</v>
      </c>
      <c r="M54" s="25">
        <f>SUM(G54:L54)-62</f>
        <v>-62</v>
      </c>
      <c r="N54" s="58"/>
      <c r="O54" s="294">
        <f>SUMIFS([1]مرداد!$AF$2:$AF$805,[1]مرداد!$O$2:$O$805,"دمونتاژ",[1]مرداد!$D$2:$D$805,$F$54,[1]مرداد!$AC$2:$AC$805,O3)</f>
        <v>0</v>
      </c>
      <c r="P54" s="294">
        <f>SUMIFS([1]مرداد!$AF$2:$AF$805,[1]مرداد!$O$2:$O$805,"دمونتاژ",[1]مرداد!$D$2:$D$805,$F$54,[1]مرداد!$AC$2:$AC$805,P3)</f>
        <v>0</v>
      </c>
      <c r="Q54" s="294">
        <f>SUMIFS([1]مرداد!$AF$2:$AF$805,[1]مرداد!$O$2:$O$805,"دمونتاژ",[1]مرداد!$D$2:$D$805,$F$54,[1]مرداد!$AC$2:$AC$805,Q3)</f>
        <v>0</v>
      </c>
      <c r="R54" s="294">
        <f>SUMIFS([1]مرداد!$AF$2:$AF$805,[1]مرداد!$O$2:$O$805,"دمونتاژ",[1]مرداد!$D$2:$D$805,$F$54,[1]مرداد!$AC$2:$AC$805,R3)</f>
        <v>0</v>
      </c>
      <c r="S54" s="294">
        <f>SUMIFS([1]مرداد!$AF$2:$AF$805,[1]مرداد!$O$2:$O$805,"دمونتاژ",[1]مرداد!$D$2:$D$805,$F$54,[1]مرداد!$AC$2:$AC$805,S3)</f>
        <v>0</v>
      </c>
      <c r="T54" s="294">
        <f>SUMIFS([1]مرداد!$AF$2:$AF$805,[1]مرداد!$O$2:$O$805,"دمونتاژ",[1]مرداد!$D$2:$D$805,$F$54,[1]مرداد!$AC$2:$AC$805,T3)</f>
        <v>0</v>
      </c>
      <c r="U54" s="294">
        <f>SUMIFS([1]مرداد!$AF$2:$AF$805,[1]مرداد!$O$2:$O$805,"دمونتاژ",[1]مرداد!$D$2:$D$805,$F$54,[1]مرداد!$AC$2:$AC$805,U3)</f>
        <v>0</v>
      </c>
    </row>
    <row r="55" spans="1:21" ht="48.75" customHeight="1" thickBot="1" x14ac:dyDescent="0.3">
      <c r="A55" s="951" t="s">
        <v>49</v>
      </c>
      <c r="B55" s="952"/>
      <c r="C55" s="952"/>
      <c r="D55" s="952"/>
      <c r="E55" s="952"/>
      <c r="F55" s="953"/>
      <c r="G55" s="148">
        <f t="shared" ref="G55:L55" si="3">SUM(G4:G54)</f>
        <v>813.33333333333326</v>
      </c>
      <c r="H55" s="148">
        <f t="shared" si="3"/>
        <v>0</v>
      </c>
      <c r="I55" s="148">
        <f t="shared" si="3"/>
        <v>17</v>
      </c>
      <c r="J55" s="148">
        <f t="shared" si="3"/>
        <v>117</v>
      </c>
      <c r="K55" s="148">
        <f t="shared" si="3"/>
        <v>0</v>
      </c>
      <c r="L55" s="148">
        <f t="shared" si="3"/>
        <v>0</v>
      </c>
      <c r="M55" s="149">
        <f>SUMIFS(M4:M54,F4:F54,"*")</f>
        <v>-649.16666666666663</v>
      </c>
      <c r="N55" s="306"/>
      <c r="O55" s="302">
        <f>SUM(O4:O54)</f>
        <v>138.5</v>
      </c>
      <c r="P55" s="198">
        <f t="shared" ref="P55:U55" si="4">SUM(P4:P54)</f>
        <v>160.33333333333334</v>
      </c>
      <c r="Q55" s="198">
        <f t="shared" si="4"/>
        <v>140</v>
      </c>
      <c r="R55" s="198">
        <f t="shared" si="4"/>
        <v>157.5</v>
      </c>
      <c r="S55" s="198">
        <f t="shared" si="4"/>
        <v>125.5</v>
      </c>
      <c r="T55" s="198">
        <f t="shared" si="4"/>
        <v>82.5</v>
      </c>
      <c r="U55" s="150">
        <f t="shared" si="4"/>
        <v>0</v>
      </c>
    </row>
    <row r="56" spans="1:21" x14ac:dyDescent="0.25">
      <c r="G56" s="582"/>
    </row>
    <row r="57" spans="1:21" x14ac:dyDescent="0.25">
      <c r="G57" s="660"/>
    </row>
    <row r="61" spans="1:21" x14ac:dyDescent="0.25">
      <c r="G61" s="660"/>
    </row>
  </sheetData>
  <mergeCells count="51">
    <mergeCell ref="N30:N31"/>
    <mergeCell ref="A55:F55"/>
    <mergeCell ref="E30:E31"/>
    <mergeCell ref="D30:D31"/>
    <mergeCell ref="C30:C31"/>
    <mergeCell ref="B30:B31"/>
    <mergeCell ref="A40:A41"/>
    <mergeCell ref="E40:E41"/>
    <mergeCell ref="N40:N41"/>
    <mergeCell ref="E42:E44"/>
    <mergeCell ref="N42:N44"/>
    <mergeCell ref="A47:A50"/>
    <mergeCell ref="B47:B54"/>
    <mergeCell ref="C47:C50"/>
    <mergeCell ref="D47:D50"/>
    <mergeCell ref="E47:E50"/>
    <mergeCell ref="A51:A54"/>
    <mergeCell ref="C51:C54"/>
    <mergeCell ref="D51:D54"/>
    <mergeCell ref="E51:E54"/>
    <mergeCell ref="A36:A37"/>
    <mergeCell ref="E36:E37"/>
    <mergeCell ref="N36:N37"/>
    <mergeCell ref="A38:A39"/>
    <mergeCell ref="E38:E39"/>
    <mergeCell ref="N38:N39"/>
    <mergeCell ref="A32:A33"/>
    <mergeCell ref="E32:E33"/>
    <mergeCell ref="N32:N33"/>
    <mergeCell ref="A34:A35"/>
    <mergeCell ref="E34:E35"/>
    <mergeCell ref="N34:N35"/>
    <mergeCell ref="E19:E21"/>
    <mergeCell ref="N19:N21"/>
    <mergeCell ref="E23:E25"/>
    <mergeCell ref="N23:N25"/>
    <mergeCell ref="A1:L2"/>
    <mergeCell ref="B15:B16"/>
    <mergeCell ref="C15:C16"/>
    <mergeCell ref="D15:D16"/>
    <mergeCell ref="E15:E16"/>
    <mergeCell ref="A15:A16"/>
    <mergeCell ref="O1:U2"/>
    <mergeCell ref="E4:E6"/>
    <mergeCell ref="N4:N6"/>
    <mergeCell ref="E7:E9"/>
    <mergeCell ref="A12:A14"/>
    <mergeCell ref="B12:B14"/>
    <mergeCell ref="C12:C14"/>
    <mergeCell ref="D12:D14"/>
    <mergeCell ref="E12:E14"/>
  </mergeCells>
  <phoneticPr fontId="12" type="noConversion"/>
  <printOptions horizontalCentered="1" verticalCentered="1"/>
  <pageMargins left="0" right="0" top="0" bottom="1" header="0" footer="0"/>
  <pageSetup scale="90" fitToHeight="0" orientation="portrait" r:id="rId1"/>
  <headerFooter>
    <oddFooter>&amp;C&amp;G</oddFooter>
  </headerFooter>
  <ignoredErrors>
    <ignoredError sqref="T8:U9 T11:U11 T14:U14 T19:U19 T21:U21 T23:U23 T25:U26 T28:U29 G38 T35:U35 T37:U37 T39:U39 T41:U41 T43:U44 T46:U46" formula="1"/>
  </ignoredErrors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FAAA-E383-4226-96F1-CFA276383AB7}">
  <sheetPr>
    <pageSetUpPr fitToPage="1"/>
  </sheetPr>
  <dimension ref="A1:U61"/>
  <sheetViews>
    <sheetView rightToLeft="1" view="pageLayout" zoomScaleNormal="100" workbookViewId="0">
      <selection activeCell="N7" sqref="N7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20" width="6.42578125" style="52" hidden="1" customWidth="1"/>
    <col min="21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20</v>
      </c>
      <c r="O2" s="926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291" t="s">
        <v>192</v>
      </c>
      <c r="P3" s="291" t="s">
        <v>193</v>
      </c>
      <c r="Q3" s="291" t="s">
        <v>194</v>
      </c>
      <c r="R3" s="291" t="s">
        <v>195</v>
      </c>
      <c r="S3" s="291" t="s">
        <v>196</v>
      </c>
      <c r="T3" s="291" t="s">
        <v>197</v>
      </c>
      <c r="U3" s="291" t="s">
        <v>198</v>
      </c>
    </row>
    <row r="4" spans="1:21" ht="33.75" customHeight="1" x14ac:dyDescent="0.25">
      <c r="A4" s="713"/>
      <c r="B4" s="728"/>
      <c r="C4" s="42"/>
      <c r="D4" s="735"/>
      <c r="E4" s="932" t="s">
        <v>15</v>
      </c>
      <c r="F4" s="710" t="s">
        <v>55</v>
      </c>
      <c r="G4" s="739">
        <f>SUM(O4:T4)</f>
        <v>7.5</v>
      </c>
      <c r="H4" s="46">
        <f>U4</f>
        <v>0</v>
      </c>
      <c r="I4" s="739">
        <v>0</v>
      </c>
      <c r="J4" s="739">
        <v>0</v>
      </c>
      <c r="K4" s="739">
        <v>0</v>
      </c>
      <c r="L4" s="739">
        <v>0</v>
      </c>
      <c r="M4" s="28"/>
      <c r="N4" s="945"/>
      <c r="O4" s="165">
        <f>SUMIFS([1]مرداد!$AF$2:$AF$805,[1]مرداد!$O$2:$O$805,7101,[1]مرداد!$D$2:$D$805,F4,[1]مرداد!$AC$2:$AC$805,$O$3)</f>
        <v>0</v>
      </c>
      <c r="P4" s="169">
        <f>SUMIFS([1]مرداد!$AF$2:$AF$805,[1]مرداد!$O$2:$O$805,7101,[1]مرداد!$D$2:$D$805,$F$4,[1]مرداد!$AC$2:$AC$805,P3)</f>
        <v>0</v>
      </c>
      <c r="Q4" s="169">
        <f>SUMIFS([1]مرداد!$AF$2:$AF$805,[1]مرداد!$O$2:$O$805,7101,[1]مرداد!$D$2:$D$805,$F$4,[1]مرداد!$AC$2:$AC$805,Q3)</f>
        <v>1</v>
      </c>
      <c r="R4" s="169">
        <f>SUMIFS([1]مرداد!$AF$2:$AF$805,[1]مرداد!$O$2:$O$805,7101,[1]مرداد!$D$2:$D$805,$F$4,[1]مرداد!$AC$2:$AC$805,R3)</f>
        <v>0</v>
      </c>
      <c r="S4" s="169">
        <f>SUMIFS([1]مرداد!$AF$2:$AF$805,[1]مرداد!$O$2:$O$805,7101,[1]مرداد!$D$2:$D$805,$F$4,[1]مرداد!$AC$2:$AC$805,S3)</f>
        <v>0</v>
      </c>
      <c r="T4" s="169">
        <f>SUMIFS([1]مرداد!$AF$2:$AF$805,[1]مرداد!$O$2:$O$805,7101,[1]مرداد!$D$2:$D$805,$F$4,[1]مرداد!$AC$2:$AC$805,T3)</f>
        <v>6.5</v>
      </c>
      <c r="U4" s="170">
        <f>SUMIFS([1]مرداد!$AF$2:$AF$805,[1]مرداد!$O$2:$O$805,7101,[1]مرداد!$D$2:$D$805,$F$4,[1]مرداد!$AC$2:$AC$805,U3)</f>
        <v>0</v>
      </c>
    </row>
    <row r="5" spans="1:21" ht="33.75" customHeight="1" x14ac:dyDescent="0.25">
      <c r="A5" s="714">
        <v>1</v>
      </c>
      <c r="B5" s="722" t="s">
        <v>14</v>
      </c>
      <c r="C5" s="708">
        <v>7101</v>
      </c>
      <c r="D5" s="736">
        <v>62.5</v>
      </c>
      <c r="E5" s="1003"/>
      <c r="F5" s="720"/>
      <c r="G5" s="3">
        <f t="shared" ref="G5:G54" si="0">SUM(O5:T5)</f>
        <v>0</v>
      </c>
      <c r="H5" s="47">
        <f t="shared" ref="H5:H54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-55</v>
      </c>
      <c r="N5" s="929"/>
      <c r="O5" s="166">
        <f>SUMIFS([1]مرداد!$AF$2:$AF$805,[1]مرداد!$O$2:$O$805,7101,[1]مرداد!$D$2:$D$805,$F$5,[1]مرداد!$AC$2:$AC$805,O3)</f>
        <v>0</v>
      </c>
      <c r="P5" s="168">
        <f>SUMIFS([1]مرداد!$AF$2:$AF$805,[1]مرداد!$O$2:$O$805,7101,[1]مرداد!$D$2:$D$805,$F$5,[1]مرداد!$AC$2:$AC$805,P3)</f>
        <v>0</v>
      </c>
      <c r="Q5" s="168">
        <f>SUMIFS([1]مرداد!$AF$2:$AF$805,[1]مرداد!$O$2:$O$805,7101,[1]مرداد!$D$2:$D$805,$F$5,[1]مرداد!$AC$2:$AC$805,Q3)</f>
        <v>0</v>
      </c>
      <c r="R5" s="168">
        <f>SUMIFS([1]مرداد!$AF$2:$AF$805,[1]مرداد!$O$2:$O$805,7101,[1]مرداد!$D$2:$D$805,$F$5,[1]مرداد!$AC$2:$AC$805,R3)</f>
        <v>0</v>
      </c>
      <c r="S5" s="168">
        <f>SUMIFS([1]مرداد!$AF$2:$AF$805,[1]مرداد!$O$2:$O$805,7101,[1]مرداد!$D$2:$D$805,$F$5,[1]مرداد!$AC$2:$AC$805,S3)</f>
        <v>0</v>
      </c>
      <c r="T5" s="168">
        <f>SUMIFS([1]مرداد!$AF$2:$AF$805,[1]مرداد!$O$2:$O$805,7101,[1]مرداد!$D$2:$D$805,$F$5,[1]مرداد!$AC$2:$AC$805,T3)</f>
        <v>0</v>
      </c>
      <c r="U5" s="424">
        <f>SUMIFS([1]مرداد!$AF$2:$AF$805,[1]مرداد!$O$2:$O$805,7101,[1]مرداد!$D$2:$D$805,$F$5,[1]مرداد!$AC$2:$AC$805,U3)</f>
        <v>0</v>
      </c>
    </row>
    <row r="6" spans="1:21" ht="33.75" customHeight="1" thickBot="1" x14ac:dyDescent="0.3">
      <c r="A6" s="715"/>
      <c r="B6" s="88"/>
      <c r="C6" s="43"/>
      <c r="D6" s="709"/>
      <c r="E6" s="934"/>
      <c r="F6" s="5"/>
      <c r="G6" s="6">
        <f t="shared" si="0"/>
        <v>0</v>
      </c>
      <c r="H6" s="761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171">
        <f>SUMIFS([1]مرداد!$AF$2:$AF$805,[1]مرداد!$O$2:$O$805,7101,[1]مرداد!$D$2:$D$805,$F$6,[1]مرداد!$AC$2:$AC$805,O3)</f>
        <v>0</v>
      </c>
      <c r="P6" s="172">
        <f>SUMIFS([1]مرداد!$AF$2:$AF$805,[1]مرداد!$O$2:$O$805,7101,[1]مرداد!$D$2:$D$805,$F$6,[1]مرداد!$AC$2:$AC$805,P3)</f>
        <v>0</v>
      </c>
      <c r="Q6" s="172">
        <f>SUMIFS([1]مرداد!$AF$2:$AF$805,[1]مرداد!$O$2:$O$805,7101,[1]مرداد!$D$2:$D$805,$F$6,[1]مرداد!$AC$2:$AC$805,Q3)</f>
        <v>0</v>
      </c>
      <c r="R6" s="172">
        <f>SUMIFS([1]مرداد!$AF$2:$AF$805,[1]مرداد!$O$2:$O$805,7101,[1]مرداد!$D$2:$D$805,$F$6,[1]مرداد!$AC$2:$AC$805,R3)</f>
        <v>0</v>
      </c>
      <c r="S6" s="172">
        <f>SUMIFS([1]مرداد!$AF$2:$AF$805,[1]مرداد!$O$2:$O$805,7101,[1]مرداد!$D$2:$D$805,$F$6,[1]مرداد!$AC$2:$AC$805,S3)</f>
        <v>0</v>
      </c>
      <c r="T6" s="172">
        <f>SUMIFS([1]مرداد!$AF$2:$AF$805,[1]مرداد!$O$2:$O$805,7101,[1]مرداد!$D$2:$D$805,$F$6,[1]مرداد!$AC$2:$AC$805,T3)</f>
        <v>0</v>
      </c>
      <c r="U6" s="741">
        <f>SUMIFS([1]مرداد!$AF$2:$AF$805,[1]مرداد!$O$2:$O$805,7101,[1]مرداد!$D$2:$D$805,$F$6,[1]مرداد!$AC$2:$AC$805,U3)</f>
        <v>0</v>
      </c>
    </row>
    <row r="7" spans="1:21" ht="33.75" customHeight="1" x14ac:dyDescent="0.25">
      <c r="A7" s="732"/>
      <c r="B7" s="728"/>
      <c r="C7" s="42"/>
      <c r="D7" s="707"/>
      <c r="E7" s="932" t="s">
        <v>15</v>
      </c>
      <c r="F7" s="20" t="s">
        <v>20</v>
      </c>
      <c r="G7" s="739">
        <f t="shared" si="0"/>
        <v>23</v>
      </c>
      <c r="H7" s="46">
        <f t="shared" si="1"/>
        <v>7.5</v>
      </c>
      <c r="I7" s="739">
        <v>3</v>
      </c>
      <c r="J7" s="739">
        <v>0</v>
      </c>
      <c r="K7" s="739">
        <v>0</v>
      </c>
      <c r="L7" s="739">
        <v>0</v>
      </c>
      <c r="M7" s="10"/>
      <c r="N7" s="712" t="s">
        <v>29</v>
      </c>
      <c r="O7" s="292">
        <f>SUMIFS([1]مرداد!$AF$2:$AF$805,[1]مرداد!$O$2:$O$805,7102,[1]مرداد!$D$2:$D$805,$F$7,[1]مرداد!$AC$2:$AC$805,O3)</f>
        <v>11</v>
      </c>
      <c r="P7" s="292">
        <f>SUMIFS([1]مرداد!$AF$2:$AF$805,[1]مرداد!$O$2:$O$805,7102,[1]مرداد!$D$2:$D$805,$F$7,[1]مرداد!$AC$2:$AC$805,P3)</f>
        <v>0</v>
      </c>
      <c r="Q7" s="292">
        <f>SUMIFS([1]مرداد!$AF$2:$AF$805,[1]مرداد!$O$2:$O$805,7102,[1]مرداد!$D$2:$D$805,$F$7,[1]مرداد!$AC$2:$AC$805,Q3)</f>
        <v>0</v>
      </c>
      <c r="R7" s="292">
        <f>SUMIFS([1]مرداد!$AF$2:$AF$805,[1]مرداد!$O$2:$O$805,7102,[1]مرداد!$D$2:$D$805,$F$7,[1]مرداد!$AC$2:$AC$805,R3)</f>
        <v>7.5</v>
      </c>
      <c r="S7" s="292">
        <f>SUMIFS([1]مرداد!$AF$2:$AF$805,[1]مرداد!$O$2:$O$805,7102,[1]مرداد!$D$2:$D$805,$F$7,[1]مرداد!$AC$2:$AC$805,S3)</f>
        <v>0</v>
      </c>
      <c r="T7" s="292">
        <f>SUMIFS([1]مرداد!$AF$2:$AF$805,[1]مرداد!$O$2:$O$805,7102,[1]مرداد!$D$2:$D$805,$F$7,[1]مرداد!$AC$2:$AC$805,T3)</f>
        <v>4.5</v>
      </c>
      <c r="U7" s="357">
        <f>SUMIFS([1]مرداد!$AF$2:$AF$805,[1]مرداد!$O$2:$O$805,7102,[1]مرداد!$D$2:$D$805,$F$7,[1]مرداد!$AC$2:$AC$805,U3)</f>
        <v>7.5</v>
      </c>
    </row>
    <row r="8" spans="1:21" ht="33.75" customHeight="1" x14ac:dyDescent="0.25">
      <c r="A8" s="732">
        <v>2</v>
      </c>
      <c r="B8" s="722" t="s">
        <v>14</v>
      </c>
      <c r="C8" s="708">
        <v>7102</v>
      </c>
      <c r="D8" s="586">
        <v>62.5</v>
      </c>
      <c r="E8" s="1003"/>
      <c r="F8" s="725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-29</v>
      </c>
      <c r="N8" s="705"/>
      <c r="O8" s="293">
        <f>SUMIFS([1]اردیبهشت!$AD$2:$AD$600,[1]اردیبهشت!$N$2:$N$600,7102,[1]اردیبهشت!$D$2:$D$600,$F$8,[1]اردیبهشت!$AA$2:$AA$600,O3)</f>
        <v>0</v>
      </c>
      <c r="P8" s="168">
        <f>SUMIFS([1]اردیبهشت!$AD$2:$AD$600,[1]اردیبهشت!$N$2:$N$600,7102,[1]اردیبهشت!$D$2:$D$600,$F$8,[1]اردیبهشت!$AA$2:$AA$600,P3)</f>
        <v>0</v>
      </c>
      <c r="Q8" s="168">
        <f>SUMIFS([1]اردیبهشت!$AD$2:$AD$600,[1]اردیبهشت!$N$2:$N$600,7102,[1]اردیبهشت!$D$2:$D$600,$F$8,[1]اردیبهشت!$AA$2:$AA$600,Q3)</f>
        <v>0</v>
      </c>
      <c r="R8" s="168">
        <f>SUMIFS([1]اردیبهشت!$AD$2:$AD$600,[1]اردیبهشت!$N$2:$N$600,7102,[1]اردیبهشت!$D$2:$D$600,$F$8,[1]اردیبهشت!$AA$2:$AA$600,R3)</f>
        <v>0</v>
      </c>
      <c r="S8" s="168">
        <f>SUMIFS([1]اردیبهشت!$AD$2:$AD$600,[1]اردیبهشت!$N$2:$N$600,7102,[1]اردیبهشت!$D$2:$D$600,$F$8,[1]اردیبهشت!$AA$2:$AA$600,S3)</f>
        <v>0</v>
      </c>
      <c r="T8" s="168">
        <f>SUMIFS([1]اردیبهشت!$AD$2:$AD$600,[1]اردیبهشت!$N$2:$N$600,7102,[1]اردیبهشت!$D$2:$D$600,$F$8,[1]اردیبهشت!$AA$2:$AA$600,T3)</f>
        <v>0</v>
      </c>
      <c r="U8" s="108">
        <f>SUMIFS([1]اردیبهشت!$AD$2:$AD$600,[1]اردیبهشت!$N$2:$N$600,7102,[1]اردیبهشت!$D$2:$D$600,$F$8,[1]اردیبهشت!$AA$2:$AA$600,U3)</f>
        <v>0</v>
      </c>
    </row>
    <row r="9" spans="1:21" ht="33.75" customHeight="1" thickBot="1" x14ac:dyDescent="0.3">
      <c r="A9" s="732"/>
      <c r="B9" s="730"/>
      <c r="C9" s="43"/>
      <c r="D9" s="709"/>
      <c r="E9" s="934"/>
      <c r="F9" s="5"/>
      <c r="G9" s="6">
        <f t="shared" si="0"/>
        <v>0</v>
      </c>
      <c r="H9" s="761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706"/>
      <c r="O9" s="294">
        <f>SUMIFS([1]اردیبهشت!$AD$2:$AD$600,[1]اردیبهشت!$N$2:$N$600,7102,[1]اردیبهشت!$D$2:$D$600,$F$9,[1]اردیبهشت!$AA$2:$AA$600,O3)</f>
        <v>0</v>
      </c>
      <c r="P9" s="172">
        <f>SUMIFS([1]اردیبهشت!$AD$2:$AD$600,[1]اردیبهشت!$N$2:$N$600,7102,[1]اردیبهشت!$D$2:$D$600,$F$9,[1]اردیبهشت!$AA$2:$AA$600,P3)</f>
        <v>0</v>
      </c>
      <c r="Q9" s="172">
        <f>SUMIFS([1]اردیبهشت!$AD$2:$AD$600,[1]اردیبهشت!$N$2:$N$600,7102,[1]اردیبهشت!$D$2:$D$600,$F$9,[1]اردیبهشت!$AA$2:$AA$600,Q3)</f>
        <v>0</v>
      </c>
      <c r="R9" s="172">
        <f>SUMIFS([1]اردیبهشت!$AD$2:$AD$600,[1]اردیبهشت!$N$2:$N$600,7102,[1]اردیبهشت!$D$2:$D$600,$F$9,[1]اردیبهشت!$AA$2:$AA$600,R3)</f>
        <v>0</v>
      </c>
      <c r="S9" s="172">
        <f>SUMIFS([1]اردیبهشت!$AD$2:$AD$600,[1]اردیبهشت!$N$2:$N$600,7102,[1]اردیبهشت!$D$2:$D$600,$F$9,[1]اردیبهشت!$AA$2:$AA$600,S3)</f>
        <v>0</v>
      </c>
      <c r="T9" s="172">
        <f>SUMIFS([1]اردیبهشت!$AD$2:$AD$600,[1]اردیبهشت!$N$2:$N$600,7102,[1]اردیبهشت!$D$2:$D$600,$F$9,[1]اردیبهشت!$AA$2:$AA$600,T3)</f>
        <v>0</v>
      </c>
      <c r="U9" s="109">
        <f>SUMIFS([1]اردیبهشت!$AD$2:$AD$600,[1]اردیبهشت!$N$2:$N$600,7102,[1]اردیبهشت!$D$2:$D$600,$F$9,[1]اردیبهشت!$AA$2:$AA$600,U3)</f>
        <v>0</v>
      </c>
    </row>
    <row r="10" spans="1:21" ht="33.75" customHeight="1" thickBot="1" x14ac:dyDescent="0.3">
      <c r="A10" s="45">
        <v>3</v>
      </c>
      <c r="B10" s="12" t="s">
        <v>14</v>
      </c>
      <c r="C10" s="13">
        <v>7103</v>
      </c>
      <c r="D10" s="283">
        <v>44</v>
      </c>
      <c r="E10" s="13" t="s">
        <v>15</v>
      </c>
      <c r="F10" s="13" t="s">
        <v>12</v>
      </c>
      <c r="G10" s="14">
        <f t="shared" si="0"/>
        <v>27.5</v>
      </c>
      <c r="H10" s="48">
        <f t="shared" si="1"/>
        <v>0</v>
      </c>
      <c r="I10" s="14">
        <v>0</v>
      </c>
      <c r="J10" s="14">
        <v>0</v>
      </c>
      <c r="K10" s="14">
        <v>0</v>
      </c>
      <c r="L10" s="14">
        <v>0</v>
      </c>
      <c r="M10" s="14">
        <f>SUM(G10:L10)-64</f>
        <v>-36.5</v>
      </c>
      <c r="N10" s="61"/>
      <c r="O10" s="295">
        <f>SUMIFS([1]مرداد!$AF$2:$AF$805,[1]مرداد!$O$2:$O$805,7103,[1]مرداد!$D$2:$D$805,$F$10,[1]مرداد!$AC$2:$AC$805,O3)</f>
        <v>11.5</v>
      </c>
      <c r="P10" s="295">
        <f>SUMIFS([1]مرداد!$AF$2:$AF$805,[1]مرداد!$O$2:$O$805,7103,[1]مرداد!$D$2:$D$805,$F$10,[1]مرداد!$AC$2:$AC$805,P3)</f>
        <v>9.5</v>
      </c>
      <c r="Q10" s="295">
        <f>SUMIFS([1]مرداد!$AF$2:$AF$805,[1]مرداد!$O$2:$O$805,7103,[1]مرداد!$D$2:$D$805,$F$10,[1]مرداد!$AC$2:$AC$805,Q3)</f>
        <v>0</v>
      </c>
      <c r="R10" s="295">
        <f>SUMIFS([1]مرداد!$AF$2:$AF$805,[1]مرداد!$O$2:$O$805,7103,[1]مرداد!$D$2:$D$805,$F$10,[1]مرداد!$AC$2:$AC$805,R3)</f>
        <v>0</v>
      </c>
      <c r="S10" s="295">
        <f>SUMIFS([1]مرداد!$AF$2:$AF$805,[1]مرداد!$O$2:$O$805,7103,[1]مرداد!$D$2:$D$805,$F$10,[1]مرداد!$AC$2:$AC$805,S3)</f>
        <v>6.5</v>
      </c>
      <c r="T10" s="295">
        <f>SUMIFS([1]مرداد!$AF$2:$AF$805,[1]مرداد!$O$2:$O$805,7103,[1]مرداد!$D$2:$D$805,$F$10,[1]مرداد!$AC$2:$AC$805,T3)</f>
        <v>0</v>
      </c>
      <c r="U10" s="744">
        <f>SUMIFS([1]مرداد!$AF$2:$AF$805,[1]مرداد!$O$2:$O$805,7103,[1]مرداد!$D$2:$D$805,$F$10,[1]مرداد!$AC$2:$AC$805,U3)</f>
        <v>0</v>
      </c>
    </row>
    <row r="11" spans="1:21" ht="33.75" customHeight="1" thickBot="1" x14ac:dyDescent="0.3">
      <c r="A11" s="732">
        <v>4</v>
      </c>
      <c r="B11" s="82" t="s">
        <v>18</v>
      </c>
      <c r="C11" s="72">
        <v>7201</v>
      </c>
      <c r="D11" s="72">
        <v>62.5</v>
      </c>
      <c r="E11" s="72" t="s">
        <v>19</v>
      </c>
      <c r="F11" s="73"/>
      <c r="G11" s="14">
        <f t="shared" si="0"/>
        <v>0</v>
      </c>
      <c r="H11" s="48">
        <f t="shared" si="1"/>
        <v>0</v>
      </c>
      <c r="I11" s="74">
        <v>0</v>
      </c>
      <c r="J11" s="74">
        <v>62</v>
      </c>
      <c r="K11" s="74">
        <v>0</v>
      </c>
      <c r="L11" s="74">
        <v>0</v>
      </c>
      <c r="M11" s="74">
        <f>SUM(G11:J11)-62</f>
        <v>0</v>
      </c>
      <c r="N11" s="75"/>
      <c r="O11" s="762"/>
      <c r="P11" s="285"/>
      <c r="Q11" s="285"/>
      <c r="R11" s="285"/>
      <c r="S11" s="285"/>
      <c r="T11" s="285"/>
      <c r="U11" s="139"/>
    </row>
    <row r="12" spans="1:21" ht="33.75" customHeight="1" x14ac:dyDescent="0.25">
      <c r="A12" s="985">
        <v>5</v>
      </c>
      <c r="B12" s="974" t="s">
        <v>18</v>
      </c>
      <c r="C12" s="932">
        <v>7202</v>
      </c>
      <c r="D12" s="932">
        <v>62.5</v>
      </c>
      <c r="E12" s="932" t="s">
        <v>15</v>
      </c>
      <c r="F12" s="574" t="s">
        <v>199</v>
      </c>
      <c r="G12" s="21">
        <f t="shared" si="0"/>
        <v>0</v>
      </c>
      <c r="H12" s="46">
        <f t="shared" si="1"/>
        <v>0</v>
      </c>
      <c r="I12" s="21">
        <v>0</v>
      </c>
      <c r="J12" s="21">
        <v>0</v>
      </c>
      <c r="K12" s="21">
        <v>0</v>
      </c>
      <c r="L12" s="21">
        <v>0</v>
      </c>
      <c r="M12" s="21"/>
      <c r="N12" s="704"/>
      <c r="O12" s="187">
        <f>SUMIFS([1]مرداد!$AF$2:$AF$805,[1]مرداد!$O$2:$O$805,7202,[1]مرداد!$D$2:$D$805,$F$12,[1]مرداد!$AC$2:$AC$805,O3)</f>
        <v>0</v>
      </c>
      <c r="P12" s="188">
        <f>SUMIFS([1]مرداد!$AF$2:$AF$805,[1]مرداد!$O$2:$O$805,7202,[1]مرداد!$D$2:$D$805,$F$12,[1]مرداد!$AC$2:$AC$805,P3)</f>
        <v>0</v>
      </c>
      <c r="Q12" s="188">
        <f>SUMIFS([1]مرداد!$AF$2:$AF$805,[1]مرداد!$O$2:$O$805,7202,[1]مرداد!$D$2:$D$805,$F$12,[1]مرداد!$AC$2:$AC$805,Q3)</f>
        <v>0</v>
      </c>
      <c r="R12" s="188">
        <f>SUMIFS([1]مرداد!$AF$2:$AF$805,[1]مرداد!$O$2:$O$805,7202,[1]مرداد!$D$2:$D$805,$F$12,[1]مرداد!$AC$2:$AC$805,R3)</f>
        <v>0</v>
      </c>
      <c r="S12" s="188">
        <f>SUMIFS([1]مرداد!$AF$2:$AF$805,[1]مرداد!$O$2:$O$805,7202,[1]مرداد!$D$2:$D$805,$F$12,[1]مرداد!$AC$2:$AC$805,S3)</f>
        <v>0</v>
      </c>
      <c r="T12" s="188">
        <f>SUMIFS([1]مرداد!$AF$2:$AF$805,[1]مرداد!$O$2:$O$805,7202,[1]مرداد!$D$2:$D$805,$F$12,[1]مرداد!$AC$2:$AC$805,T3)</f>
        <v>0</v>
      </c>
      <c r="U12" s="189">
        <f>SUMIFS([1]مرداد!$AF$2:$AF$805,[1]مرداد!$O$2:$O$805,7202,[1]مرداد!$D$2:$D$805,$F$12,[1]مرداد!$AC$2:$AC$805,U3)</f>
        <v>0</v>
      </c>
    </row>
    <row r="13" spans="1:21" ht="33.75" customHeight="1" x14ac:dyDescent="0.25">
      <c r="A13" s="986"/>
      <c r="B13" s="975"/>
      <c r="C13" s="933"/>
      <c r="D13" s="933"/>
      <c r="E13" s="933"/>
      <c r="F13" s="22" t="s">
        <v>46</v>
      </c>
      <c r="G13" s="3">
        <f t="shared" si="0"/>
        <v>5.5</v>
      </c>
      <c r="H13" s="47">
        <f t="shared" si="1"/>
        <v>0</v>
      </c>
      <c r="I13" s="3">
        <v>0</v>
      </c>
      <c r="J13" s="3">
        <v>0</v>
      </c>
      <c r="K13" s="3">
        <v>0</v>
      </c>
      <c r="L13" s="3">
        <v>0</v>
      </c>
      <c r="M13" s="3">
        <f>(G12+G13+G14)-(D12)+(J12)</f>
        <v>-42.5</v>
      </c>
      <c r="N13" s="579"/>
      <c r="O13" s="742">
        <f>SUMIFS([1]مرداد!$AF$2:$AF$805,[1]مرداد!$O$2:$O$805,7202,[1]مرداد!$D$2:$D$805,$F$13,[1]مرداد!$AC$2:$AC$805,O3)</f>
        <v>5.5</v>
      </c>
      <c r="P13" s="575">
        <f>SUMIFS([1]مرداد!$AF$2:$AF$805,[1]مرداد!$O$2:$O$805,7202,[1]مرداد!$D$2:$D$805,$F$13,[1]مرداد!$AC$2:$AC$805,P3)</f>
        <v>0</v>
      </c>
      <c r="Q13" s="575">
        <f>SUMIFS([1]مرداد!$AF$2:$AF$805,[1]مرداد!$O$2:$O$805,7202,[1]مرداد!$D$2:$D$805,$F$13,[1]مرداد!$AC$2:$AC$805,Q3)</f>
        <v>0</v>
      </c>
      <c r="R13" s="575">
        <f>SUMIFS([1]مرداد!$AF$2:$AF$805,[1]مرداد!$O$2:$O$805,7202,[1]مرداد!$D$2:$D$805,$F$13,[1]مرداد!$AC$2:$AC$805,R3)</f>
        <v>0</v>
      </c>
      <c r="S13" s="575">
        <f>SUMIFS([1]مرداد!$AF$2:$AF$805,[1]مرداد!$O$2:$O$805,7202,[1]مرداد!$D$2:$D$805,$F$13,[1]مرداد!$AC$2:$AC$805,S3)</f>
        <v>0</v>
      </c>
      <c r="T13" s="575">
        <f>SUMIFS([1]مرداد!$AF$2:$AF$805,[1]مرداد!$O$2:$O$805,7202,[1]مرداد!$D$2:$D$805,$F$13,[1]مرداد!$AC$2:$AC$805,T3)</f>
        <v>0</v>
      </c>
      <c r="U13" s="759">
        <f>SUMIFS([1]مرداد!$AF$2:$AF$805,[1]مرداد!$O$2:$O$805,7202,[1]مرداد!$D$2:$D$805,$F$13,[1]مرداد!$AC$2:$AC$805,U3)</f>
        <v>0</v>
      </c>
    </row>
    <row r="14" spans="1:21" ht="33.75" customHeight="1" thickBot="1" x14ac:dyDescent="0.3">
      <c r="A14" s="986"/>
      <c r="B14" s="976"/>
      <c r="C14" s="934"/>
      <c r="D14" s="934"/>
      <c r="E14" s="934"/>
      <c r="F14" s="745" t="s">
        <v>191</v>
      </c>
      <c r="G14" s="6">
        <f t="shared" si="0"/>
        <v>14.5</v>
      </c>
      <c r="H14" s="761">
        <f t="shared" si="1"/>
        <v>0</v>
      </c>
      <c r="I14" s="6">
        <v>0</v>
      </c>
      <c r="J14" s="6">
        <v>0</v>
      </c>
      <c r="K14" s="6">
        <v>0</v>
      </c>
      <c r="L14" s="6">
        <v>0</v>
      </c>
      <c r="M14" s="6"/>
      <c r="N14" s="777"/>
      <c r="O14" s="274">
        <f>SUMIFS([1]مرداد!$AF$2:$AF$805,[1]مرداد!$O$2:$O$805,7202,[1]مرداد!$D$2:$D$805,"*",[1]مرداد!$AC$2:$AC$805,O3)-SUMIFS([1]مرداد!$AF$2:$AF$805,[1]مرداد!$O$2:$O$805,7202,[1]مرداد!$D$2:$D$805,$F$13,[1]مرداد!$AC$2:$AC$805,O3)</f>
        <v>0</v>
      </c>
      <c r="P14" s="275">
        <f>SUMIFS([1]مرداد!$AF$2:$AF$805,[1]مرداد!$O$2:$O$805,7202,[1]مرداد!$D$2:$D$805,"*",[1]مرداد!$AC$2:$AC$805,P3)-SUMIFS([1]مرداد!$AF$2:$AF$805,[1]مرداد!$O$2:$O$805,7202,[1]مرداد!$D$2:$D$805,$F$13,[1]مرداد!$AC$2:$AC$805,P3)</f>
        <v>0</v>
      </c>
      <c r="Q14" s="275">
        <f>SUMIFS([1]مرداد!$AF$2:$AF$805,[1]مرداد!$O$2:$O$805,7202,[1]مرداد!$D$2:$D$805,"*",[1]مرداد!$AC$2:$AC$805,Q3)-SUMIFS([1]مرداد!$AF$2:$AF$805,[1]مرداد!$O$2:$O$805,7202,[1]مرداد!$D$2:$D$805,$F$13,[1]مرداد!$AC$2:$AC$805,Q3)</f>
        <v>0</v>
      </c>
      <c r="R14" s="275">
        <f>SUMIFS([1]مرداد!$AF$2:$AF$805,[1]مرداد!$O$2:$O$805,7202,[1]مرداد!$D$2:$D$805,"*",[1]مرداد!$AC$2:$AC$805,R3)-SUMIFS([1]مرداد!$AF$2:$AF$805,[1]مرداد!$O$2:$O$805,7202,[1]مرداد!$D$2:$D$805,$F$13,[1]مرداد!$AC$2:$AC$805,R3)</f>
        <v>7</v>
      </c>
      <c r="S14" s="275">
        <f>SUMIFS([1]مرداد!$AF$2:$AF$805,[1]مرداد!$O$2:$O$805,7202,[1]مرداد!$D$2:$D$805,"*",[1]مرداد!$AC$2:$AC$805,S3)-SUMIFS([1]مرداد!$AF$2:$AF$805,[1]مرداد!$O$2:$O$805,7202,[1]مرداد!$D$2:$D$805,$F$13,[1]مرداد!$AC$2:$AC$805,S3)</f>
        <v>7.5</v>
      </c>
      <c r="T14" s="275">
        <f>SUMIFS([1]مرداد!$AF$2:$AF$805,[1]مرداد!$O$2:$O$805,7202,[1]مرداد!$D$2:$D$805,"*",[1]مرداد!$AC$2:$AC$805,T3)-SUMIFS([1]مرداد!$AF$2:$AF$805,[1]مرداد!$O$2:$O$805,7202,[1]مرداد!$D$2:$D$805,$F$13,[1]مرداد!$AC$2:$AC$805,T3)</f>
        <v>0</v>
      </c>
      <c r="U14" s="758">
        <f>SUMIFS([1]مرداد!$AF$2:$AF$805,[1]مرداد!$O$2:$O$805,7202,[1]مرداد!$D$2:$D$805,"*",[1]مرداد!$AC$2:$AC$805,U3)-SUMIFS([1]مرداد!$AF$2:$AF$805,[1]مرداد!$O$2:$O$805,7202,[1]مرداد!$D$2:$D$805,$F$13,[1]مرداد!$AC$2:$AC$805,U3)</f>
        <v>0</v>
      </c>
    </row>
    <row r="15" spans="1:21" ht="33.75" customHeight="1" x14ac:dyDescent="0.25">
      <c r="A15" s="985">
        <v>6</v>
      </c>
      <c r="B15" s="974" t="s">
        <v>18</v>
      </c>
      <c r="C15" s="932">
        <v>7203</v>
      </c>
      <c r="D15" s="932">
        <v>62.5</v>
      </c>
      <c r="E15" s="932" t="s">
        <v>15</v>
      </c>
      <c r="F15" s="20" t="s">
        <v>191</v>
      </c>
      <c r="G15" s="739">
        <f t="shared" ref="G15" si="2">SUM(O15:T15)</f>
        <v>22.5</v>
      </c>
      <c r="H15" s="46">
        <f t="shared" si="1"/>
        <v>7.5</v>
      </c>
      <c r="I15" s="739">
        <v>0</v>
      </c>
      <c r="J15" s="739">
        <v>0</v>
      </c>
      <c r="K15" s="739">
        <v>0</v>
      </c>
      <c r="L15" s="739">
        <v>0</v>
      </c>
      <c r="M15" s="739"/>
      <c r="N15" s="756"/>
      <c r="O15" s="292">
        <f>SUMIFS([1]مرداد!$AF$2:$AF$805,[1]مرداد!$O$2:$O$805,7203,[1]مرداد!$D$2:$D$805,$F$15,[1]مرداد!$AC$2:$AC$805,O3)</f>
        <v>7.5</v>
      </c>
      <c r="P15" s="292">
        <f>SUMIFS([1]مرداد!$AF$2:$AF$805,[1]مرداد!$O$2:$O$805,7203,[1]مرداد!$D$2:$D$805,$F$15,[1]مرداد!$AC$2:$AC$805,P3)</f>
        <v>0</v>
      </c>
      <c r="Q15" s="292">
        <f>SUMIFS([1]مرداد!$AF$2:$AF$805,[1]مرداد!$O$2:$O$805,7203,[1]مرداد!$D$2:$D$805,$F$15,[1]مرداد!$AC$2:$AC$805,Q3)</f>
        <v>7.5</v>
      </c>
      <c r="R15" s="292">
        <f>SUMIFS([1]مرداد!$AF$2:$AF$805,[1]مرداد!$O$2:$O$805,7203,[1]مرداد!$D$2:$D$805,$F$15,[1]مرداد!$AC$2:$AC$805,R3)</f>
        <v>7.5</v>
      </c>
      <c r="S15" s="292">
        <f>SUMIFS([1]مرداد!$AF$2:$AF$805,[1]مرداد!$O$2:$O$805,7203,[1]مرداد!$D$2:$D$805,$F$15,[1]مرداد!$AC$2:$AC$805,S3)</f>
        <v>0</v>
      </c>
      <c r="T15" s="292">
        <f>SUMIFS([1]مرداد!$AF$2:$AF$805,[1]مرداد!$O$2:$O$805,7203,[1]مرداد!$D$2:$D$805,$F$15,[1]مرداد!$AC$2:$AC$805,T3)</f>
        <v>0</v>
      </c>
      <c r="U15" s="357">
        <f>SUMIFS([1]مرداد!$AF$2:$AF$805,[1]مرداد!$O$2:$O$805,7203,[1]مرداد!$D$2:$D$805,$F$15,[1]مرداد!$AC$2:$AC$805,U3)</f>
        <v>7.5</v>
      </c>
    </row>
    <row r="16" spans="1:21" ht="33.75" customHeight="1" thickBot="1" x14ac:dyDescent="0.3">
      <c r="A16" s="987"/>
      <c r="B16" s="976"/>
      <c r="C16" s="934"/>
      <c r="D16" s="934"/>
      <c r="E16" s="934"/>
      <c r="F16" s="745" t="s">
        <v>45</v>
      </c>
      <c r="G16" s="6">
        <f t="shared" si="0"/>
        <v>0</v>
      </c>
      <c r="H16" s="761">
        <f t="shared" si="1"/>
        <v>0</v>
      </c>
      <c r="I16" s="6">
        <v>0</v>
      </c>
      <c r="J16" s="6">
        <v>0</v>
      </c>
      <c r="K16" s="6">
        <v>0</v>
      </c>
      <c r="L16" s="6">
        <v>0</v>
      </c>
      <c r="M16" s="6">
        <f>(G16+H16+I16+J16+K16)-D15</f>
        <v>-62.5</v>
      </c>
      <c r="N16" s="737"/>
      <c r="O16" s="353">
        <f>SUMIFS([1]مرداد!$AF$2:$AF$805,[1]مرداد!$O$2:$O$805,7203,[1]مرداد!$D$2:$D$805,$F$16,[1]مرداد!$AC$2:$AC$805,O3)</f>
        <v>0</v>
      </c>
      <c r="P16" s="353">
        <f>SUMIFS([1]مرداد!$AF$2:$AF$805,[1]مرداد!$O$2:$O$805,7203,[1]مرداد!$D$2:$D$805,$F$16,[1]مرداد!$AC$2:$AC$805,P3)</f>
        <v>0</v>
      </c>
      <c r="Q16" s="353">
        <f>SUMIFS([1]مرداد!$AF$2:$AF$805,[1]مرداد!$O$2:$O$805,7203,[1]مرداد!$D$2:$D$805,$F$16,[1]مرداد!$AC$2:$AC$805,Q3)</f>
        <v>0</v>
      </c>
      <c r="R16" s="353">
        <f>SUMIFS([1]مرداد!$AF$2:$AF$805,[1]مرداد!$O$2:$O$805,7203,[1]مرداد!$D$2:$D$805,$F$16,[1]مرداد!$AC$2:$AC$805,R3)</f>
        <v>0</v>
      </c>
      <c r="S16" s="353">
        <f>SUMIFS([1]مرداد!$AF$2:$AF$805,[1]مرداد!$O$2:$O$805,7203,[1]مرداد!$D$2:$D$805,$F$16,[1]مرداد!$AC$2:$AC$805,S3)</f>
        <v>0</v>
      </c>
      <c r="T16" s="353">
        <f>SUMIFS([1]مرداد!$AF$2:$AF$805,[1]مرداد!$O$2:$O$805,7203,[1]مرداد!$D$2:$D$805,$F$16,[1]مرداد!$AC$2:$AC$805,T3)</f>
        <v>0</v>
      </c>
      <c r="U16" s="746">
        <f>SUMIFS([1]مرداد!$AF$2:$AF$805,[1]مرداد!$O$2:$O$805,7203,[1]مرداد!$D$2:$D$805,$F$16,[1]مرداد!$AC$2:$AC$805,U3)</f>
        <v>0</v>
      </c>
    </row>
    <row r="17" spans="1:21" ht="33.75" customHeight="1" thickBot="1" x14ac:dyDescent="0.3">
      <c r="A17" s="733">
        <v>7</v>
      </c>
      <c r="B17" s="12" t="s">
        <v>18</v>
      </c>
      <c r="C17" s="13">
        <v>7204</v>
      </c>
      <c r="D17" s="13">
        <v>62.5</v>
      </c>
      <c r="E17" s="13" t="s">
        <v>15</v>
      </c>
      <c r="F17" s="16" t="s">
        <v>144</v>
      </c>
      <c r="G17" s="14">
        <f t="shared" si="0"/>
        <v>44.5</v>
      </c>
      <c r="H17" s="48">
        <f t="shared" si="1"/>
        <v>4.5</v>
      </c>
      <c r="I17" s="14">
        <v>0</v>
      </c>
      <c r="J17" s="14">
        <v>0</v>
      </c>
      <c r="K17" s="14">
        <v>0</v>
      </c>
      <c r="L17" s="14">
        <v>0</v>
      </c>
      <c r="M17" s="14">
        <f>SUM(G17:J17)-62</f>
        <v>-13</v>
      </c>
      <c r="N17" s="61"/>
      <c r="O17" s="295">
        <f>SUMIFS([1]مرداد!$AF$2:$AF$805,[1]مرداد!$O$2:$O$805,7204,[1]مرداد!$D$2:$D$805,$F$17,[1]مرداد!$AC$2:$AC$805,O3)</f>
        <v>7.5</v>
      </c>
      <c r="P17" s="295">
        <f>SUMIFS([1]مرداد!$AF$2:$AF$805,[1]مرداد!$O$2:$O$805,7204,[1]مرداد!$D$2:$D$805,$F$17,[1]مرداد!$AC$2:$AC$805,P3)</f>
        <v>7.5</v>
      </c>
      <c r="Q17" s="295">
        <f>SUMIFS([1]مرداد!$AF$2:$AF$805,[1]مرداد!$O$2:$O$805,7204,[1]مرداد!$D$2:$D$805,$F$17,[1]مرداد!$AC$2:$AC$805,Q3)</f>
        <v>5.5</v>
      </c>
      <c r="R17" s="295">
        <f>SUMIFS([1]مرداد!$AF$2:$AF$805,[1]مرداد!$O$2:$O$805,7204,[1]مرداد!$D$2:$D$805,$F$17,[1]مرداد!$AC$2:$AC$805,R3)</f>
        <v>9</v>
      </c>
      <c r="S17" s="295">
        <f>SUMIFS([1]مرداد!$AF$2:$AF$805,[1]مرداد!$O$2:$O$805,7204,[1]مرداد!$D$2:$D$805,$F$17,[1]مرداد!$AC$2:$AC$805,S3)</f>
        <v>7.5</v>
      </c>
      <c r="T17" s="295">
        <f>SUMIFS([1]مرداد!$AF$2:$AF$805,[1]مرداد!$O$2:$O$805,7204,[1]مرداد!$D$2:$D$805,$F$17,[1]مرداد!$AC$2:$AC$805,T3)</f>
        <v>7.5</v>
      </c>
      <c r="U17" s="744">
        <f>SUMIFS([1]مرداد!$AF$2:$AF$805,[1]مرداد!$O$2:$O$805,7204,[1]مرداد!$D$2:$D$805,$F$17,[1]مرداد!$AC$2:$AC$805,U3)</f>
        <v>4.5</v>
      </c>
    </row>
    <row r="18" spans="1:21" ht="33.75" customHeight="1" thickBot="1" x14ac:dyDescent="0.3">
      <c r="A18" s="45">
        <v>8</v>
      </c>
      <c r="B18" s="12" t="s">
        <v>21</v>
      </c>
      <c r="C18" s="13">
        <v>7301</v>
      </c>
      <c r="D18" s="13">
        <v>62.5</v>
      </c>
      <c r="E18" s="13" t="s">
        <v>15</v>
      </c>
      <c r="F18" s="19" t="s">
        <v>22</v>
      </c>
      <c r="G18" s="14">
        <f t="shared" si="0"/>
        <v>0</v>
      </c>
      <c r="H18" s="48">
        <f t="shared" si="1"/>
        <v>0</v>
      </c>
      <c r="I18" s="14">
        <v>0</v>
      </c>
      <c r="J18" s="14">
        <v>0</v>
      </c>
      <c r="K18" s="14">
        <v>0</v>
      </c>
      <c r="L18" s="14">
        <v>0</v>
      </c>
      <c r="M18" s="14">
        <f>SUM(G18:L18)-D18</f>
        <v>-62.5</v>
      </c>
      <c r="N18" s="15"/>
      <c r="O18" s="176">
        <f>SUMIFS([1]مرداد!$AF$2:$AF$805,[1]مرداد!$O$2:$O$805,7301,[1]مرداد!$D$2:$D$805,$F$18,[1]مرداد!$AC$2:$AC$805,O3)</f>
        <v>0</v>
      </c>
      <c r="P18" s="177">
        <f>SUMIFS([1]مرداد!$AF$2:$AF$805,[1]مرداد!$O$2:$O$805,7301,[1]مرداد!$D$2:$D$805,$F$18,[1]مرداد!$AC$2:$AC$805,P3)</f>
        <v>0</v>
      </c>
      <c r="Q18" s="177">
        <f>SUMIFS([1]مرداد!$AF$2:$AF$805,[1]مرداد!$O$2:$O$805,7301,[1]مرداد!$D$2:$D$805,$F$18,[1]مرداد!$AC$2:$AC$805,Q3)</f>
        <v>0</v>
      </c>
      <c r="R18" s="177">
        <f>SUMIFS([1]مرداد!$AF$2:$AF$805,[1]مرداد!$O$2:$O$805,7301,[1]مرداد!$D$2:$D$805,$F$18,[1]مرداد!$AC$2:$AC$805,R3)</f>
        <v>0</v>
      </c>
      <c r="S18" s="177">
        <f>SUMIFS([1]مرداد!$AF$2:$AF$805,[1]مرداد!$O$2:$O$805,7301,[1]مرداد!$D$2:$D$805,$F$18,[1]مرداد!$AC$2:$AC$805,S3)</f>
        <v>0</v>
      </c>
      <c r="T18" s="177">
        <f>SUMIFS([1]مرداد!$AF$2:$AF$805,[1]مرداد!$O$2:$O$805,7301,[1]مرداد!$D$2:$D$805,$F$18,[1]مرداد!$AC$2:$AC$805,T3)</f>
        <v>0</v>
      </c>
      <c r="U18" s="178">
        <f>SUMIFS([1]مرداد!$AF$2:$AF$805,[1]مرداد!$O$2:$O$805,7301,[1]مرداد!$D$2:$D$805,$F$18,[1]مرداد!$AC$2:$AC$805,U3)</f>
        <v>0</v>
      </c>
    </row>
    <row r="19" spans="1:21" ht="33.75" customHeight="1" x14ac:dyDescent="0.25">
      <c r="A19" s="731"/>
      <c r="B19" s="729"/>
      <c r="C19" s="740"/>
      <c r="D19" s="708"/>
      <c r="E19" s="933" t="s">
        <v>15</v>
      </c>
      <c r="F19" s="27"/>
      <c r="G19" s="1">
        <f t="shared" si="0"/>
        <v>0</v>
      </c>
      <c r="H19" s="49">
        <f t="shared" si="1"/>
        <v>0</v>
      </c>
      <c r="I19" s="1">
        <v>0</v>
      </c>
      <c r="J19" s="1">
        <v>0</v>
      </c>
      <c r="K19" s="1">
        <v>0</v>
      </c>
      <c r="L19" s="1">
        <v>0</v>
      </c>
      <c r="M19" s="4"/>
      <c r="N19" s="928"/>
      <c r="O19" s="356">
        <f>SUMIFS([1]تیر!$AF$2:$AF$805,[1]تیر!$O$2:$O$805,7302,[1]تیر!$D$2:$D$805,$F$19,[1]تیر!$AC$2:$AC$805,O3)</f>
        <v>0</v>
      </c>
      <c r="P19" s="174">
        <f>SUMIFS([1]تیر!$AF$2:$AF$805,[1]تیر!$O$2:$O$805,7302,[1]تیر!$D$2:$D$805,$F$19,[1]تیر!$AC$2:$AC$805,P3)</f>
        <v>0</v>
      </c>
      <c r="Q19" s="174">
        <f>SUMIFS([1]تیر!$AF$2:$AF$805,[1]تیر!$O$2:$O$805,7302,[1]تیر!$D$2:$D$805,$F$19,[1]تیر!$AC$2:$AC$805,Q3)</f>
        <v>0</v>
      </c>
      <c r="R19" s="174">
        <f>SUMIFS([1]تیر!$AF$2:$AF$805,[1]تیر!$O$2:$O$805,7302,[1]تیر!$D$2:$D$805,$F$19,[1]تیر!$AC$2:$AC$805,R3)</f>
        <v>0</v>
      </c>
      <c r="S19" s="174">
        <f>SUMIFS([1]تیر!$AF$2:$AF$805,[1]تیر!$O$2:$O$805,7302,[1]تیر!$D$2:$D$805,$F$19,[1]تیر!$AC$2:$AC$805,S3)</f>
        <v>0</v>
      </c>
      <c r="T19" s="174">
        <f>SUMIFS([1]تیر!$AF$2:$AF$805,[1]تیر!$O$2:$O$805,7302,[1]تیر!$D$2:$D$805,$F$19,[1]تیر!$AC$2:$AC$805,T3)</f>
        <v>0</v>
      </c>
      <c r="U19" s="110">
        <f>SUMIFS([1]تیر!$AF$2:$AF$805,[1]تیر!$O$2:$O$805,7302,[1]تیر!$D$2:$D$805,$F$19,[1]تیر!$AC$2:$AC$805,U3)</f>
        <v>0</v>
      </c>
    </row>
    <row r="20" spans="1:21" ht="33.75" customHeight="1" x14ac:dyDescent="0.25">
      <c r="A20" s="732">
        <v>9</v>
      </c>
      <c r="B20" s="722" t="s">
        <v>21</v>
      </c>
      <c r="C20" s="588">
        <v>7302</v>
      </c>
      <c r="D20" s="708">
        <v>62.5</v>
      </c>
      <c r="E20" s="1003"/>
      <c r="F20" s="27" t="s">
        <v>17</v>
      </c>
      <c r="G20" s="3">
        <f t="shared" si="0"/>
        <v>9</v>
      </c>
      <c r="H20" s="47">
        <f t="shared" si="1"/>
        <v>0</v>
      </c>
      <c r="I20" s="3">
        <v>0</v>
      </c>
      <c r="J20" s="3">
        <v>0</v>
      </c>
      <c r="K20" s="3">
        <v>0</v>
      </c>
      <c r="L20" s="3">
        <v>0</v>
      </c>
      <c r="M20" s="4">
        <f>SUM(G19:L21)-D20</f>
        <v>-53.5</v>
      </c>
      <c r="N20" s="929"/>
      <c r="O20" s="293">
        <f>SUMIFS([1]مرداد!$AF$2:$AF$805,[1]مرداد!$O$2:$O$805,7302,[1]مرداد!$D$2:$D$805,$F$20,[1]مرداد!$AC$2:$AC$805,O3)</f>
        <v>2</v>
      </c>
      <c r="P20" s="293">
        <f>SUMIFS([1]مرداد!$AF$2:$AF$805,[1]مرداد!$O$2:$O$805,7302,[1]مرداد!$D$2:$D$805,$F$20,[1]مرداد!$AC$2:$AC$805,P3)</f>
        <v>7</v>
      </c>
      <c r="Q20" s="293">
        <f>SUMIFS([1]مرداد!$AF$2:$AF$805,[1]مرداد!$O$2:$O$805,7302,[1]مرداد!$D$2:$D$805,$F$20,[1]مرداد!$AC$2:$AC$805,Q3)</f>
        <v>0</v>
      </c>
      <c r="R20" s="293">
        <f>SUMIFS([1]مرداد!$AF$2:$AF$805,[1]مرداد!$O$2:$O$805,7302,[1]مرداد!$D$2:$D$805,$F$20,[1]مرداد!$AC$2:$AC$805,R3)</f>
        <v>0</v>
      </c>
      <c r="S20" s="293">
        <f>SUMIFS([1]مرداد!$AF$2:$AF$805,[1]مرداد!$O$2:$O$805,7302,[1]مرداد!$D$2:$D$805,$F$20,[1]مرداد!$AC$2:$AC$805,S3)</f>
        <v>0</v>
      </c>
      <c r="T20" s="293">
        <f>SUMIFS([1]مرداد!$AF$2:$AF$805,[1]مرداد!$O$2:$O$805,7302,[1]مرداد!$D$2:$D$805,$F$20,[1]مرداد!$AC$2:$AC$805,T3)</f>
        <v>0</v>
      </c>
      <c r="U20" s="293">
        <f>SUMIFS([1]مرداد!$AF$2:$AF$805,[1]مرداد!$O$2:$O$805,7302,[1]مرداد!$D$2:$D$805,$F$20,[1]مرداد!$AC$2:$AC$805,U3)</f>
        <v>0</v>
      </c>
    </row>
    <row r="21" spans="1:21" ht="33.75" customHeight="1" thickBot="1" x14ac:dyDescent="0.3">
      <c r="A21" s="733"/>
      <c r="B21" s="729"/>
      <c r="C21" s="740"/>
      <c r="D21" s="708"/>
      <c r="E21" s="933"/>
      <c r="F21" s="24"/>
      <c r="G21" s="4">
        <f t="shared" si="0"/>
        <v>0</v>
      </c>
      <c r="H21" s="765">
        <f t="shared" si="1"/>
        <v>0</v>
      </c>
      <c r="I21" s="25">
        <v>0</v>
      </c>
      <c r="J21" s="25">
        <v>0</v>
      </c>
      <c r="K21" s="4">
        <v>0</v>
      </c>
      <c r="L21" s="4">
        <v>0</v>
      </c>
      <c r="M21" s="4"/>
      <c r="N21" s="929"/>
      <c r="O21" s="352">
        <f>SUMIFS([1]اردیبهشت!$AD$2:$AD$805,[1]اردیبهشت!$N$2:$N$805,$C$20,[1]اردیبهشت!$D$2:$D$805,$F$20,[1]اردیبهشت!$AA$2:$AA$805,O4)</f>
        <v>0</v>
      </c>
      <c r="P21" s="175">
        <f>SUMIFS([1]اردیبهشت!$AD$2:$AD$805,[1]اردیبهشت!$N$2:$N$805,$C$20,[1]اردیبهشت!$D$2:$D$805,$F$20,[1]اردیبهشت!$AA$2:$AA$805,P4)</f>
        <v>0</v>
      </c>
      <c r="Q21" s="175">
        <f>SUMIFS([1]اردیبهشت!$AD$2:$AD$805,[1]اردیبهشت!$N$2:$N$805,$C$20,[1]اردیبهشت!$D$2:$D$805,$F$20,[1]اردیبهشت!$AA$2:$AA$805,Q4)</f>
        <v>0</v>
      </c>
      <c r="R21" s="175">
        <f>SUMIFS([1]اردیبهشت!$AD$2:$AD$805,[1]اردیبهشت!$N$2:$N$805,$C$20,[1]اردیبهشت!$D$2:$D$805,$F$20,[1]اردیبهشت!$AA$2:$AA$805,R4)</f>
        <v>0</v>
      </c>
      <c r="S21" s="175">
        <f>SUMIFS([1]اردیبهشت!$AD$2:$AD$805,[1]اردیبهشت!$N$2:$N$805,$C$20,[1]اردیبهشت!$D$2:$D$805,$F$20,[1]اردیبهشت!$AA$2:$AA$805,S4)</f>
        <v>0</v>
      </c>
      <c r="T21" s="175">
        <f>SUMIFS([1]اردیبهشت!$AD$2:$AD$805,[1]اردیبهشت!$N$2:$N$805,$C$20,[1]اردیبهشت!$D$2:$D$805,$F$20,[1]اردیبهشت!$AA$2:$AA$805,T4)</f>
        <v>0</v>
      </c>
      <c r="U21" s="114">
        <f>SUMIFS([1]خرداد!$AF$2:$AF$700,[1]خرداد!$O$2:$O$700,7101,[1]خرداد!$D$2:$D$700,$F$4,[1]خرداد!$AC$2:$AC$700,U20)</f>
        <v>0</v>
      </c>
    </row>
    <row r="22" spans="1:21" ht="33.75" customHeight="1" thickBot="1" x14ac:dyDescent="0.3">
      <c r="A22" s="147">
        <v>10</v>
      </c>
      <c r="B22" s="207" t="s">
        <v>21</v>
      </c>
      <c r="C22" s="129">
        <v>7303</v>
      </c>
      <c r="D22" s="129">
        <v>44</v>
      </c>
      <c r="E22" s="129" t="s">
        <v>19</v>
      </c>
      <c r="F22" s="16" t="s">
        <v>20</v>
      </c>
      <c r="G22" s="209">
        <f t="shared" si="0"/>
        <v>0</v>
      </c>
      <c r="H22" s="48">
        <f t="shared" si="1"/>
        <v>0</v>
      </c>
      <c r="I22" s="209">
        <v>0</v>
      </c>
      <c r="J22" s="209">
        <v>0</v>
      </c>
      <c r="K22" s="209">
        <v>0</v>
      </c>
      <c r="L22" s="209">
        <v>0</v>
      </c>
      <c r="M22" s="209">
        <f>SUM(G22:L22)-44</f>
        <v>-44</v>
      </c>
      <c r="N22" s="313"/>
      <c r="O22" s="297">
        <f>SUMIFS([1]مرداد!$AF$2:$AF$805,[1]مرداد!$O$2:$O$805,7303,[1]مرداد!$D$2:$D$805,$F$22,[1]مرداد!$AC$2:$AC$805,O3)</f>
        <v>0</v>
      </c>
      <c r="P22" s="297">
        <f>SUMIFS([1]مرداد!$AF$2:$AF$805,[1]مرداد!$O$2:$O$805,7303,[1]مرداد!$D$2:$D$805,$F$22,[1]مرداد!$AC$2:$AC$805,P3)</f>
        <v>0</v>
      </c>
      <c r="Q22" s="297">
        <f>SUMIFS([1]مرداد!$AF$2:$AF$805,[1]مرداد!$O$2:$O$805,7303,[1]مرداد!$D$2:$D$805,$F$22,[1]مرداد!$AC$2:$AC$805,Q3)</f>
        <v>0</v>
      </c>
      <c r="R22" s="297">
        <f>SUMIFS([1]مرداد!$AF$2:$AF$805,[1]مرداد!$O$2:$O$805,7303,[1]مرداد!$D$2:$D$805,$F$22,[1]مرداد!$AC$2:$AC$805,R3)</f>
        <v>0</v>
      </c>
      <c r="S22" s="297">
        <f>SUMIFS([1]مرداد!$AF$2:$AF$805,[1]مرداد!$O$2:$O$805,7303,[1]مرداد!$D$2:$D$805,$F$22,[1]مرداد!$AC$2:$AC$805,S3)</f>
        <v>0</v>
      </c>
      <c r="T22" s="297">
        <f>SUMIFS([1]مرداد!$AF$2:$AF$805,[1]مرداد!$O$2:$O$805,7303,[1]مرداد!$D$2:$D$805,$F$22,[1]مرداد!$AC$2:$AC$805,T3)</f>
        <v>0</v>
      </c>
      <c r="U22" s="360">
        <f>SUMIFS([1]مرداد!$AF$2:$AF$805,[1]مرداد!$O$2:$O$805,7303,[1]مرداد!$D$2:$D$805,$F$22,[1]مرداد!$AC$2:$AC$805,U3)</f>
        <v>0</v>
      </c>
    </row>
    <row r="23" spans="1:21" ht="33.75" customHeight="1" x14ac:dyDescent="0.25">
      <c r="A23" s="731"/>
      <c r="B23" s="729"/>
      <c r="C23" s="740"/>
      <c r="D23" s="708"/>
      <c r="E23" s="933" t="s">
        <v>15</v>
      </c>
      <c r="F23" s="66"/>
      <c r="G23" s="1">
        <f t="shared" si="0"/>
        <v>0</v>
      </c>
      <c r="H23" s="49">
        <f t="shared" si="1"/>
        <v>0</v>
      </c>
      <c r="I23" s="1">
        <v>0</v>
      </c>
      <c r="J23" s="1">
        <v>0</v>
      </c>
      <c r="K23" s="1">
        <v>0</v>
      </c>
      <c r="L23" s="1">
        <v>0</v>
      </c>
      <c r="M23" s="4"/>
      <c r="N23" s="1011"/>
      <c r="O23" s="356">
        <f>SUMIFS([1]تیر!$AF$2:$AF$805,[1]تیر!$O$2:$O$805,7401,[1]تیر!$D$2:$D$805,$F$23,[1]تیر!$AC$2:$AC$805,O3)</f>
        <v>0</v>
      </c>
      <c r="P23" s="174">
        <f>SUMIFS([1]تیر!$AF$2:$AF$805,[1]تیر!$O$2:$O$805,7401,[1]تیر!$D$2:$D$805,$F$23,[1]تیر!$AC$2:$AC$805,P3)</f>
        <v>0</v>
      </c>
      <c r="Q23" s="174">
        <f>SUMIFS([1]تیر!$AF$2:$AF$805,[1]تیر!$O$2:$O$805,7401,[1]تیر!$D$2:$D$805,$F$23,[1]تیر!$AC$2:$AC$805,Q3)</f>
        <v>0</v>
      </c>
      <c r="R23" s="174">
        <f>SUMIFS([1]تیر!$AF$2:$AF$805,[1]تیر!$O$2:$O$805,7401,[1]تیر!$D$2:$D$805,$F$23,[1]تیر!$AC$2:$AC$805,R3)</f>
        <v>0</v>
      </c>
      <c r="S23" s="174">
        <f>SUMIFS([1]تیر!$AF$2:$AF$805,[1]تیر!$O$2:$O$805,7401,[1]تیر!$D$2:$D$805,$F$23,[1]تیر!$AC$2:$AC$805,S3)</f>
        <v>0</v>
      </c>
      <c r="T23" s="174">
        <f>SUMIFS([1]تیر!$AF$2:$AF$805,[1]تیر!$O$2:$O$805,7401,[1]تیر!$D$2:$D$805,$F$23,[1]تیر!$AC$2:$AC$805,T3)</f>
        <v>0</v>
      </c>
      <c r="U23" s="110">
        <f>SUMIFS([1]تیر!$AF$2:$AF$805,[1]تیر!$O$2:$O$805,7401,[1]تیر!$D$2:$D$805,$F$23,[1]تیر!$AC$2:$AC$805,U3)</f>
        <v>0</v>
      </c>
    </row>
    <row r="24" spans="1:21" ht="33.75" customHeight="1" x14ac:dyDescent="0.25">
      <c r="A24" s="732">
        <v>11</v>
      </c>
      <c r="B24" s="722" t="s">
        <v>24</v>
      </c>
      <c r="C24" s="708">
        <v>7401</v>
      </c>
      <c r="D24" s="708">
        <v>62.5</v>
      </c>
      <c r="E24" s="1003"/>
      <c r="F24" s="22" t="s">
        <v>16</v>
      </c>
      <c r="G24" s="3">
        <f t="shared" si="0"/>
        <v>10</v>
      </c>
      <c r="H24" s="47">
        <f t="shared" si="1"/>
        <v>0</v>
      </c>
      <c r="I24" s="3">
        <v>0</v>
      </c>
      <c r="J24" s="3">
        <v>0</v>
      </c>
      <c r="K24" s="3">
        <v>0</v>
      </c>
      <c r="L24" s="205">
        <v>0</v>
      </c>
      <c r="M24" s="4">
        <f>SUM(G23:L25)-D24</f>
        <v>-52.5</v>
      </c>
      <c r="N24" s="1005"/>
      <c r="O24" s="293">
        <f>SUMIFS([1]مرداد!$AF$2:$AF$805,[1]مرداد!$O$2:$O$805,7401,[1]مرداد!$D$2:$D$805,$F$24,[1]مرداد!$AC$2:$AC$805,O3)+3</f>
        <v>5</v>
      </c>
      <c r="P24" s="293">
        <f>SUMIFS([1]مرداد!$AF$2:$AF$805,[1]مرداد!$O$2:$O$805,7401,[1]مرداد!$D$2:$D$805,$F$24,[1]مرداد!$AC$2:$AC$805,P3)</f>
        <v>2.5</v>
      </c>
      <c r="Q24" s="293">
        <f>SUMIFS([1]مرداد!$AF$2:$AF$805,[1]مرداد!$O$2:$O$805,7401,[1]مرداد!$D$2:$D$805,$F$24,[1]مرداد!$AC$2:$AC$805,Q3)</f>
        <v>0</v>
      </c>
      <c r="R24" s="293">
        <f>SUMIFS([1]مرداد!$AF$2:$AF$805,[1]مرداد!$O$2:$O$805,7401,[1]مرداد!$D$2:$D$805,$F$24,[1]مرداد!$AC$2:$AC$805,R3)</f>
        <v>2.5</v>
      </c>
      <c r="S24" s="293">
        <f>SUMIFS([1]مرداد!$AF$2:$AF$805,[1]مرداد!$O$2:$O$805,7401,[1]مرداد!$D$2:$D$805,$F$24,[1]مرداد!$AC$2:$AC$805,S3)</f>
        <v>0</v>
      </c>
      <c r="T24" s="293">
        <f>SUMIFS([1]مرداد!$AF$2:$AF$805,[1]مرداد!$O$2:$O$805,7401,[1]مرداد!$D$2:$D$805,$F$24,[1]مرداد!$AC$2:$AC$805,T3)</f>
        <v>0</v>
      </c>
      <c r="U24" s="361">
        <f>SUMIFS([1]مرداد!$AF$2:$AF$805,[1]مرداد!$O$2:$O$805,7401,[1]مرداد!$D$2:$D$805,$F$24,[1]مرداد!$AC$2:$AC$805,U3)</f>
        <v>0</v>
      </c>
    </row>
    <row r="25" spans="1:21" ht="33.75" customHeight="1" thickBot="1" x14ac:dyDescent="0.3">
      <c r="A25" s="732"/>
      <c r="B25" s="729"/>
      <c r="C25" s="740"/>
      <c r="D25" s="708"/>
      <c r="E25" s="933"/>
      <c r="F25" s="24"/>
      <c r="G25" s="4">
        <f t="shared" si="0"/>
        <v>0</v>
      </c>
      <c r="H25" s="765">
        <f t="shared" si="1"/>
        <v>0</v>
      </c>
      <c r="I25" s="25">
        <v>0</v>
      </c>
      <c r="J25" s="25">
        <v>0</v>
      </c>
      <c r="K25" s="4">
        <v>0</v>
      </c>
      <c r="L25" s="4">
        <v>0</v>
      </c>
      <c r="M25" s="4"/>
      <c r="N25" s="1012"/>
      <c r="O25" s="352">
        <f>SUMIFS([1]تیر!$AF$2:$AF$805,[1]تیر!$O$2:$O$805,7401,[1]تیر!$D$2:$D$805,$F$25,[1]تیر!$AC$2:$AC$805,O3)</f>
        <v>0</v>
      </c>
      <c r="P25" s="175">
        <f>SUMIFS([1]تیر!$AF$2:$AF$805,[1]تیر!$O$2:$O$805,7401,[1]تیر!$D$2:$D$805,$F$25,[1]تیر!$AC$2:$AC$805,P3)</f>
        <v>0</v>
      </c>
      <c r="Q25" s="175">
        <f>SUMIFS([1]تیر!$AF$2:$AF$805,[1]تیر!$O$2:$O$805,7401,[1]تیر!$D$2:$D$805,$F$25,[1]تیر!$AC$2:$AC$805,Q3)</f>
        <v>0</v>
      </c>
      <c r="R25" s="175">
        <f>SUMIFS([1]تیر!$AF$2:$AF$805,[1]تیر!$O$2:$O$805,7401,[1]تیر!$D$2:$D$805,$F$25,[1]تیر!$AC$2:$AC$805,R3)</f>
        <v>0</v>
      </c>
      <c r="S25" s="175">
        <f>SUMIFS([1]تیر!$AF$2:$AF$805,[1]تیر!$O$2:$O$805,7401,[1]تیر!$D$2:$D$805,$F$25,[1]تیر!$AC$2:$AC$805,S3)</f>
        <v>0</v>
      </c>
      <c r="T25" s="175">
        <f>SUMIFS([1]تیر!$AF$2:$AF$805,[1]تیر!$O$2:$O$805,7401,[1]تیر!$D$2:$D$805,$F$25,[1]تیر!$AC$2:$AC$805,T3)</f>
        <v>0</v>
      </c>
      <c r="U25" s="114">
        <f>SUMIFS([1]تیر!$AF$2:$AF$805,[1]تیر!$O$2:$O$805,7401,[1]تیر!$D$2:$D$805,$F$25,[1]تیر!$AC$2:$AC$805,U3)</f>
        <v>0</v>
      </c>
    </row>
    <row r="26" spans="1:21" ht="33.75" hidden="1" customHeight="1" thickBot="1" x14ac:dyDescent="0.3">
      <c r="A26" s="766"/>
      <c r="B26" s="12"/>
      <c r="C26" s="13"/>
      <c r="D26" s="13"/>
      <c r="E26" s="767" t="s">
        <v>15</v>
      </c>
      <c r="F26" s="16"/>
      <c r="G26" s="14">
        <f t="shared" si="0"/>
        <v>0</v>
      </c>
      <c r="H26" s="48">
        <f t="shared" si="1"/>
        <v>0</v>
      </c>
      <c r="I26" s="14">
        <v>0</v>
      </c>
      <c r="J26" s="14">
        <v>0</v>
      </c>
      <c r="K26" s="14">
        <v>0</v>
      </c>
      <c r="L26" s="14">
        <v>0</v>
      </c>
      <c r="M26" s="14"/>
      <c r="N26" s="768"/>
      <c r="O26" s="295">
        <f>SUMIFS([1]اردیبهشت!$AD$2:$AD$805,[1]اردیبهشت!$N$2:$N$805,$C$26,[1]اردیبهشت!$D$2:$D$805,$F$26,[1]اردیبهشت!$AA$2:$AA$805,O3)</f>
        <v>0</v>
      </c>
      <c r="P26" s="177">
        <f>SUMIFS([1]اردیبهشت!$AD$2:$AD$805,[1]اردیبهشت!$N$2:$N$805,$C$26,[1]اردیبهشت!$D$2:$D$805,$F$26,[1]اردیبهشت!$AA$2:$AA$805,P3)</f>
        <v>0</v>
      </c>
      <c r="Q26" s="177">
        <f>SUMIFS([1]اردیبهشت!$AD$2:$AD$805,[1]اردیبهشت!$N$2:$N$805,$C$26,[1]اردیبهشت!$D$2:$D$805,$F$26,[1]اردیبهشت!$AA$2:$AA$805,Q3)</f>
        <v>0</v>
      </c>
      <c r="R26" s="177">
        <f>SUMIFS([1]اردیبهشت!$AD$2:$AD$805,[1]اردیبهشت!$N$2:$N$805,$C$26,[1]اردیبهشت!$D$2:$D$805,$F$26,[1]اردیبهشت!$AA$2:$AA$805,R3)</f>
        <v>0</v>
      </c>
      <c r="S26" s="177">
        <f>SUMIFS([1]اردیبهشت!$AD$2:$AD$805,[1]اردیبهشت!$N$2:$N$805,$C$26,[1]اردیبهشت!$D$2:$D$805,$F$26,[1]اردیبهشت!$AA$2:$AA$805,S3)</f>
        <v>0</v>
      </c>
      <c r="T26" s="177">
        <f>SUMIFS([1]اردیبهشت!$AD$2:$AD$805,[1]اردیبهشت!$N$2:$N$805,$C$26,[1]اردیبهشت!$D$2:$D$805,$F$26,[1]اردیبهشت!$AA$2:$AA$805,T3)</f>
        <v>0</v>
      </c>
      <c r="U26" s="113">
        <f>SUMIFS([1]خرداد!$AF$2:$AF$700,[1]خرداد!$O$2:$O$700,7101,[1]خرداد!$D$2:$D$700,$F$4,[1]خرداد!$AC$2:$AC$700,U25)</f>
        <v>0</v>
      </c>
    </row>
    <row r="27" spans="1:21" ht="33.75" customHeight="1" thickBot="1" x14ac:dyDescent="0.3">
      <c r="A27" s="12">
        <v>12</v>
      </c>
      <c r="B27" s="709" t="s">
        <v>25</v>
      </c>
      <c r="C27" s="709">
        <v>7501</v>
      </c>
      <c r="D27" s="709">
        <v>62.5</v>
      </c>
      <c r="E27" s="709" t="s">
        <v>15</v>
      </c>
      <c r="F27" s="745" t="s">
        <v>36</v>
      </c>
      <c r="G27" s="6">
        <f t="shared" si="0"/>
        <v>17.5</v>
      </c>
      <c r="H27" s="49">
        <f t="shared" si="1"/>
        <v>0</v>
      </c>
      <c r="I27" s="6">
        <v>0</v>
      </c>
      <c r="J27" s="6">
        <v>0</v>
      </c>
      <c r="K27" s="6">
        <v>0</v>
      </c>
      <c r="L27" s="6">
        <v>0</v>
      </c>
      <c r="M27" s="6">
        <f>SUM(G26:L28)-D27</f>
        <v>-45</v>
      </c>
      <c r="N27" s="706"/>
      <c r="O27" s="353">
        <f>SUMIFS([1]مرداد!$AF$2:$AF$805,[1]مرداد!$O$2:$O$805,7501,[1]مرداد!$D$2:$D$805,$F$27,[1]مرداد!$AC$2:$AC$805,O3)</f>
        <v>0</v>
      </c>
      <c r="P27" s="747">
        <f>SUMIFS([1]مرداد!$AF$2:$AF$805,[1]مرداد!$O$2:$O$805,7501,[1]مرداد!$D$2:$D$805,$F$27,[1]مرداد!$AC$2:$AC$805,P3)</f>
        <v>3</v>
      </c>
      <c r="Q27" s="747">
        <f>SUMIFS([1]مرداد!$AF$2:$AF$805,[1]مرداد!$O$2:$O$805,7501,[1]مرداد!$D$2:$D$805,$F$27,[1]مرداد!$AC$2:$AC$805,Q3)</f>
        <v>7.5</v>
      </c>
      <c r="R27" s="747">
        <f>SUMIFS([1]مرداد!$AF$2:$AF$805,[1]مرداد!$O$2:$O$805,7501,[1]مرداد!$D$2:$D$805,$F$27,[1]مرداد!$AC$2:$AC$805,R3)</f>
        <v>0</v>
      </c>
      <c r="S27" s="747">
        <f>SUMIFS([1]مرداد!$AF$2:$AF$805,[1]مرداد!$O$2:$O$805,7501,[1]مرداد!$D$2:$D$805,$F$27,[1]مرداد!$AC$2:$AC$805,S3)</f>
        <v>7</v>
      </c>
      <c r="T27" s="747">
        <f>SUMIFS([1]مرداد!$AF$2:$AF$805,[1]مرداد!$O$2:$O$805,7501,[1]مرداد!$D$2:$D$805,$F$27,[1]مرداد!$AC$2:$AC$805,T3)</f>
        <v>0</v>
      </c>
      <c r="U27" s="764">
        <f>SUMIFS([1]مرداد!$AF$2:$AF$805,[1]مرداد!$O$2:$O$805,7501,[1]مرداد!$D$2:$D$805,$F$27,[1]مرداد!$AC$2:$AC$805,U3)</f>
        <v>0</v>
      </c>
    </row>
    <row r="28" spans="1:21" ht="33.75" hidden="1" customHeight="1" thickBot="1" x14ac:dyDescent="0.3">
      <c r="A28" s="730"/>
      <c r="B28" s="708"/>
      <c r="C28" s="708"/>
      <c r="D28" s="708"/>
      <c r="E28" s="750"/>
      <c r="F28" s="66"/>
      <c r="G28" s="4">
        <f t="shared" si="0"/>
        <v>0</v>
      </c>
      <c r="H28" s="765">
        <f t="shared" si="1"/>
        <v>0</v>
      </c>
      <c r="I28" s="4">
        <v>0</v>
      </c>
      <c r="J28" s="4">
        <v>0</v>
      </c>
      <c r="K28" s="4">
        <v>0</v>
      </c>
      <c r="L28" s="4">
        <v>0</v>
      </c>
      <c r="M28" s="4"/>
      <c r="N28" s="705"/>
      <c r="O28" s="577">
        <f>SUMIFS([1]تیر!$AF$2:$AF$805,[1]تیر!$O$2:$O$805,7501,[1]تیر!$D$2:$D$805,$F$28,[1]تیر!$AC$2:$AC$805,O3)</f>
        <v>0</v>
      </c>
      <c r="P28" s="202">
        <f>SUMIFS([1]تیر!$AF$2:$AF$805,[1]تیر!$O$2:$O$805,7501,[1]تیر!$D$2:$D$805,$F$28,[1]تیر!$AC$2:$AC$805,P3)</f>
        <v>0</v>
      </c>
      <c r="Q28" s="202">
        <f>SUMIFS([1]تیر!$AF$2:$AF$805,[1]تیر!$O$2:$O$805,7501,[1]تیر!$D$2:$D$805,$F$28,[1]تیر!$AC$2:$AC$805,Q3)</f>
        <v>0</v>
      </c>
      <c r="R28" s="202">
        <f>SUMIFS([1]تیر!$AF$2:$AF$805,[1]تیر!$O$2:$O$805,7501,[1]تیر!$D$2:$D$805,$F$28,[1]تیر!$AC$2:$AC$805,R3)</f>
        <v>0</v>
      </c>
      <c r="S28" s="202">
        <f>SUMIFS([1]تیر!$AF$2:$AF$805,[1]تیر!$O$2:$O$805,7501,[1]تیر!$D$2:$D$805,$F$28,[1]تیر!$AC$2:$AC$805,S3)</f>
        <v>0</v>
      </c>
      <c r="T28" s="202">
        <f>SUMIFS([1]تیر!$AF$2:$AF$805,[1]تیر!$O$2:$O$805,7501,[1]تیر!$D$2:$D$805,$F$28,[1]تیر!$AC$2:$AC$805,T3)</f>
        <v>0</v>
      </c>
      <c r="U28" s="120">
        <f>SUMIFS([1]تیر!$AF$2:$AF$805,[1]تیر!$O$2:$O$805,7501,[1]تیر!$D$2:$D$805,$F$28,[1]تیر!$AC$2:$AC$805,U3)</f>
        <v>0</v>
      </c>
    </row>
    <row r="29" spans="1:21" ht="33.75" hidden="1" customHeight="1" thickBot="1" x14ac:dyDescent="0.3">
      <c r="A29" s="732"/>
      <c r="B29" s="12"/>
      <c r="C29" s="13"/>
      <c r="D29" s="13"/>
      <c r="E29" s="767"/>
      <c r="F29" s="16"/>
      <c r="G29" s="14">
        <f t="shared" si="0"/>
        <v>0</v>
      </c>
      <c r="H29" s="48">
        <f t="shared" si="1"/>
        <v>0</v>
      </c>
      <c r="I29" s="209">
        <v>0</v>
      </c>
      <c r="J29" s="209">
        <v>0</v>
      </c>
      <c r="K29" s="209">
        <v>0</v>
      </c>
      <c r="L29" s="209">
        <v>0</v>
      </c>
      <c r="M29" s="14"/>
      <c r="N29" s="18"/>
      <c r="O29" s="295">
        <f>SUMIFS([1]تیر!$AF$2:$AF$805,[1]تیر!$O$2:$O$805,7502,[1]تیر!$D$2:$D$805,$F$29,[1]تیر!$AC$2:$AC$805,O3)</f>
        <v>0</v>
      </c>
      <c r="P29" s="177">
        <f>SUMIFS([1]تیر!$AF$2:$AF$805,[1]تیر!$O$2:$O$805,7502,[1]تیر!$D$2:$D$805,$F$29,[1]تیر!$AC$2:$AC$805,P3)</f>
        <v>0</v>
      </c>
      <c r="Q29" s="177">
        <f>SUMIFS([1]تیر!$AF$2:$AF$805,[1]تیر!$O$2:$O$805,7502,[1]تیر!$D$2:$D$805,$F$29,[1]تیر!$AC$2:$AC$805,Q3)</f>
        <v>0</v>
      </c>
      <c r="R29" s="177">
        <f>SUMIFS([1]تیر!$AF$2:$AF$805,[1]تیر!$O$2:$O$805,7502,[1]تیر!$D$2:$D$805,$F$29,[1]تیر!$AC$2:$AC$805,R3)</f>
        <v>0</v>
      </c>
      <c r="S29" s="177">
        <f>SUMIFS([1]تیر!$AF$2:$AF$805,[1]تیر!$O$2:$O$805,7502,[1]تیر!$D$2:$D$805,$F$29,[1]تیر!$AC$2:$AC$805,S3)</f>
        <v>0</v>
      </c>
      <c r="T29" s="177">
        <f>SUMIFS([1]مرداد!$AF$2:$AF$805,[1]مرداد!$O$2:$O$805,7502,[1]مرداد!$D$2:$D$805,F29,[1]مرداد!$AC$2:$AC$805,$T$3)</f>
        <v>0</v>
      </c>
      <c r="U29" s="113">
        <f>SUMIFS([1]تیر!$AF$2:$AF$805,[1]تیر!$O$2:$O$805,7502,[1]تیر!$D$2:$D$805,$F$29,[1]تیر!$AC$2:$AC$805,U3)</f>
        <v>0</v>
      </c>
    </row>
    <row r="30" spans="1:21" ht="33.75" customHeight="1" thickBot="1" x14ac:dyDescent="0.3">
      <c r="A30" s="45">
        <v>13</v>
      </c>
      <c r="B30" s="1013" t="s">
        <v>25</v>
      </c>
      <c r="C30" s="935">
        <v>7502</v>
      </c>
      <c r="D30" s="932">
        <v>62.5</v>
      </c>
      <c r="E30" s="935" t="s">
        <v>15</v>
      </c>
      <c r="F30" s="20" t="s">
        <v>36</v>
      </c>
      <c r="G30" s="739">
        <f t="shared" si="0"/>
        <v>13</v>
      </c>
      <c r="H30" s="46">
        <f t="shared" si="1"/>
        <v>0</v>
      </c>
      <c r="I30" s="739">
        <v>0</v>
      </c>
      <c r="J30" s="739">
        <v>0</v>
      </c>
      <c r="K30" s="739">
        <v>0</v>
      </c>
      <c r="L30" s="739">
        <v>0</v>
      </c>
      <c r="M30" s="739">
        <f>SUM(G29:L31)-D30</f>
        <v>-49.5</v>
      </c>
      <c r="N30" s="938"/>
      <c r="O30" s="295">
        <f>SUMIFS([1]مرداد!$AF$2:$AF$805,[1]مرداد!$O$2:$O$805,7502,[1]مرداد!$D$2:$D$805,$F$30,[1]مرداد!$AC$2:$AC$805,O3)</f>
        <v>5</v>
      </c>
      <c r="P30" s="295">
        <f>SUMIFS([1]مرداد!$AF$2:$AF$805,[1]مرداد!$O$2:$O$805,7502,[1]مرداد!$D$2:$D$805,$F$30,[1]مرداد!$AC$2:$AC$805,P3)</f>
        <v>8</v>
      </c>
      <c r="Q30" s="295">
        <f>SUMIFS([1]مرداد!$AF$2:$AF$805,[1]مرداد!$O$2:$O$805,7502,[1]مرداد!$D$2:$D$805,$F$30,[1]مرداد!$AC$2:$AC$805,Q3)</f>
        <v>0</v>
      </c>
      <c r="R30" s="295">
        <f>SUMIFS([1]مرداد!$AF$2:$AF$805,[1]مرداد!$O$2:$O$805,7502,[1]مرداد!$D$2:$D$805,$F$30,[1]مرداد!$AC$2:$AC$805,R3)</f>
        <v>0</v>
      </c>
      <c r="S30" s="295">
        <f>SUMIFS([1]مرداد!$AF$2:$AF$805,[1]مرداد!$O$2:$O$805,7502,[1]مرداد!$D$2:$D$805,$F$30,[1]مرداد!$AC$2:$AC$805,S3)</f>
        <v>0</v>
      </c>
      <c r="T30" s="295">
        <f>SUMIFS([1]مرداد!$AF$2:$AF$805,[1]مرداد!$O$2:$O$805,7502,[1]مرداد!$D$2:$D$805,$F$30,[1]مرداد!$AC$2:$AC$805,T3)</f>
        <v>0</v>
      </c>
      <c r="U30" s="744">
        <f>SUMIFS([1]مرداد!$AF$2:$AF$805,[1]مرداد!$O$2:$O$805,7502,[1]مرداد!$D$2:$D$805,$F$30,[1]مرداد!$AC$2:$AC$805,U3)</f>
        <v>0</v>
      </c>
    </row>
    <row r="31" spans="1:21" ht="33.75" hidden="1" customHeight="1" thickBot="1" x14ac:dyDescent="0.3">
      <c r="A31" s="733"/>
      <c r="B31" s="1014"/>
      <c r="C31" s="937"/>
      <c r="D31" s="934"/>
      <c r="E31" s="937"/>
      <c r="F31" s="745"/>
      <c r="G31" s="6">
        <f t="shared" si="0"/>
        <v>0</v>
      </c>
      <c r="H31" s="761">
        <f t="shared" si="1"/>
        <v>0</v>
      </c>
      <c r="I31" s="6">
        <v>0</v>
      </c>
      <c r="J31" s="6">
        <v>0</v>
      </c>
      <c r="K31" s="6">
        <v>0</v>
      </c>
      <c r="L31" s="6">
        <v>0</v>
      </c>
      <c r="M31" s="6"/>
      <c r="N31" s="1007"/>
      <c r="O31" s="353">
        <f>SUMIFS([1]مرداد!$AF$2:$AF$805,[1]مرداد!$O$2:$O$805,7502,[1]مرداد!$D$2:$D$805,$F$31,[1]مرداد!$AC$2:$AC$805,O3)</f>
        <v>0</v>
      </c>
      <c r="P31" s="353">
        <f>SUMIFS([1]مرداد!$AF$2:$AF$805,[1]مرداد!$O$2:$O$805,7502,[1]مرداد!$D$2:$D$805,$F$31,[1]مرداد!$AC$2:$AC$805,P3)</f>
        <v>0</v>
      </c>
      <c r="Q31" s="353">
        <f>SUMIFS([1]مرداد!$AF$2:$AF$805,[1]مرداد!$O$2:$O$805,7502,[1]مرداد!$D$2:$D$805,$F$31,[1]مرداد!$AC$2:$AC$805,Q3)</f>
        <v>0</v>
      </c>
      <c r="R31" s="353">
        <f>SUMIFS([1]مرداد!$AF$2:$AF$805,[1]مرداد!$O$2:$O$805,7502,[1]مرداد!$D$2:$D$805,$F$31,[1]مرداد!$AC$2:$AC$805,R3)</f>
        <v>0</v>
      </c>
      <c r="S31" s="353">
        <f>SUMIFS([1]مرداد!$AF$2:$AF$805,[1]مرداد!$O$2:$O$805,7502,[1]مرداد!$D$2:$D$805,$F$31,[1]مرداد!$AC$2:$AC$805,S3)</f>
        <v>0</v>
      </c>
      <c r="T31" s="353">
        <f>SUMIFS([1]مرداد!$AF$2:$AF$805,[1]مرداد!$O$2:$O$805,7502,[1]مرداد!$D$2:$D$805,$F$31,[1]مرداد!$AC$2:$AC$805,T3)</f>
        <v>0</v>
      </c>
      <c r="U31" s="746">
        <f>SUMIFS([1]مرداد!$AF$2:$AF$805,[1]مرداد!$O$2:$O$805,7502,[1]مرداد!$D$2:$D$805,$F$31,[1]مرداد!$AC$2:$AC$805,U3)</f>
        <v>0</v>
      </c>
    </row>
    <row r="32" spans="1:21" ht="33.75" customHeight="1" thickBot="1" x14ac:dyDescent="0.3">
      <c r="A32" s="939">
        <v>14</v>
      </c>
      <c r="B32" s="83" t="s">
        <v>26</v>
      </c>
      <c r="C32" s="702">
        <v>7601</v>
      </c>
      <c r="D32" s="702">
        <v>72</v>
      </c>
      <c r="E32" s="914" t="s">
        <v>15</v>
      </c>
      <c r="F32" s="84" t="s">
        <v>27</v>
      </c>
      <c r="G32" s="85">
        <f t="shared" si="0"/>
        <v>12</v>
      </c>
      <c r="H32" s="46">
        <f t="shared" si="1"/>
        <v>0</v>
      </c>
      <c r="I32" s="85">
        <v>0</v>
      </c>
      <c r="J32" s="85">
        <v>0</v>
      </c>
      <c r="K32" s="85">
        <v>0</v>
      </c>
      <c r="L32" s="85">
        <v>0</v>
      </c>
      <c r="M32" s="87">
        <f>(J32+J33+I33+I32+H32+H33+G33+G32+L32+K32)-D32</f>
        <v>-60</v>
      </c>
      <c r="N32" s="941"/>
      <c r="O32" s="298">
        <f>SUMIFS([1]مرداد!$AF$2:$AF$805,[1]مرداد!$O$2:$O$805,7601,[1]مرداد!$D$2:$D$805,$F$32,[1]مرداد!$AC$2:$AC$805,O3)</f>
        <v>0</v>
      </c>
      <c r="P32" s="298">
        <f>SUMIFS([1]مرداد!$AF$2:$AF$805,[1]مرداد!$O$2:$O$805,7601,[1]مرداد!$D$2:$D$805,$F$32,[1]مرداد!$AC$2:$AC$805,P3)</f>
        <v>0</v>
      </c>
      <c r="Q32" s="298">
        <f>SUMIFS([1]مرداد!$AF$2:$AF$805,[1]مرداد!$O$2:$O$805,7601,[1]مرداد!$D$2:$D$805,$F$32,[1]مرداد!$AC$2:$AC$805,Q3)</f>
        <v>0</v>
      </c>
      <c r="R32" s="298">
        <f>SUMIFS([1]مرداد!$AF$2:$AF$805,[1]مرداد!$O$2:$O$805,7601,[1]مرداد!$D$2:$D$805,$F$32,[1]مرداد!$AC$2:$AC$805,R3)</f>
        <v>0</v>
      </c>
      <c r="S32" s="298">
        <f>SUMIFS([1]مرداد!$AF$2:$AF$805,[1]مرداد!$O$2:$O$805,7601,[1]مرداد!$D$2:$D$805,$F$32,[1]مرداد!$AC$2:$AC$805,S3)</f>
        <v>0</v>
      </c>
      <c r="T32" s="298">
        <f>SUMIFS([1]مرداد!$AF$2:$AF$805,[1]مرداد!$O$2:$O$805,7601,[1]مرداد!$D$2:$D$805,$F$32,[1]مرداد!$AC$2:$AC$805,T3)</f>
        <v>12</v>
      </c>
      <c r="U32" s="463">
        <f>SUMIFS([1]مرداد!$AF$2:$AF$805,[1]مرداد!$O$2:$O$805,7601,[1]مرداد!$D$2:$D$805,$F$32,[1]مرداد!$AC$2:$AC$805,U3)</f>
        <v>0</v>
      </c>
    </row>
    <row r="33" spans="1:21" ht="33.75" hidden="1" customHeight="1" thickBot="1" x14ac:dyDescent="0.3">
      <c r="A33" s="940"/>
      <c r="B33" s="123"/>
      <c r="C33" s="703"/>
      <c r="D33" s="703"/>
      <c r="E33" s="915"/>
      <c r="F33" s="124"/>
      <c r="G33" s="126">
        <f t="shared" si="0"/>
        <v>0</v>
      </c>
      <c r="H33" s="761">
        <f t="shared" si="1"/>
        <v>0</v>
      </c>
      <c r="I33" s="125">
        <v>0</v>
      </c>
      <c r="J33" s="125">
        <v>0</v>
      </c>
      <c r="K33" s="126">
        <v>0</v>
      </c>
      <c r="L33" s="126">
        <v>0</v>
      </c>
      <c r="M33" s="127"/>
      <c r="N33" s="917"/>
      <c r="O33" s="299">
        <f>SUMIFS([1]مرداد!$AF$2:$AF$805,[1]مرداد!$O$2:$O$805,7601,[1]مرداد!$D$2:$D$805,$F$33,[1]مرداد!$AC$2:$AC$805,O3)</f>
        <v>0</v>
      </c>
      <c r="P33" s="299">
        <f>SUMIFS([1]مرداد!$AF$2:$AF$805,[1]مرداد!$O$2:$O$805,7601,[1]مرداد!$D$2:$D$805,$F$33,[1]مرداد!$AC$2:$AC$805,P3)</f>
        <v>0</v>
      </c>
      <c r="Q33" s="299">
        <f>SUMIFS([1]مرداد!$AF$2:$AF$805,[1]مرداد!$O$2:$O$805,7601,[1]مرداد!$D$2:$D$805,$F$33,[1]مرداد!$AC$2:$AC$805,Q3)</f>
        <v>0</v>
      </c>
      <c r="R33" s="299">
        <f>SUMIFS([1]مرداد!$AF$2:$AF$805,[1]مرداد!$O$2:$O$805,7601,[1]مرداد!$D$2:$D$805,$F$33,[1]مرداد!$AC$2:$AC$805,R3)</f>
        <v>0</v>
      </c>
      <c r="S33" s="299">
        <f>SUMIFS([1]مرداد!$AF$2:$AF$805,[1]مرداد!$O$2:$O$805,7601,[1]مرداد!$D$2:$D$805,$F$33,[1]مرداد!$AC$2:$AC$805,S3)</f>
        <v>0</v>
      </c>
      <c r="T33" s="299">
        <f>SUMIFS([1]مرداد!$AF$2:$AF$805,[1]مرداد!$O$2:$O$805,7601,[1]مرداد!$D$2:$D$805,$F$33,[1]مرداد!$AC$2:$AC$805,T3)</f>
        <v>0</v>
      </c>
      <c r="U33" s="468">
        <f>SUMIFS([1]مرداد!$AF$2:$AF$805,[1]مرداد!$O$2:$O$805,7601,[1]مرداد!$D$2:$D$805,$F$33,[1]مرداد!$AC$2:$AC$805,U3)</f>
        <v>0</v>
      </c>
    </row>
    <row r="34" spans="1:21" ht="33.75" customHeight="1" thickBot="1" x14ac:dyDescent="0.3">
      <c r="A34" s="912">
        <v>15</v>
      </c>
      <c r="B34" s="83" t="s">
        <v>26</v>
      </c>
      <c r="C34" s="702">
        <v>7602</v>
      </c>
      <c r="D34" s="702">
        <v>72</v>
      </c>
      <c r="E34" s="914" t="s">
        <v>15</v>
      </c>
      <c r="F34" s="84" t="s">
        <v>27</v>
      </c>
      <c r="G34" s="739">
        <f t="shared" si="0"/>
        <v>7</v>
      </c>
      <c r="H34" s="46">
        <f t="shared" si="1"/>
        <v>0</v>
      </c>
      <c r="I34" s="85">
        <v>0</v>
      </c>
      <c r="J34" s="85">
        <v>0</v>
      </c>
      <c r="K34" s="85">
        <v>0</v>
      </c>
      <c r="L34" s="85">
        <v>0</v>
      </c>
      <c r="M34" s="87">
        <f>(J34+J35+I35+I34+H34+H35+G35+G34)-D34</f>
        <v>-65</v>
      </c>
      <c r="N34" s="916"/>
      <c r="O34" s="292">
        <f>SUMIFS([1]مرداد!$AF$2:$AF$805,[1]مرداد!$O$2:$O$805,7602,[1]مرداد!$D$2:$D$805,$F$34,[1]مرداد!$AC$2:$AC$805,O3)</f>
        <v>0</v>
      </c>
      <c r="P34" s="292">
        <f>SUMIFS([1]مرداد!$AF$2:$AF$805,[1]مرداد!$O$2:$O$805,7602,[1]مرداد!$D$2:$D$805,$F$34,[1]مرداد!$AC$2:$AC$805,P3)</f>
        <v>0</v>
      </c>
      <c r="Q34" s="292">
        <f>SUMIFS([1]مرداد!$AF$2:$AF$805,[1]مرداد!$O$2:$O$805,7602,[1]مرداد!$D$2:$D$805,$F$34,[1]مرداد!$AC$2:$AC$805,Q3)</f>
        <v>0</v>
      </c>
      <c r="R34" s="292">
        <f>SUMIFS([1]مرداد!$AF$2:$AF$805,[1]مرداد!$O$2:$O$805,7602,[1]مرداد!$D$2:$D$805,$F$34,[1]مرداد!$AC$2:$AC$805,R3)</f>
        <v>0</v>
      </c>
      <c r="S34" s="292">
        <f>SUMIFS([1]مرداد!$AF$2:$AF$805,[1]مرداد!$O$2:$O$805,7602,[1]مرداد!$D$2:$D$805,$F$34,[1]مرداد!$AC$2:$AC$805,S3)</f>
        <v>0</v>
      </c>
      <c r="T34" s="292">
        <f>SUMIFS([1]مرداد!$AF$2:$AF$805,[1]مرداد!$O$2:$O$805,7602,[1]مرداد!$D$2:$D$805,$F$34,[1]مرداد!$AC$2:$AC$805,T3)</f>
        <v>7</v>
      </c>
      <c r="U34" s="357">
        <f>SUMIFS([1]مرداد!$AF$2:$AF$805,[1]مرداد!$O$2:$O$805,7602,[1]مرداد!$D$2:$D$805,$F$34,[1]مرداد!$AC$2:$AC$805,U3)</f>
        <v>0</v>
      </c>
    </row>
    <row r="35" spans="1:21" ht="33.75" hidden="1" customHeight="1" thickBot="1" x14ac:dyDescent="0.3">
      <c r="A35" s="913"/>
      <c r="B35" s="123"/>
      <c r="C35" s="703"/>
      <c r="D35" s="703"/>
      <c r="E35" s="1010"/>
      <c r="F35" s="124"/>
      <c r="G35" s="6">
        <f t="shared" si="0"/>
        <v>0</v>
      </c>
      <c r="H35" s="761">
        <f t="shared" si="1"/>
        <v>0</v>
      </c>
      <c r="I35" s="125">
        <v>0</v>
      </c>
      <c r="J35" s="125">
        <v>0</v>
      </c>
      <c r="K35" s="126">
        <v>0</v>
      </c>
      <c r="L35" s="126">
        <v>0</v>
      </c>
      <c r="M35" s="127"/>
      <c r="N35" s="917"/>
      <c r="O35" s="294">
        <f>SUMIFS([1]اردیبهشت!$AD$2:$AD$805,[1]اردیبهشت!$N$2:$N$805,$C$34,[1]اردیبهشت!$D$2:$D$805,$F$35,[1]اردیبهشت!$AA$2:$AA$805,O3)</f>
        <v>0</v>
      </c>
      <c r="P35" s="172">
        <f>SUMIFS([1]اردیبهشت!$AD$2:$AD$600,[1]اردیبهشت!$N$2:$N$600,$C$34,[1]اردیبهشت!$D$2:$D$600,$F$35,[1]اردیبهشت!$AA$2:$AA$600,P3)</f>
        <v>0</v>
      </c>
      <c r="Q35" s="172">
        <f>SUMIFS([1]اردیبهشت!$AD$2:$AD$600,[1]اردیبهشت!$N$2:$N$600,$C$34,[1]اردیبهشت!$D$2:$D$600,$F$35,[1]اردیبهشت!$AA$2:$AA$600,Q3)</f>
        <v>0</v>
      </c>
      <c r="R35" s="172">
        <f>SUMIFS([1]اردیبهشت!$AD$2:$AD$600,[1]اردیبهشت!$N$2:$N$600,$C$34,[1]اردیبهشت!$D$2:$D$600,$F$35,[1]اردیبهشت!$AA$2:$AA$600,R3)</f>
        <v>0</v>
      </c>
      <c r="S35" s="172">
        <f>SUMIFS([1]اردیبهشت!$AD$2:$AD$600,[1]اردیبهشت!$N$2:$N$600,$C$34,[1]اردیبهشت!$D$2:$D$600,$F$35,[1]اردیبهشت!$AA$2:$AA$600,S3)</f>
        <v>0</v>
      </c>
      <c r="T35" s="172">
        <f>SUMIFS([1]اردیبهشت!$AD$2:$AD$600,[1]اردیبهشت!$N$2:$N$600,$C$34,[1]اردیبهشت!$D$2:$D$600,$F$35,[1]اردیبهشت!$AA$2:$AA$600,T3)</f>
        <v>0</v>
      </c>
      <c r="U35" s="109">
        <f>SUMIFS([1]خرداد!$AF$2:$AF$700,[1]خرداد!$O$2:$O$700,7101,[1]خرداد!$D$2:$D$700,$F$4,[1]خرداد!$AC$2:$AC$700,U34)</f>
        <v>0</v>
      </c>
    </row>
    <row r="36" spans="1:21" ht="33.75" customHeight="1" thickBot="1" x14ac:dyDescent="0.3">
      <c r="A36" s="912">
        <v>16</v>
      </c>
      <c r="B36" s="724" t="s">
        <v>26</v>
      </c>
      <c r="C36" s="725">
        <v>7603</v>
      </c>
      <c r="D36" s="725">
        <v>72</v>
      </c>
      <c r="E36" s="970" t="s">
        <v>15</v>
      </c>
      <c r="F36" s="91" t="s">
        <v>27</v>
      </c>
      <c r="G36" s="1">
        <f t="shared" si="0"/>
        <v>0</v>
      </c>
      <c r="H36" s="49">
        <f t="shared" si="1"/>
        <v>0</v>
      </c>
      <c r="I36" s="1">
        <v>0</v>
      </c>
      <c r="J36" s="1">
        <v>0</v>
      </c>
      <c r="K36" s="1">
        <v>0</v>
      </c>
      <c r="L36" s="1">
        <v>0</v>
      </c>
      <c r="M36" s="60">
        <f>(J36+J37+I37+I36+H36+H37+G37+G36+L36+L37)-D36</f>
        <v>-72</v>
      </c>
      <c r="N36" s="928"/>
      <c r="O36" s="356">
        <f>SUMIFS([1]مرداد!$AF$2:$AF$805,[1]مرداد!$O$2:$O$805,7603,[1]مرداد!$D$2:$D$805,$F$36,[1]مرداد!$AC$2:$AC$805,O3)</f>
        <v>0</v>
      </c>
      <c r="P36" s="356">
        <f>SUMIFS([1]مرداد!$AF$2:$AF$805,[1]مرداد!$O$2:$O$805,7603,[1]مرداد!$D$2:$D$805,$F$36,[1]مرداد!$AC$2:$AC$805,P3)</f>
        <v>0</v>
      </c>
      <c r="Q36" s="356">
        <f>SUMIFS([1]مرداد!$AF$2:$AF$805,[1]مرداد!$O$2:$O$805,7603,[1]مرداد!$D$2:$D$805,$F$36,[1]مرداد!$AC$2:$AC$805,Q3)</f>
        <v>0</v>
      </c>
      <c r="R36" s="356">
        <f>SUMIFS([1]مرداد!$AF$2:$AF$805,[1]مرداد!$O$2:$O$805,7603,[1]مرداد!$D$2:$D$805,$F$36,[1]مرداد!$AC$2:$AC$805,R3)</f>
        <v>0</v>
      </c>
      <c r="S36" s="356">
        <f>SUMIFS([1]مرداد!$AF$2:$AF$805,[1]مرداد!$O$2:$O$805,7603,[1]مرداد!$D$2:$D$805,$F$36,[1]مرداد!$AC$2:$AC$805,S3)</f>
        <v>0</v>
      </c>
      <c r="T36" s="356">
        <f>SUMIFS([1]مرداد!$AF$2:$AF$805,[1]مرداد!$O$2:$O$805,7603,[1]مرداد!$D$2:$D$805,$F$36,[1]مرداد!$AC$2:$AC$805,T3)</f>
        <v>0</v>
      </c>
      <c r="U36" s="356">
        <f>SUMIFS([1]مرداد!$AF$2:$AF$805,[1]مرداد!$O$2:$O$805,7603,[1]مرداد!$D$2:$D$805,$F$36,[1]مرداد!$AC$2:$AC$805,U3)</f>
        <v>0</v>
      </c>
    </row>
    <row r="37" spans="1:21" ht="33.75" hidden="1" customHeight="1" thickBot="1" x14ac:dyDescent="0.3">
      <c r="A37" s="942"/>
      <c r="B37" s="718"/>
      <c r="C37" s="721"/>
      <c r="D37" s="721"/>
      <c r="E37" s="966"/>
      <c r="F37" s="24"/>
      <c r="G37" s="4">
        <f t="shared" si="0"/>
        <v>0</v>
      </c>
      <c r="H37" s="765">
        <f t="shared" si="1"/>
        <v>0</v>
      </c>
      <c r="I37" s="25">
        <v>0</v>
      </c>
      <c r="J37" s="25">
        <v>0</v>
      </c>
      <c r="K37" s="4">
        <v>0</v>
      </c>
      <c r="L37" s="4">
        <v>0</v>
      </c>
      <c r="M37" s="65"/>
      <c r="N37" s="950"/>
      <c r="O37" s="352">
        <f>SUMIFS([1]اردیبهشت!$AD$2:$AD$805,[1]اردیبهشت!$N$2:$N$805,$C$36,[1]اردیبهشت!$D$2:$D$805,$F$37,[1]اردیبهشت!$AA$2:$AA$805,O3)</f>
        <v>0</v>
      </c>
      <c r="P37" s="175">
        <f>SUMIFS([1]اردیبهشت!$AD$2:$AD$600,[1]اردیبهشت!$N$2:$N$600,$C$36,[1]اردیبهشت!$D$2:$D$600,$F$37,[1]اردیبهشت!$AA$2:$AA$600,P3)</f>
        <v>0</v>
      </c>
      <c r="Q37" s="175">
        <f>SUMIFS([1]اردیبهشت!$AD$2:$AD$600,[1]اردیبهشت!$N$2:$N$600,$C$36,[1]اردیبهشت!$D$2:$D$600,$F$37,[1]اردیبهشت!$AA$2:$AA$600,Q3)</f>
        <v>0</v>
      </c>
      <c r="R37" s="175">
        <f>SUMIFS([1]اردیبهشت!$AD$2:$AD$600,[1]اردیبهشت!$N$2:$N$600,$C$36,[1]اردیبهشت!$D$2:$D$600,$F$37,[1]اردیبهشت!$AA$2:$AA$600,R3)</f>
        <v>0</v>
      </c>
      <c r="S37" s="175">
        <f>SUMIFS([1]اردیبهشت!$AD$2:$AD$600,[1]اردیبهشت!$N$2:$N$600,$C$36,[1]اردیبهشت!$D$2:$D$600,$F$37,[1]اردیبهشت!$AA$2:$AA$600,S3)</f>
        <v>0</v>
      </c>
      <c r="T37" s="175">
        <f>SUMIFS([1]اردیبهشت!$AD$2:$AD$600,[1]اردیبهشت!$N$2:$N$600,$C$36,[1]اردیبهشت!$D$2:$D$600,$F$37,[1]اردیبهشت!$AA$2:$AA$600,T3)</f>
        <v>0</v>
      </c>
      <c r="U37" s="114">
        <f>SUMIFS([1]خرداد!$AF$2:$AF$700,[1]خرداد!$O$2:$O$700,7101,[1]خرداد!$D$2:$D$700,$F$4,[1]خرداد!$AC$2:$AC$700,U36)</f>
        <v>0</v>
      </c>
    </row>
    <row r="38" spans="1:21" ht="33.75" customHeight="1" x14ac:dyDescent="0.25">
      <c r="A38" s="912">
        <v>17</v>
      </c>
      <c r="B38" s="83" t="s">
        <v>26</v>
      </c>
      <c r="C38" s="771">
        <v>7604</v>
      </c>
      <c r="D38" s="702">
        <v>72</v>
      </c>
      <c r="E38" s="914" t="s">
        <v>15</v>
      </c>
      <c r="F38" s="84" t="s">
        <v>27</v>
      </c>
      <c r="G38" s="85">
        <f>SUM(O36:T36)</f>
        <v>0</v>
      </c>
      <c r="H38" s="46">
        <f t="shared" si="1"/>
        <v>0</v>
      </c>
      <c r="I38" s="85">
        <v>0</v>
      </c>
      <c r="J38" s="85">
        <v>0</v>
      </c>
      <c r="K38" s="85">
        <v>0</v>
      </c>
      <c r="L38" s="85">
        <v>0</v>
      </c>
      <c r="M38" s="87"/>
      <c r="N38" s="955"/>
      <c r="O38" s="187">
        <f>SUMIFS([1]مرداد!$AF$2:$AF$805,[1]مرداد!$O$2:$O$805,7604,[1]مرداد!$D$2:$D$805,$F$38,[1]مرداد!$AC$2:$AC$805,O3)</f>
        <v>0</v>
      </c>
      <c r="P38" s="298">
        <f>SUMIFS([1]مرداد!$AF$2:$AF$805,[1]مرداد!$O$2:$O$805,7604,[1]مرداد!$D$2:$D$805,$F$38,[1]مرداد!$AC$2:$AC$805,P3)</f>
        <v>0</v>
      </c>
      <c r="Q38" s="298">
        <f>SUMIFS([1]مرداد!$AF$2:$AF$805,[1]مرداد!$O$2:$O$805,7604,[1]مرداد!$D$2:$D$805,$F$38,[1]مرداد!$AC$2:$AC$805,Q3)</f>
        <v>0</v>
      </c>
      <c r="R38" s="298">
        <f>SUMIFS([1]مرداد!$AF$2:$AF$805,[1]مرداد!$O$2:$O$805,7604,[1]مرداد!$D$2:$D$805,$F$38,[1]مرداد!$AC$2:$AC$805,R3)</f>
        <v>0</v>
      </c>
      <c r="S38" s="298">
        <f>SUMIFS([1]مرداد!$AF$2:$AF$805,[1]مرداد!$O$2:$O$805,7604,[1]مرداد!$D$2:$D$805,$F$38,[1]مرداد!$AC$2:$AC$805,S3)</f>
        <v>0</v>
      </c>
      <c r="T38" s="298">
        <f>SUMIFS([1]مرداد!$AF$2:$AF$805,[1]مرداد!$O$2:$O$805,7604,[1]مرداد!$D$2:$D$805,$F$38,[1]مرداد!$AC$2:$AC$805,T3)</f>
        <v>8</v>
      </c>
      <c r="U38" s="463">
        <f>SUMIFS([1]مرداد!$AF$2:$AF$805,[1]مرداد!$O$2:$O$805,7604,[1]مرداد!$D$2:$D$805,$F$38,[1]مرداد!$AC$2:$AC$805,U3)</f>
        <v>0</v>
      </c>
    </row>
    <row r="39" spans="1:21" ht="41.25" hidden="1" customHeight="1" thickBot="1" x14ac:dyDescent="0.3">
      <c r="A39" s="913"/>
      <c r="B39" s="727"/>
      <c r="C39" s="772"/>
      <c r="D39" s="703"/>
      <c r="E39" s="1010"/>
      <c r="F39" s="124"/>
      <c r="G39" s="126">
        <f t="shared" si="0"/>
        <v>0</v>
      </c>
      <c r="H39" s="761">
        <f t="shared" si="1"/>
        <v>0</v>
      </c>
      <c r="I39" s="125">
        <v>0</v>
      </c>
      <c r="J39" s="125">
        <v>0</v>
      </c>
      <c r="K39" s="126">
        <v>0</v>
      </c>
      <c r="L39" s="126">
        <v>0</v>
      </c>
      <c r="M39" s="154"/>
      <c r="N39" s="917"/>
      <c r="O39" s="274"/>
      <c r="P39" s="275"/>
      <c r="Q39" s="275"/>
      <c r="R39" s="275"/>
      <c r="S39" s="275"/>
      <c r="T39" s="275"/>
      <c r="U39" s="121"/>
    </row>
    <row r="40" spans="1:21" ht="33.75" customHeight="1" thickBot="1" x14ac:dyDescent="0.3">
      <c r="A40" s="954">
        <v>18</v>
      </c>
      <c r="B40" s="769" t="s">
        <v>26</v>
      </c>
      <c r="C40" s="723">
        <v>7605</v>
      </c>
      <c r="D40" s="723">
        <v>72</v>
      </c>
      <c r="E40" s="968" t="s">
        <v>15</v>
      </c>
      <c r="F40" s="91" t="s">
        <v>27</v>
      </c>
      <c r="G40" s="93">
        <f t="shared" si="0"/>
        <v>9</v>
      </c>
      <c r="H40" s="49">
        <f t="shared" si="1"/>
        <v>0</v>
      </c>
      <c r="I40" s="93">
        <v>0</v>
      </c>
      <c r="J40" s="93">
        <v>0</v>
      </c>
      <c r="K40" s="93">
        <v>0</v>
      </c>
      <c r="L40" s="314">
        <v>0</v>
      </c>
      <c r="M40" s="94">
        <f>(G40+H40+I40+J40+K40+L40)-D40</f>
        <v>-63</v>
      </c>
      <c r="N40" s="971"/>
      <c r="O40" s="770">
        <f>SUMIFS([1]مرداد!$AF$2:$AF$805,[1]مرداد!$O$2:$O$805,7605,[1]مرداد!$D$2:$D$805,$F$40,[1]مرداد!$AC$2:$AC$805,O3)</f>
        <v>0</v>
      </c>
      <c r="P40" s="770">
        <f>SUMIFS([1]مرداد!$AF$2:$AF$805,[1]مرداد!$O$2:$O$805,7605,[1]مرداد!$D$2:$D$805,$F$40,[1]مرداد!$AC$2:$AC$805,P3)</f>
        <v>0</v>
      </c>
      <c r="Q40" s="770">
        <f>SUMIFS([1]مرداد!$AF$2:$AF$805,[1]مرداد!$O$2:$O$805,7605,[1]مرداد!$D$2:$D$805,$F$40,[1]مرداد!$AC$2:$AC$805,Q3)</f>
        <v>0</v>
      </c>
      <c r="R40" s="770">
        <f>SUMIFS([1]مرداد!$AF$2:$AF$805,[1]مرداد!$O$2:$O$805,7605,[1]مرداد!$D$2:$D$805,$F$40,[1]مرداد!$AC$2:$AC$805,R3)</f>
        <v>0</v>
      </c>
      <c r="S40" s="770">
        <f>SUMIFS([1]مرداد!$AF$2:$AF$805,[1]مرداد!$O$2:$O$805,7605,[1]مرداد!$D$2:$D$805,$F$40,[1]مرداد!$AC$2:$AC$805,S3)</f>
        <v>0</v>
      </c>
      <c r="T40" s="770">
        <f>SUMIFS([1]مرداد!$AF$2:$AF$805,[1]مرداد!$O$2:$O$805,7605,[1]مرداد!$D$2:$D$805,$F$40,[1]مرداد!$AC$2:$AC$805,T3)</f>
        <v>9</v>
      </c>
      <c r="U40" s="770">
        <f>SUMIFS([1]مرداد!$AF$2:$AF$805,[1]مرداد!$O$2:$O$805,7605,[1]مرداد!$D$2:$D$805,$F$40,[1]مرداد!$AC$2:$AC$805,U3)</f>
        <v>0</v>
      </c>
    </row>
    <row r="41" spans="1:21" ht="33.75" hidden="1" customHeight="1" thickBot="1" x14ac:dyDescent="0.3">
      <c r="A41" s="942"/>
      <c r="B41" s="589"/>
      <c r="C41" s="738"/>
      <c r="D41" s="738"/>
      <c r="E41" s="997"/>
      <c r="F41" s="461"/>
      <c r="G41" s="89">
        <f t="shared" si="0"/>
        <v>0</v>
      </c>
      <c r="H41" s="765">
        <f t="shared" si="1"/>
        <v>0</v>
      </c>
      <c r="I41" s="462">
        <v>0</v>
      </c>
      <c r="J41" s="462">
        <v>0</v>
      </c>
      <c r="K41" s="89">
        <v>0</v>
      </c>
      <c r="L41" s="89">
        <v>0</v>
      </c>
      <c r="M41" s="94"/>
      <c r="N41" s="998"/>
      <c r="O41" s="584">
        <f>SUMIFS([1]اردیبهشت!$AD$2:$AD$805,[1]اردیبهشت!$N$2:$N$805,$C$40,[1]اردیبهشت!$D$2:$D$805,$F$41,[1]اردیبهشت!$AA$2:$AA$805,O3)</f>
        <v>0</v>
      </c>
      <c r="P41" s="191">
        <f>SUMIFS([1]اردیبهشت!$AD$2:$AD$600,[1]اردیبهشت!$N$2:$N$600,$C$40,[1]اردیبهشت!$D$2:$D$600,$F$41,[1]اردیبهشت!$AA$2:$AA$600,P3)</f>
        <v>0</v>
      </c>
      <c r="Q41" s="191">
        <f>SUMIFS([1]اردیبهشت!$AD$2:$AD$600,[1]اردیبهشت!$N$2:$N$600,$C$40,[1]اردیبهشت!$D$2:$D$600,$F$41,[1]اردیبهشت!$AA$2:$AA$600,Q3)</f>
        <v>0</v>
      </c>
      <c r="R41" s="191">
        <f>SUMIFS([1]اردیبهشت!$AD$2:$AD$600,[1]اردیبهشت!$N$2:$N$600,$C$40,[1]اردیبهشت!$D$2:$D$600,$F$41,[1]اردیبهشت!$AA$2:$AA$600,R3)</f>
        <v>0</v>
      </c>
      <c r="S41" s="191">
        <f>SUMIFS([1]اردیبهشت!$AD$2:$AD$600,[1]اردیبهشت!$N$2:$N$600,$C$40,[1]اردیبهشت!$D$2:$D$600,$F$41,[1]اردیبهشت!$AA$2:$AA$600,S3)</f>
        <v>0</v>
      </c>
      <c r="T41" s="191">
        <f>SUMIFS([1]اردیبهشت!$AD$2:$AD$600,[1]اردیبهشت!$N$2:$N$600,$C$40,[1]اردیبهشت!$D$2:$D$600,$F$41,[1]اردیبهشت!$AA$2:$AA$600,T3)</f>
        <v>0</v>
      </c>
      <c r="U41" s="115">
        <f>SUMIFS([1]اردیبهشت!$AD$2:$AD$600,[1]اردیبهشت!$N$2:$N$600,$C$40,[1]اردیبهشت!$D$2:$D$600,$F$41,[1]اردیبهشت!$AA$2:$AA$600,U3)</f>
        <v>0</v>
      </c>
    </row>
    <row r="42" spans="1:21" ht="33.75" customHeight="1" x14ac:dyDescent="0.25">
      <c r="A42" s="731"/>
      <c r="B42" s="716"/>
      <c r="C42" s="710"/>
      <c r="D42" s="710"/>
      <c r="E42" s="932" t="s">
        <v>15</v>
      </c>
      <c r="F42" s="84" t="s">
        <v>27</v>
      </c>
      <c r="G42" s="739">
        <f t="shared" si="0"/>
        <v>0.5</v>
      </c>
      <c r="H42" s="46">
        <f t="shared" si="1"/>
        <v>0</v>
      </c>
      <c r="I42" s="739">
        <v>0</v>
      </c>
      <c r="J42" s="739">
        <v>0</v>
      </c>
      <c r="K42" s="739">
        <v>0</v>
      </c>
      <c r="L42" s="739">
        <v>0</v>
      </c>
      <c r="M42" s="28"/>
      <c r="N42" s="945"/>
      <c r="O42" s="292">
        <f>SUMIFS([1]مرداد!$AF$2:$AF$805,[1]مرداد!$O$2:$O$805,7701,[1]مرداد!$D$2:$D$805,$F$42,[1]مرداد!$AC$2:$AC$805,O3)</f>
        <v>0</v>
      </c>
      <c r="P42" s="292">
        <f>SUMIFS([1]مرداد!$AF$2:$AF$805,[1]مرداد!$O$2:$O$805,7701,[1]مرداد!$D$2:$D$805,$F$42,[1]مرداد!$AC$2:$AC$805,P3)</f>
        <v>0</v>
      </c>
      <c r="Q42" s="292">
        <f>SUMIFS([1]مرداد!$AF$2:$AF$805,[1]مرداد!$O$2:$O$805,7701,[1]مرداد!$D$2:$D$805,$F$42,[1]مرداد!$AC$2:$AC$805,Q3)</f>
        <v>0</v>
      </c>
      <c r="R42" s="292">
        <f>SUMIFS([1]مرداد!$AF$2:$AF$805,[1]مرداد!$O$2:$O$805,7701,[1]مرداد!$D$2:$D$805,$F$42,[1]مرداد!$AC$2:$AC$805,R3)</f>
        <v>0</v>
      </c>
      <c r="S42" s="292">
        <f>SUMIFS([1]مرداد!$AF$2:$AF$805,[1]مرداد!$O$2:$O$805,7701,[1]مرداد!$D$2:$D$805,$F$42,[1]مرداد!$AC$2:$AC$805,S3)</f>
        <v>0</v>
      </c>
      <c r="T42" s="292">
        <f>SUMIFS([1]مرداد!$AF$2:$AF$805,[1]مرداد!$O$2:$O$805,7701,[1]مرداد!$D$2:$D$805,$F$42,[1]مرداد!$AC$2:$AC$805,T3)</f>
        <v>0.5</v>
      </c>
      <c r="U42" s="357">
        <f>SUMIFS([1]مرداد!$AF$2:$AF$805,[1]مرداد!$O$2:$O$805,7701,[1]مرداد!$D$2:$D$805,$F$42,[1]مرداد!$AC$2:$AC$805,U3)</f>
        <v>0</v>
      </c>
    </row>
    <row r="43" spans="1:21" ht="39" customHeight="1" x14ac:dyDescent="0.25">
      <c r="A43" s="732">
        <v>19</v>
      </c>
      <c r="B43" s="717" t="s">
        <v>30</v>
      </c>
      <c r="C43" s="720">
        <v>7701</v>
      </c>
      <c r="D43" s="720">
        <v>62.5</v>
      </c>
      <c r="E43" s="933"/>
      <c r="F43" s="29"/>
      <c r="G43" s="3">
        <f t="shared" si="0"/>
        <v>0</v>
      </c>
      <c r="H43" s="47">
        <f t="shared" si="1"/>
        <v>0</v>
      </c>
      <c r="I43" s="3">
        <v>0</v>
      </c>
      <c r="J43" s="25">
        <v>0</v>
      </c>
      <c r="K43" s="25">
        <v>0</v>
      </c>
      <c r="L43" s="70">
        <v>0</v>
      </c>
      <c r="M43" s="4">
        <f>(J42+J43+J44+I44+I43+I42+H42+H43+H44+G44+G43+G42)-D43</f>
        <v>-62</v>
      </c>
      <c r="N43" s="956"/>
      <c r="O43" s="293">
        <f>SUMIFS([1]اردیبهشت!$AD$2:$AD$805,[1]اردیبهشت!$N$2:$N$805,$C$43,[1]اردیبهشت!$D$2:$D$805,$F$43,[1]اردیبهشت!$AA$2:$AA$805,O3)</f>
        <v>0</v>
      </c>
      <c r="P43" s="168">
        <f>SUMIFS([1]اردیبهشت!$AD$2:$AD$805,[1]اردیبهشت!$N$2:$N$805,$C$43,[1]اردیبهشت!$D$2:$D$805,$F$43,[1]اردیبهشت!$AA$2:$AA$805,P3)</f>
        <v>0</v>
      </c>
      <c r="Q43" s="168">
        <f>SUMIFS([1]اردیبهشت!$AD$2:$AD$805,[1]اردیبهشت!$N$2:$N$805,$C$43,[1]اردیبهشت!$D$2:$D$805,$F$43,[1]اردیبهشت!$AA$2:$AA$805,Q3)</f>
        <v>0</v>
      </c>
      <c r="R43" s="168">
        <f>SUMIFS([1]اردیبهشت!$AD$2:$AD$805,[1]اردیبهشت!$N$2:$N$805,$C$43,[1]اردیبهشت!$D$2:$D$805,$F$43,[1]اردیبهشت!$AA$2:$AA$805,R3)</f>
        <v>0</v>
      </c>
      <c r="S43" s="168">
        <f>SUMIFS([1]اردیبهشت!$AD$2:$AD$805,[1]اردیبهشت!$N$2:$N$805,$C$43,[1]اردیبهشت!$D$2:$D$805,$F$43,[1]اردیبهشت!$AA$2:$AA$805,S3)</f>
        <v>0</v>
      </c>
      <c r="T43" s="168">
        <f>SUMIFS([1]اردیبهشت!$AD$2:$AD$805,[1]اردیبهشت!$N$2:$N$805,$C$43,[1]اردیبهشت!$D$2:$D$805,$F$43,[1]اردیبهشت!$AA$2:$AA$805,T3)</f>
        <v>0</v>
      </c>
      <c r="U43" s="108">
        <f>SUMIFS([1]اردیبهشت!$AD$2:$AD$600,[1]اردیبهشت!$N$2:$N$600,$C$43,[1]اردیبهشت!$D$2:$D$600,$F$43,[1]اردیبهشت!$AA$2:$AA$600,U3)</f>
        <v>0</v>
      </c>
    </row>
    <row r="44" spans="1:21" ht="40.5" customHeight="1" thickBot="1" x14ac:dyDescent="0.3">
      <c r="A44" s="732"/>
      <c r="B44" s="719"/>
      <c r="C44" s="711"/>
      <c r="D44" s="711"/>
      <c r="E44" s="934"/>
      <c r="F44" s="30"/>
      <c r="G44" s="6">
        <f t="shared" si="0"/>
        <v>0</v>
      </c>
      <c r="H44" s="761">
        <f t="shared" si="1"/>
        <v>0</v>
      </c>
      <c r="I44" s="7">
        <v>0</v>
      </c>
      <c r="J44" s="7">
        <v>0</v>
      </c>
      <c r="K44" s="7">
        <v>0</v>
      </c>
      <c r="L44" s="7">
        <v>0</v>
      </c>
      <c r="M44" s="8"/>
      <c r="N44" s="946"/>
      <c r="O44" s="294">
        <f>SUMIFS([1]اردیبهشت!$AD$2:$AD$805,[1]اردیبهشت!$N$2:$N$805,$C$43,[1]اردیبهشت!$D$2:$D$805,$F$44,[1]اردیبهشت!$AA$2:$AA$805,O3)</f>
        <v>0</v>
      </c>
      <c r="P44" s="172">
        <f>SUMIFS([1]اردیبهشت!$AD$2:$AD$805,[1]اردیبهشت!$N$2:$N$805,$C$43,[1]اردیبهشت!$D$2:$D$805,$F$44,[1]اردیبهشت!$AA$2:$AA$805,P3)</f>
        <v>0</v>
      </c>
      <c r="Q44" s="172">
        <f>SUMIFS([1]اردیبهشت!$AD$2:$AD$805,[1]اردیبهشت!$N$2:$N$805,$C$43,[1]اردیبهشت!$D$2:$D$805,$F$44,[1]اردیبهشت!$AA$2:$AA$805,Q3)</f>
        <v>0</v>
      </c>
      <c r="R44" s="172">
        <f>SUMIFS([1]اردیبهشت!$AD$2:$AD$805,[1]اردیبهشت!$N$2:$N$805,$C$43,[1]اردیبهشت!$D$2:$D$805,$F$44,[1]اردیبهشت!$AA$2:$AA$805,R3)</f>
        <v>0</v>
      </c>
      <c r="S44" s="172">
        <f>SUMIFS([1]اردیبهشت!$AD$2:$AD$805,[1]اردیبهشت!$N$2:$N$805,$C$43,[1]اردیبهشت!$D$2:$D$805,$F$44,[1]اردیبهشت!$AA$2:$AA$805,S3)</f>
        <v>0</v>
      </c>
      <c r="T44" s="172">
        <f>SUMIFS([1]اردیبهشت!$AD$2:$AD$805,[1]اردیبهشت!$N$2:$N$805,$C$43,[1]اردیبهشت!$D$2:$D$805,$F$44,[1]اردیبهشت!$AA$2:$AA$805,T3)</f>
        <v>0</v>
      </c>
      <c r="U44" s="109">
        <f>SUMIFS([1]اردیبهشت!$AD$2:$AD$600,[1]اردیبهشت!$N$2:$N$600,$C$43,[1]اردیبهشت!$D$2:$D$600,$F$44,[1]اردیبهشت!$AA$2:$AA$600,U3)</f>
        <v>0</v>
      </c>
    </row>
    <row r="45" spans="1:21" ht="42.75" customHeight="1" thickBot="1" x14ac:dyDescent="0.3">
      <c r="A45" s="45">
        <v>20</v>
      </c>
      <c r="B45" s="729" t="s">
        <v>63</v>
      </c>
      <c r="C45" s="708">
        <v>8001</v>
      </c>
      <c r="D45" s="708">
        <v>62.5</v>
      </c>
      <c r="E45" s="708" t="s">
        <v>15</v>
      </c>
      <c r="F45" s="54" t="s">
        <v>54</v>
      </c>
      <c r="G45" s="4">
        <f t="shared" si="0"/>
        <v>4</v>
      </c>
      <c r="H45" s="67">
        <f t="shared" si="1"/>
        <v>7.5</v>
      </c>
      <c r="I45" s="4">
        <v>0</v>
      </c>
      <c r="J45" s="4">
        <v>0</v>
      </c>
      <c r="K45" s="4">
        <v>0</v>
      </c>
      <c r="L45" s="4">
        <v>0</v>
      </c>
      <c r="M45" s="4">
        <f>SUM(G45:J45)-62</f>
        <v>-50.5</v>
      </c>
      <c r="N45" s="734"/>
      <c r="O45" s="580">
        <f>SUMIFS([1]مرداد!$AF$2:$AF$805,[1]مرداد!$O$2:$O$805,8001,[1]مرداد!$D$2:$D$805,"*",[1]مرداد!$AC$2:$AC$805,O3)</f>
        <v>0</v>
      </c>
      <c r="P45" s="580">
        <f>SUMIFS([1]مرداد!$AF$2:$AF$805,[1]مرداد!$O$2:$O$805,8001,[1]مرداد!$D$2:$D$805,"*",[1]مرداد!$AC$2:$AC$805,P3)</f>
        <v>4</v>
      </c>
      <c r="Q45" s="580">
        <f>SUMIFS([1]مرداد!$AF$2:$AF$805,[1]مرداد!$O$2:$O$805,8001,[1]مرداد!$D$2:$D$805,"*",[1]مرداد!$AC$2:$AC$805,Q3)</f>
        <v>0</v>
      </c>
      <c r="R45" s="580">
        <f>SUMIFS([1]مرداد!$AF$2:$AF$805,[1]مرداد!$O$2:$O$805,8001,[1]مرداد!$D$2:$D$805,"*",[1]مرداد!$AC$2:$AC$805,R3)</f>
        <v>0</v>
      </c>
      <c r="S45" s="580">
        <f>SUMIFS([1]مرداد!$AF$2:$AF$805,[1]مرداد!$O$2:$O$805,8001,[1]مرداد!$D$2:$D$805,"*",[1]مرداد!$AC$2:$AC$805,S3)</f>
        <v>0</v>
      </c>
      <c r="T45" s="580">
        <f>SUMIFS([1]مرداد!$AF$2:$AF$805,[1]مرداد!$O$2:$O$805,8001,[1]مرداد!$D$2:$D$805,"*",[1]مرداد!$AC$2:$AC$805,T3)</f>
        <v>0</v>
      </c>
      <c r="U45" s="580">
        <f>SUMIFS([1]مرداد!$AF$2:$AF$805,[1]مرداد!$O$2:$O$805,8001,[1]مرداد!$D$2:$D$805,"*",[1]مرداد!$AC$2:$AC$805,U3)</f>
        <v>7.5</v>
      </c>
    </row>
    <row r="46" spans="1:21" ht="39" customHeight="1" thickBot="1" x14ac:dyDescent="0.3">
      <c r="A46" s="45">
        <v>21</v>
      </c>
      <c r="B46" s="12" t="s">
        <v>32</v>
      </c>
      <c r="C46" s="13">
        <v>8002</v>
      </c>
      <c r="D46" s="13">
        <v>44</v>
      </c>
      <c r="E46" s="13" t="s">
        <v>15</v>
      </c>
      <c r="F46" s="31"/>
      <c r="G46" s="14">
        <f t="shared" si="0"/>
        <v>0</v>
      </c>
      <c r="H46" s="48">
        <f t="shared" si="1"/>
        <v>0</v>
      </c>
      <c r="I46" s="14">
        <v>0</v>
      </c>
      <c r="J46" s="14">
        <v>0</v>
      </c>
      <c r="K46" s="14">
        <v>0</v>
      </c>
      <c r="L46" s="14">
        <v>0</v>
      </c>
      <c r="M46" s="14">
        <f>SUM(G46:L46)-(D46)</f>
        <v>-44</v>
      </c>
      <c r="N46" s="17"/>
      <c r="O46" s="297">
        <f>SUMIFS([1]تیر!$AF$2:$AF$805,[1]تیر!$O$2:$O$805,8002,[1]تیر!$D$2:$D$805,$F$46,[1]تیر!$AC$2:$AC$805,O3)</f>
        <v>0</v>
      </c>
      <c r="P46" s="182">
        <f>SUMIFS([1]تیر!$AF$2:$AF$805,[1]تیر!$O$2:$O$805,8002,[1]تیر!$D$2:$D$805,$F$46,[1]تیر!$AC$2:$AC$805,P3)</f>
        <v>0</v>
      </c>
      <c r="Q46" s="182">
        <f>SUMIFS([1]تیر!$AF$2:$AF$805,[1]تیر!$O$2:$O$805,8002,[1]تیر!$D$2:$D$805,$F$46,[1]تیر!$AC$2:$AC$805,Q3)</f>
        <v>0</v>
      </c>
      <c r="R46" s="182">
        <f>SUMIFS([1]تیر!$AF$2:$AF$805,[1]تیر!$O$2:$O$805,8002,[1]تیر!$D$2:$D$805,$F$46,[1]تیر!$AC$2:$AC$805,R3)</f>
        <v>0</v>
      </c>
      <c r="S46" s="182">
        <f>SUMIFS([1]تیر!$AF$2:$AF$805,[1]تیر!$O$2:$O$805,8002,[1]تیر!$D$2:$D$805,$F$46,[1]تیر!$AC$2:$AC$805,S3)</f>
        <v>0</v>
      </c>
      <c r="T46" s="182">
        <f>SUMIFS([1]تیر!$AF$2:$AF$805,[1]تیر!$O$2:$O$805,8002,[1]تیر!$D$2:$D$805,$F$46,[1]تیر!$AC$2:$AC$805,T3)</f>
        <v>0</v>
      </c>
      <c r="U46" s="156">
        <f>SUMIFS([1]تیر!$AF$2:$AF$805,[1]تیر!$O$2:$O$805,8002,[1]تیر!$D$2:$D$805,$F$46,[1]تیر!$AC$2:$AC$805,U3)</f>
        <v>0</v>
      </c>
    </row>
    <row r="47" spans="1:21" ht="33.75" customHeight="1" x14ac:dyDescent="0.25">
      <c r="A47" s="957">
        <v>22</v>
      </c>
      <c r="B47" s="974" t="s">
        <v>33</v>
      </c>
      <c r="C47" s="943" t="s">
        <v>33</v>
      </c>
      <c r="D47" s="932">
        <v>62.5</v>
      </c>
      <c r="E47" s="1002">
        <f>G47+G48+G49+G50</f>
        <v>53.5</v>
      </c>
      <c r="F47" s="32" t="s">
        <v>16</v>
      </c>
      <c r="G47" s="739">
        <f t="shared" si="0"/>
        <v>13</v>
      </c>
      <c r="H47" s="46">
        <f t="shared" si="1"/>
        <v>2</v>
      </c>
      <c r="I47" s="739">
        <v>0</v>
      </c>
      <c r="J47" s="739">
        <v>0</v>
      </c>
      <c r="K47" s="739">
        <v>0</v>
      </c>
      <c r="L47" s="739">
        <v>0</v>
      </c>
      <c r="M47" s="739">
        <f>(SUM(G47:L47))-D47</f>
        <v>-47.5</v>
      </c>
      <c r="N47" s="33"/>
      <c r="O47" s="292">
        <f>SUMIFS([1]مرداد!$AF$2:$AF$805,[1]مرداد!$O$2:$O$805,"مونتاژ",[1]مرداد!$D$2:$D$805,$F$47,[1]مرداد!$AC$2:$AC$805,O3)</f>
        <v>5</v>
      </c>
      <c r="P47" s="292">
        <f>SUMIFS([1]مرداد!$AF$2:$AF$805,[1]مرداد!$O$2:$O$805,"مونتاژ",[1]مرداد!$D$2:$D$805,$F$47,[1]مرداد!$AC$2:$AC$805,P3)</f>
        <v>2.5</v>
      </c>
      <c r="Q47" s="292">
        <f>SUMIFS([1]مرداد!$AF$2:$AF$805,[1]مرداد!$O$2:$O$805,"مونتاژ",[1]مرداد!$D$2:$D$805,$F$47,[1]مرداد!$AC$2:$AC$805,Q3)</f>
        <v>5.5</v>
      </c>
      <c r="R47" s="292">
        <f>SUMIFS([1]مرداد!$AF$2:$AF$805,[1]مرداد!$O$2:$O$805,"مونتاژ",[1]مرداد!$D$2:$D$805,$F$47,[1]مرداد!$AC$2:$AC$805,R3)</f>
        <v>0</v>
      </c>
      <c r="S47" s="292">
        <f>SUMIFS([1]مرداد!$AF$2:$AF$805,[1]مرداد!$O$2:$O$805,"مونتاژ",[1]مرداد!$D$2:$D$805,$F$47,[1]مرداد!$AC$2:$AC$805,S3)</f>
        <v>0</v>
      </c>
      <c r="T47" s="292">
        <f>SUMIFS([1]مرداد!$AF$2:$AF$805,[1]مرداد!$O$2:$O$805,"مونتاژ",[1]مرداد!$D$2:$D$805,$F$47,[1]مرداد!$AC$2:$AC$805,T3)</f>
        <v>0</v>
      </c>
      <c r="U47" s="357">
        <f>SUMIFS([1]مرداد!$AF$2:$AF$805,[1]مرداد!$O$2:$O$805,"مونتاژ",[1]مرداد!$D$2:$D$805,$F$47,[1]مرداد!$AC$2:$AC$805,U3)</f>
        <v>2</v>
      </c>
    </row>
    <row r="48" spans="1:21" ht="33.75" customHeight="1" x14ac:dyDescent="0.25">
      <c r="A48" s="958"/>
      <c r="B48" s="975"/>
      <c r="C48" s="965"/>
      <c r="D48" s="933"/>
      <c r="E48" s="965"/>
      <c r="F48" s="29" t="s">
        <v>17</v>
      </c>
      <c r="G48" s="3">
        <f>SUM(O48:T48)</f>
        <v>2</v>
      </c>
      <c r="H48" s="47">
        <f t="shared" si="1"/>
        <v>0</v>
      </c>
      <c r="I48" s="3">
        <v>0</v>
      </c>
      <c r="J48" s="3">
        <v>0</v>
      </c>
      <c r="K48" s="3">
        <v>0</v>
      </c>
      <c r="L48" s="3">
        <v>0</v>
      </c>
      <c r="M48" s="3">
        <f>(SUM(G48:L48))-D47</f>
        <v>-60.5</v>
      </c>
      <c r="N48" s="58"/>
      <c r="O48" s="293">
        <f>SUMIFS([1]مرداد!$AF$2:$AF$805,[1]مرداد!$O$2:$O$805,"مونتاژ",[1]مرداد!$D$2:$D$805,$F$48,[1]مرداد!$AC$2:$AC$805,O3)</f>
        <v>2</v>
      </c>
      <c r="P48" s="293">
        <f>SUMIFS([1]مرداد!$AF$2:$AF$805,[1]مرداد!$O$2:$O$805,"مونتاژ",[1]مرداد!$D$2:$D$805,$F$48,[1]مرداد!$AC$2:$AC$805,P3)</f>
        <v>0</v>
      </c>
      <c r="Q48" s="293">
        <f>SUMIFS([1]مرداد!$AF$2:$AF$805,[1]مرداد!$O$2:$O$805,"مونتاژ",[1]مرداد!$D$2:$D$805,$F$48,[1]مرداد!$AC$2:$AC$805,Q3)</f>
        <v>0</v>
      </c>
      <c r="R48" s="293">
        <f>SUMIFS([1]مرداد!$AF$2:$AF$805,[1]مرداد!$O$2:$O$805,"مونتاژ",[1]مرداد!$D$2:$D$805,$F$48,[1]مرداد!$AC$2:$AC$805,R3)</f>
        <v>0</v>
      </c>
      <c r="S48" s="293">
        <f>SUMIFS([1]مرداد!$AF$2:$AF$805,[1]مرداد!$O$2:$O$805,"مونتاژ",[1]مرداد!$D$2:$D$805,$F$48,[1]مرداد!$AC$2:$AC$805,S3)</f>
        <v>0</v>
      </c>
      <c r="T48" s="293">
        <f>SUMIFS([1]مرداد!$AF$2:$AF$805,[1]مرداد!$O$2:$O$805,"مونتاژ",[1]مرداد!$D$2:$D$805,$F$48,[1]مرداد!$AC$2:$AC$805,T3)</f>
        <v>0</v>
      </c>
      <c r="U48" s="361">
        <f>SUMIFS([1]مرداد!$AF$2:$AF$805,[1]مرداد!$O$2:$O$805,"مونتاژ",[1]مرداد!$D$2:$D$805,$F$48,[1]مرداد!$AC$2:$AC$805,U3)</f>
        <v>0</v>
      </c>
    </row>
    <row r="49" spans="1:21" ht="33.75" customHeight="1" x14ac:dyDescent="0.25">
      <c r="A49" s="959"/>
      <c r="B49" s="975"/>
      <c r="C49" s="966"/>
      <c r="D49" s="933"/>
      <c r="E49" s="966"/>
      <c r="F49" s="29" t="s">
        <v>54</v>
      </c>
      <c r="G49" s="3">
        <f t="shared" si="0"/>
        <v>19.5</v>
      </c>
      <c r="H49" s="47">
        <f t="shared" si="1"/>
        <v>0</v>
      </c>
      <c r="I49" s="3">
        <v>0</v>
      </c>
      <c r="J49" s="3">
        <v>0</v>
      </c>
      <c r="K49" s="3">
        <v>0</v>
      </c>
      <c r="L49" s="3">
        <v>0</v>
      </c>
      <c r="M49" s="3">
        <f>(SUM(G49:L49))-62</f>
        <v>-42.5</v>
      </c>
      <c r="N49" s="62"/>
      <c r="O49" s="293">
        <f>SUMIFS([1]مرداد!$AF$2:$AF$805,[1]مرداد!$O$2:$O$805,"مونتاژ",[1]مرداد!$D$2:$D$805,$F$49,[1]مرداد!$AC$2:$AC$805,O3)</f>
        <v>4.5</v>
      </c>
      <c r="P49" s="293">
        <f>SUMIFS([1]مرداد!$AF$2:$AF$805,[1]مرداد!$O$2:$O$805,"مونتاژ",[1]مرداد!$D$2:$D$805,$F$49,[1]مرداد!$AC$2:$AC$805,P3)</f>
        <v>3</v>
      </c>
      <c r="Q49" s="293">
        <f>SUMIFS([1]مرداد!$AF$2:$AF$805,[1]مرداد!$O$2:$O$805,"مونتاژ",[1]مرداد!$D$2:$D$805,$F$49,[1]مرداد!$AC$2:$AC$805,Q3)</f>
        <v>7</v>
      </c>
      <c r="R49" s="293">
        <f>SUMIFS([1]مرداد!$AF$2:$AF$805,[1]مرداد!$O$2:$O$805,"مونتاژ",[1]مرداد!$D$2:$D$805,$F$49,[1]مرداد!$AC$2:$AC$805,R3)</f>
        <v>0</v>
      </c>
      <c r="S49" s="293">
        <f>SUMIFS([1]مرداد!$AF$2:$AF$805,[1]مرداد!$O$2:$O$805,"مونتاژ",[1]مرداد!$D$2:$D$805,$F$49,[1]مرداد!$AC$2:$AC$805,S3)</f>
        <v>5</v>
      </c>
      <c r="T49" s="293">
        <f>SUMIFS([1]مرداد!$AF$2:$AF$805,[1]مرداد!$O$2:$O$805,"مونتاژ",[1]مرداد!$D$2:$D$805,$F$49,[1]مرداد!$AC$2:$AC$805,T3)</f>
        <v>0</v>
      </c>
      <c r="U49" s="361">
        <f>SUMIFS([1]مرداد!$AF$2:$AF$805,[1]مرداد!$O$2:$O$805,"مونتاژ",[1]مرداد!$D$2:$D$805,$F$49,[1]مرداد!$AC$2:$AC$805,U3)</f>
        <v>0</v>
      </c>
    </row>
    <row r="50" spans="1:21" ht="33.75" customHeight="1" thickBot="1" x14ac:dyDescent="0.3">
      <c r="A50" s="960"/>
      <c r="B50" s="975"/>
      <c r="C50" s="944"/>
      <c r="D50" s="934"/>
      <c r="E50" s="944"/>
      <c r="F50" s="30" t="s">
        <v>55</v>
      </c>
      <c r="G50" s="6">
        <f t="shared" si="0"/>
        <v>19</v>
      </c>
      <c r="H50" s="47">
        <f t="shared" si="1"/>
        <v>0</v>
      </c>
      <c r="I50" s="7">
        <v>0</v>
      </c>
      <c r="J50" s="7">
        <v>0</v>
      </c>
      <c r="K50" s="7">
        <v>0</v>
      </c>
      <c r="L50" s="7">
        <v>0</v>
      </c>
      <c r="M50" s="7">
        <f>SUM(G50:J50)-62</f>
        <v>-43</v>
      </c>
      <c r="N50" s="34"/>
      <c r="O50" s="352">
        <f>SUMIFS([1]مرداد!$AF$2:$AF$805,[1]مرداد!$O$2:$O$805,"مونتاژ",[1]مرداد!$D$2:$D$805,$F$50,[1]مرداد!$AC$2:$AC$805,O3)</f>
        <v>7.5</v>
      </c>
      <c r="P50" s="352">
        <f>SUMIFS([1]مرداد!$AF$2:$AF$805,[1]مرداد!$O$2:$O$805,"مونتاژ",[1]مرداد!$D$2:$D$805,$F$50,[1]مرداد!$AC$2:$AC$805,P3)</f>
        <v>7.5</v>
      </c>
      <c r="Q50" s="352">
        <f>SUMIFS([1]مرداد!$AF$2:$AF$805,[1]مرداد!$O$2:$O$805,"مونتاژ",[1]مرداد!$D$2:$D$805,$F$50,[1]مرداد!$AC$2:$AC$805,Q3)</f>
        <v>4</v>
      </c>
      <c r="R50" s="352">
        <f>SUMIFS([1]مرداد!$AF$2:$AF$805,[1]مرداد!$O$2:$O$805,"مونتاژ",[1]مرداد!$D$2:$D$805,$F$50,[1]مرداد!$AC$2:$AC$805,R3)</f>
        <v>0</v>
      </c>
      <c r="S50" s="352">
        <f>SUMIFS([1]مرداد!$AF$2:$AF$805,[1]مرداد!$O$2:$O$805,"مونتاژ",[1]مرداد!$D$2:$D$805,$F$50,[1]مرداد!$AC$2:$AC$805,S3)</f>
        <v>0</v>
      </c>
      <c r="T50" s="352">
        <f>SUMIFS([1]مرداد!$AF$2:$AF$805,[1]مرداد!$O$2:$O$805,"مونتاژ",[1]مرداد!$D$2:$D$805,$F$50,[1]مرداد!$AC$2:$AC$805,T3)</f>
        <v>0</v>
      </c>
      <c r="U50" s="775">
        <f>SUMIFS([1]مرداد!$AF$2:$AF$805,[1]مرداد!$O$2:$O$805,"مونتاژ",[1]مرداد!$D$2:$D$805,$F$50,[1]مرداد!$AC$2:$AC$805,U3)</f>
        <v>0</v>
      </c>
    </row>
    <row r="51" spans="1:21" ht="33.75" customHeight="1" x14ac:dyDescent="0.25">
      <c r="A51" s="967">
        <v>23</v>
      </c>
      <c r="B51" s="975"/>
      <c r="C51" s="943" t="s">
        <v>34</v>
      </c>
      <c r="D51" s="932">
        <v>62.5</v>
      </c>
      <c r="E51" s="932"/>
      <c r="F51" s="32" t="s">
        <v>16</v>
      </c>
      <c r="G51" s="739">
        <f t="shared" si="0"/>
        <v>0.5</v>
      </c>
      <c r="H51" s="47">
        <f t="shared" si="1"/>
        <v>4</v>
      </c>
      <c r="I51" s="739">
        <v>0</v>
      </c>
      <c r="J51" s="739">
        <v>0</v>
      </c>
      <c r="K51" s="739">
        <v>0</v>
      </c>
      <c r="L51" s="739">
        <v>0</v>
      </c>
      <c r="M51" s="739">
        <f>SUM(G51:L51)-62</f>
        <v>-57.5</v>
      </c>
      <c r="N51" s="56"/>
      <c r="O51" s="292">
        <f>SUMIFS([1]مرداد!$AF$2:$AF$805,[1]مرداد!$O$2:$O$805,"دمونتاژ",[1]مرداد!$D$2:$D$805,$F$51,[1]مرداد!$AC$2:$AC$805,O3)</f>
        <v>0.5</v>
      </c>
      <c r="P51" s="292">
        <f>SUMIFS([1]مرداد!$AF$2:$AF$805,[1]مرداد!$O$2:$O$805,"دمونتاژ",[1]مرداد!$D$2:$D$805,$F$51,[1]مرداد!$AC$2:$AC$805,P3)</f>
        <v>0</v>
      </c>
      <c r="Q51" s="292">
        <f>SUMIFS([1]مرداد!$AF$2:$AF$805,[1]مرداد!$O$2:$O$805,"دمونتاژ",[1]مرداد!$D$2:$D$805,$F$51,[1]مرداد!$AC$2:$AC$805,Q3)</f>
        <v>0</v>
      </c>
      <c r="R51" s="292">
        <f>SUMIFS([1]مرداد!$AF$2:$AF$805,[1]مرداد!$O$2:$O$805,"دمونتاژ",[1]مرداد!$D$2:$D$805,$F$51,[1]مرداد!$AC$2:$AC$805,R3)</f>
        <v>0</v>
      </c>
      <c r="S51" s="292">
        <f>SUMIFS([1]مرداد!$AF$2:$AF$805,[1]مرداد!$O$2:$O$805,"دمونتاژ",[1]مرداد!$D$2:$D$805,$F$51,[1]مرداد!$AC$2:$AC$805,S3)</f>
        <v>0</v>
      </c>
      <c r="T51" s="292">
        <f>SUMIFS([1]مرداد!$AF$2:$AF$805,[1]مرداد!$O$2:$O$805,"دمونتاژ",[1]مرداد!$D$2:$D$805,$F$51,[1]مرداد!$AC$2:$AC$805,T3)</f>
        <v>0</v>
      </c>
      <c r="U51" s="357">
        <f>SUMIFS([1]مرداد!$AF$2:$AF$805,[1]مرداد!$O$2:$O$805,"دمونتاژ",[1]مرداد!$D$2:$D$805,$F$51,[1]مرداد!$AC$2:$AC$805,U3)</f>
        <v>4</v>
      </c>
    </row>
    <row r="52" spans="1:21" ht="33.75" customHeight="1" x14ac:dyDescent="0.25">
      <c r="A52" s="967"/>
      <c r="B52" s="975"/>
      <c r="C52" s="965"/>
      <c r="D52" s="933"/>
      <c r="E52" s="933"/>
      <c r="F52" s="29" t="s">
        <v>55</v>
      </c>
      <c r="G52" s="3">
        <f t="shared" si="0"/>
        <v>0</v>
      </c>
      <c r="H52" s="47">
        <f t="shared" si="1"/>
        <v>0</v>
      </c>
      <c r="I52" s="3">
        <v>0</v>
      </c>
      <c r="J52" s="3">
        <v>0</v>
      </c>
      <c r="K52" s="3">
        <v>0</v>
      </c>
      <c r="L52" s="3">
        <v>0</v>
      </c>
      <c r="M52" s="3">
        <f>SUM(G52:L52)-62</f>
        <v>-62</v>
      </c>
      <c r="N52" s="62"/>
      <c r="O52" s="293">
        <f>SUMIFS([1]مرداد!$AF$2:$AF$805,[1]مرداد!$O$2:$O$805,"دمونتاژ",[1]مرداد!$D$2:$D$805,$F$52,[1]مرداد!$AC$2:$AC$805,O3)</f>
        <v>0</v>
      </c>
      <c r="P52" s="293">
        <f>SUMIFS([1]مرداد!$AF$2:$AF$805,[1]مرداد!$O$2:$O$805,"دمونتاژ",[1]مرداد!$D$2:$D$805,$F$52,[1]مرداد!$AC$2:$AC$805,P3)</f>
        <v>0</v>
      </c>
      <c r="Q52" s="293">
        <f>SUMIFS([1]مرداد!$AF$2:$AF$805,[1]مرداد!$O$2:$O$805,"دمونتاژ",[1]مرداد!$D$2:$D$805,$F$52,[1]مرداد!$AC$2:$AC$805,Q3)</f>
        <v>0</v>
      </c>
      <c r="R52" s="293">
        <f>SUMIFS([1]مرداد!$AF$2:$AF$805,[1]مرداد!$O$2:$O$805,"دمونتاژ",[1]مرداد!$D$2:$D$805,$F$52,[1]مرداد!$AC$2:$AC$805,R3)</f>
        <v>0</v>
      </c>
      <c r="S52" s="293">
        <f>SUMIFS([1]مرداد!$AF$2:$AF$805,[1]مرداد!$O$2:$O$805,"دمونتاژ",[1]مرداد!$D$2:$D$805,$F$52,[1]مرداد!$AC$2:$AC$805,S3)</f>
        <v>0</v>
      </c>
      <c r="T52" s="293">
        <f>SUMIFS([1]مرداد!$AF$2:$AF$805,[1]مرداد!$O$2:$O$805,"دمونتاژ",[1]مرداد!$D$2:$D$805,$F$52,[1]مرداد!$AC$2:$AC$805,T3)</f>
        <v>0</v>
      </c>
      <c r="U52" s="361">
        <f>SUMIFS([1]مرداد!$AF$2:$AF$805,[1]مرداد!$O$2:$O$805,"دمونتاژ",[1]مرداد!$D$2:$D$805,$F$52,[1]مرداد!$AC$2:$AC$805,U3)</f>
        <v>0</v>
      </c>
    </row>
    <row r="53" spans="1:21" ht="33.75" customHeight="1" x14ac:dyDescent="0.25">
      <c r="A53" s="967"/>
      <c r="B53" s="975"/>
      <c r="C53" s="965"/>
      <c r="D53" s="933"/>
      <c r="E53" s="933"/>
      <c r="F53" s="29" t="s">
        <v>54</v>
      </c>
      <c r="G53" s="3">
        <f t="shared" si="0"/>
        <v>9.5</v>
      </c>
      <c r="H53" s="47">
        <f t="shared" si="1"/>
        <v>0</v>
      </c>
      <c r="I53" s="3">
        <v>0</v>
      </c>
      <c r="J53" s="3">
        <v>0</v>
      </c>
      <c r="K53" s="3">
        <v>0</v>
      </c>
      <c r="L53" s="3">
        <v>0</v>
      </c>
      <c r="M53" s="3">
        <f>SUM(G53:L53)-62</f>
        <v>-52.5</v>
      </c>
      <c r="N53" s="62"/>
      <c r="O53" s="293">
        <f>SUMIFS([1]مرداد!$AF$2:$AF$805,[1]مرداد!$O$2:$O$805,"دمونتاژ",[1]مرداد!$D$2:$D$805,$F$53,[1]مرداد!$AC$2:$AC$805,O3)</f>
        <v>3</v>
      </c>
      <c r="P53" s="293">
        <f>SUMIFS([1]مرداد!$AF$2:$AF$805,[1]مرداد!$O$2:$O$805,"دمونتاژ",[1]مرداد!$D$2:$D$805,$F$53,[1]مرداد!$AC$2:$AC$805,P3)</f>
        <v>0</v>
      </c>
      <c r="Q53" s="293">
        <f>SUMIFS([1]مرداد!$AF$2:$AF$805,[1]مرداد!$O$2:$O$805,"دمونتاژ",[1]مرداد!$D$2:$D$805,$F$53,[1]مرداد!$AC$2:$AC$805,Q3)</f>
        <v>0</v>
      </c>
      <c r="R53" s="293">
        <f>SUMIFS([1]مرداد!$AF$2:$AF$805,[1]مرداد!$O$2:$O$805,"دمونتاژ",[1]مرداد!$D$2:$D$805,$F$53,[1]مرداد!$AC$2:$AC$805,R3)</f>
        <v>0</v>
      </c>
      <c r="S53" s="293">
        <f>SUMIFS([1]مرداد!$AF$2:$AF$805,[1]مرداد!$O$2:$O$805,"دمونتاژ",[1]مرداد!$D$2:$D$805,$F$53,[1]مرداد!$AC$2:$AC$805,S3)</f>
        <v>0</v>
      </c>
      <c r="T53" s="293">
        <f>SUMIFS([1]مرداد!$AF$2:$AF$805,[1]مرداد!$O$2:$O$805,"دمونتاژ",[1]مرداد!$D$2:$D$805,$F$53,[1]مرداد!$AC$2:$AC$805,T3)</f>
        <v>6.5</v>
      </c>
      <c r="U53" s="361">
        <f>SUMIFS([1]مرداد!$AF$2:$AF$805,[1]مرداد!$O$2:$O$805,"دمونتاژ",[1]مرداد!$D$2:$D$805,$F$53,[1]مرداد!$AC$2:$AC$805,U3)</f>
        <v>0</v>
      </c>
    </row>
    <row r="54" spans="1:21" ht="33.75" customHeight="1" thickBot="1" x14ac:dyDescent="0.3">
      <c r="A54" s="967"/>
      <c r="B54" s="976"/>
      <c r="C54" s="944"/>
      <c r="D54" s="934"/>
      <c r="E54" s="934"/>
      <c r="F54" s="711"/>
      <c r="G54" s="6">
        <f t="shared" si="0"/>
        <v>0</v>
      </c>
      <c r="H54" s="761">
        <f t="shared" si="1"/>
        <v>0</v>
      </c>
      <c r="I54" s="7">
        <v>0</v>
      </c>
      <c r="J54" s="7">
        <v>0</v>
      </c>
      <c r="K54" s="7">
        <v>0</v>
      </c>
      <c r="L54" s="7">
        <v>0</v>
      </c>
      <c r="M54" s="7">
        <f>SUM(G54:L54)-62</f>
        <v>-62</v>
      </c>
      <c r="N54" s="34"/>
      <c r="O54" s="294">
        <f>SUMIFS([1]مرداد!$AF$2:$AF$805,[1]مرداد!$O$2:$O$805,"دمونتاژ",[1]مرداد!$D$2:$D$805,$F$54,[1]مرداد!$AC$2:$AC$805,O3)</f>
        <v>0</v>
      </c>
      <c r="P54" s="294">
        <f>SUMIFS([1]مرداد!$AF$2:$AF$805,[1]مرداد!$O$2:$O$805,"دمونتاژ",[1]مرداد!$D$2:$D$805,$F$54,[1]مرداد!$AC$2:$AC$805,P3)</f>
        <v>0</v>
      </c>
      <c r="Q54" s="294">
        <f>SUMIFS([1]مرداد!$AF$2:$AF$805,[1]مرداد!$O$2:$O$805,"دمونتاژ",[1]مرداد!$D$2:$D$805,$F$54,[1]مرداد!$AC$2:$AC$805,Q3)</f>
        <v>0</v>
      </c>
      <c r="R54" s="294">
        <f>SUMIFS([1]مرداد!$AF$2:$AF$805,[1]مرداد!$O$2:$O$805,"دمونتاژ",[1]مرداد!$D$2:$D$805,$F$54,[1]مرداد!$AC$2:$AC$805,R3)</f>
        <v>0</v>
      </c>
      <c r="S54" s="294">
        <f>SUMIFS([1]مرداد!$AF$2:$AF$805,[1]مرداد!$O$2:$O$805,"دمونتاژ",[1]مرداد!$D$2:$D$805,$F$54,[1]مرداد!$AC$2:$AC$805,S3)</f>
        <v>0</v>
      </c>
      <c r="T54" s="294">
        <f>SUMIFS([1]مرداد!$AF$2:$AF$805,[1]مرداد!$O$2:$O$805,"دمونتاژ",[1]مرداد!$D$2:$D$805,$F$54,[1]مرداد!$AC$2:$AC$805,T3)</f>
        <v>0</v>
      </c>
      <c r="U54" s="776">
        <f>SUMIFS([1]مرداد!$AF$2:$AF$805,[1]مرداد!$O$2:$O$805,"دمونتاژ",[1]مرداد!$D$2:$D$805,$F$54,[1]مرداد!$AC$2:$AC$805,U3)</f>
        <v>0</v>
      </c>
    </row>
    <row r="55" spans="1:21" ht="48.75" customHeight="1" thickBot="1" x14ac:dyDescent="0.3">
      <c r="A55" s="951" t="s">
        <v>49</v>
      </c>
      <c r="B55" s="1008"/>
      <c r="C55" s="1008"/>
      <c r="D55" s="1008"/>
      <c r="E55" s="1008"/>
      <c r="F55" s="1009"/>
      <c r="G55" s="760">
        <f t="shared" ref="G55:L55" si="3">SUM(G4:G54)</f>
        <v>290.5</v>
      </c>
      <c r="H55" s="760">
        <f t="shared" si="3"/>
        <v>33</v>
      </c>
      <c r="I55" s="760">
        <f t="shared" si="3"/>
        <v>3</v>
      </c>
      <c r="J55" s="760">
        <f t="shared" si="3"/>
        <v>62</v>
      </c>
      <c r="K55" s="760">
        <f t="shared" si="3"/>
        <v>0</v>
      </c>
      <c r="L55" s="760">
        <f t="shared" si="3"/>
        <v>0</v>
      </c>
      <c r="M55" s="773">
        <f>SUMIFS(M4:M54,F4:F54,"*")</f>
        <v>-1137.5</v>
      </c>
      <c r="N55" s="774"/>
      <c r="O55" s="302">
        <f>SUM(O4:O54)</f>
        <v>77.5</v>
      </c>
      <c r="P55" s="198">
        <f t="shared" ref="P55:U55" si="4">SUM(P4:P54)</f>
        <v>54.5</v>
      </c>
      <c r="Q55" s="198">
        <f t="shared" si="4"/>
        <v>38</v>
      </c>
      <c r="R55" s="198">
        <f t="shared" si="4"/>
        <v>33.5</v>
      </c>
      <c r="S55" s="198">
        <f t="shared" si="4"/>
        <v>33.5</v>
      </c>
      <c r="T55" s="198">
        <f t="shared" si="4"/>
        <v>61.5</v>
      </c>
      <c r="U55" s="150">
        <f t="shared" si="4"/>
        <v>33</v>
      </c>
    </row>
    <row r="56" spans="1:21" x14ac:dyDescent="0.25">
      <c r="G56" s="582"/>
    </row>
    <row r="57" spans="1:21" x14ac:dyDescent="0.25">
      <c r="G57" s="660"/>
    </row>
    <row r="61" spans="1:21" x14ac:dyDescent="0.25">
      <c r="G61" s="660"/>
    </row>
  </sheetData>
  <mergeCells count="51">
    <mergeCell ref="A12:A14"/>
    <mergeCell ref="B12:B14"/>
    <mergeCell ref="C12:C14"/>
    <mergeCell ref="D12:D14"/>
    <mergeCell ref="E12:E14"/>
    <mergeCell ref="A1:L2"/>
    <mergeCell ref="O1:U2"/>
    <mergeCell ref="E4:E6"/>
    <mergeCell ref="N4:N6"/>
    <mergeCell ref="E7:E9"/>
    <mergeCell ref="A15:A16"/>
    <mergeCell ref="B15:B16"/>
    <mergeCell ref="C15:C16"/>
    <mergeCell ref="D15:D16"/>
    <mergeCell ref="E15:E16"/>
    <mergeCell ref="N19:N21"/>
    <mergeCell ref="E23:E25"/>
    <mergeCell ref="N23:N25"/>
    <mergeCell ref="B30:B31"/>
    <mergeCell ref="C30:C31"/>
    <mergeCell ref="D30:D31"/>
    <mergeCell ref="E30:E31"/>
    <mergeCell ref="N30:N31"/>
    <mergeCell ref="E19:E21"/>
    <mergeCell ref="A32:A33"/>
    <mergeCell ref="E32:E33"/>
    <mergeCell ref="N32:N33"/>
    <mergeCell ref="A34:A35"/>
    <mergeCell ref="E34:E35"/>
    <mergeCell ref="N34:N35"/>
    <mergeCell ref="A36:A37"/>
    <mergeCell ref="E36:E37"/>
    <mergeCell ref="N36:N37"/>
    <mergeCell ref="A38:A39"/>
    <mergeCell ref="E38:E39"/>
    <mergeCell ref="N38:N39"/>
    <mergeCell ref="A55:F55"/>
    <mergeCell ref="A40:A41"/>
    <mergeCell ref="E40:E41"/>
    <mergeCell ref="N40:N41"/>
    <mergeCell ref="E42:E44"/>
    <mergeCell ref="N42:N44"/>
    <mergeCell ref="A47:A50"/>
    <mergeCell ref="B47:B54"/>
    <mergeCell ref="C47:C50"/>
    <mergeCell ref="D47:D50"/>
    <mergeCell ref="E47:E50"/>
    <mergeCell ref="A51:A54"/>
    <mergeCell ref="C51:C54"/>
    <mergeCell ref="D51:D54"/>
    <mergeCell ref="E51:E54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 M8" formulaRange="1"/>
    <ignoredError sqref="G15 P15 G38" formula="1"/>
  </ignoredErrors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F1D0-6090-49EB-8009-F2FF5BA32132}">
  <sheetPr>
    <pageSetUpPr fitToPage="1"/>
  </sheetPr>
  <dimension ref="A1:U61"/>
  <sheetViews>
    <sheetView rightToLeft="1" view="pageLayout" topLeftCell="A51" zoomScaleNormal="100" workbookViewId="0">
      <selection activeCell="F10" sqref="F10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20" width="6.42578125" style="52" hidden="1" customWidth="1"/>
    <col min="21" max="21" width="6.42578125" style="51" hidden="1" customWidth="1"/>
  </cols>
  <sheetData>
    <row r="1" spans="1:21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</row>
    <row r="2" spans="1:21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21</v>
      </c>
      <c r="O2" s="926"/>
      <c r="P2" s="926"/>
      <c r="Q2" s="926"/>
      <c r="R2" s="926"/>
      <c r="S2" s="926"/>
      <c r="T2" s="926"/>
      <c r="U2" s="927"/>
    </row>
    <row r="3" spans="1:21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291" t="s">
        <v>201</v>
      </c>
      <c r="P3" s="291" t="s">
        <v>202</v>
      </c>
      <c r="Q3" s="291" t="s">
        <v>203</v>
      </c>
      <c r="R3" s="291" t="s">
        <v>204</v>
      </c>
      <c r="S3" s="291" t="s">
        <v>205</v>
      </c>
      <c r="T3" s="291" t="s">
        <v>206</v>
      </c>
      <c r="U3" s="291" t="s">
        <v>207</v>
      </c>
    </row>
    <row r="4" spans="1:21" ht="33.75" customHeight="1" x14ac:dyDescent="0.25">
      <c r="A4" s="713"/>
      <c r="B4" s="728"/>
      <c r="C4" s="42"/>
      <c r="D4" s="735"/>
      <c r="E4" s="932" t="s">
        <v>15</v>
      </c>
      <c r="F4" s="710" t="s">
        <v>55</v>
      </c>
      <c r="G4" s="739">
        <f>SUM(O4:T4)</f>
        <v>39.5</v>
      </c>
      <c r="H4" s="46">
        <f>U4</f>
        <v>0</v>
      </c>
      <c r="I4" s="739">
        <v>0</v>
      </c>
      <c r="J4" s="739">
        <v>0</v>
      </c>
      <c r="K4" s="739">
        <v>0</v>
      </c>
      <c r="L4" s="739">
        <v>0</v>
      </c>
      <c r="M4" s="28"/>
      <c r="N4" s="945" t="s">
        <v>13</v>
      </c>
      <c r="O4" s="165">
        <f>SUMIFS([1]مرداد!$AF$2:$AF$805,[1]مرداد!$O$2:$O$805,7101,[1]مرداد!$D$2:$D$805,F4,[1]مرداد!$AC$2:$AC$805,$O$3)</f>
        <v>10</v>
      </c>
      <c r="P4" s="169">
        <f>SUMIFS([1]مرداد!$AF$2:$AF$805,[1]مرداد!$O$2:$O$805,7101,[1]مرداد!$D$2:$D$805,$F$4,[1]مرداد!$AC$2:$AC$805,P3)</f>
        <v>11</v>
      </c>
      <c r="Q4" s="169">
        <f>SUMIFS([1]مرداد!$AF$2:$AF$805,[1]مرداد!$O$2:$O$805,7101,[1]مرداد!$D$2:$D$805,$F$4,[1]مرداد!$AC$2:$AC$805,Q3)</f>
        <v>7.5</v>
      </c>
      <c r="R4" s="169">
        <f>SUMIFS([1]مرداد!$AF$2:$AF$805,[1]مرداد!$O$2:$O$805,7101,[1]مرداد!$D$2:$D$805,$F$4,[1]مرداد!$AC$2:$AC$805,R3)</f>
        <v>9.5</v>
      </c>
      <c r="S4" s="169">
        <f>SUMIFS([1]مرداد!$AF$2:$AF$805,[1]مرداد!$O$2:$O$805,7101,[1]مرداد!$D$2:$D$805,$F$4,[1]مرداد!$AC$2:$AC$805,S3)</f>
        <v>1.5</v>
      </c>
      <c r="T4" s="169">
        <f>SUMIFS([1]مرداد!$AF$2:$AF$805,[1]مرداد!$O$2:$O$805,7101,[1]مرداد!$D$2:$D$805,$F$4,[1]مرداد!$AC$2:$AC$805,T3)</f>
        <v>0</v>
      </c>
      <c r="U4" s="170">
        <f>SUMIFS([1]مرداد!$AF$2:$AF$805,[1]مرداد!$O$2:$O$805,7101,[1]مرداد!$D$2:$D$805,$F$4,[1]مرداد!$AC$2:$AC$805,U3)</f>
        <v>0</v>
      </c>
    </row>
    <row r="5" spans="1:21" ht="33.75" customHeight="1" thickBot="1" x14ac:dyDescent="0.3">
      <c r="A5" s="714">
        <v>1</v>
      </c>
      <c r="B5" s="722" t="s">
        <v>14</v>
      </c>
      <c r="C5" s="708">
        <v>7101</v>
      </c>
      <c r="D5" s="736">
        <v>62.5</v>
      </c>
      <c r="E5" s="1003"/>
      <c r="F5" s="720"/>
      <c r="G5" s="3">
        <f t="shared" ref="G5:G54" si="0">SUM(O5:T5)</f>
        <v>0</v>
      </c>
      <c r="H5" s="47">
        <f t="shared" ref="H5:H54" si="1">U5</f>
        <v>0</v>
      </c>
      <c r="I5" s="3"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-23</v>
      </c>
      <c r="N5" s="929"/>
      <c r="O5" s="166">
        <f>SUMIFS([1]مرداد!$AF$2:$AF$805,[1]مرداد!$O$2:$O$805,7101,[1]مرداد!$D$2:$D$805,$F$5,[1]مرداد!$AC$2:$AC$805,O3)</f>
        <v>0</v>
      </c>
      <c r="P5" s="168">
        <f>SUMIFS([1]مرداد!$AF$2:$AF$805,[1]مرداد!$O$2:$O$805,7101,[1]مرداد!$D$2:$D$805,$F$5,[1]مرداد!$AC$2:$AC$805,P3)</f>
        <v>0</v>
      </c>
      <c r="Q5" s="168">
        <f>SUMIFS([1]مرداد!$AF$2:$AF$805,[1]مرداد!$O$2:$O$805,7101,[1]مرداد!$D$2:$D$805,$F$5,[1]مرداد!$AC$2:$AC$805,Q3)</f>
        <v>0</v>
      </c>
      <c r="R5" s="168">
        <f>SUMIFS([1]مرداد!$AF$2:$AF$805,[1]مرداد!$O$2:$O$805,7101,[1]مرداد!$D$2:$D$805,$F$5,[1]مرداد!$AC$2:$AC$805,R3)</f>
        <v>0</v>
      </c>
      <c r="S5" s="168">
        <f>SUMIFS([1]مرداد!$AF$2:$AF$805,[1]مرداد!$O$2:$O$805,7101,[1]مرداد!$D$2:$D$805,$F$5,[1]مرداد!$AC$2:$AC$805,S3)</f>
        <v>0</v>
      </c>
      <c r="T5" s="168">
        <f>SUMIFS([1]مرداد!$AF$2:$AF$805,[1]مرداد!$O$2:$O$805,7101,[1]مرداد!$D$2:$D$805,$F$5,[1]مرداد!$AC$2:$AC$805,T3)</f>
        <v>0</v>
      </c>
      <c r="U5" s="424">
        <f>SUMIFS([1]مرداد!$AF$2:$AF$805,[1]مرداد!$O$2:$O$805,7101,[1]مرداد!$D$2:$D$805,$F$5,[1]مرداد!$AC$2:$AC$805,U3)</f>
        <v>0</v>
      </c>
    </row>
    <row r="6" spans="1:21" ht="33.75" hidden="1" customHeight="1" thickBot="1" x14ac:dyDescent="0.3">
      <c r="A6" s="715"/>
      <c r="B6" s="88"/>
      <c r="C6" s="43"/>
      <c r="D6" s="709"/>
      <c r="E6" s="934"/>
      <c r="F6" s="5"/>
      <c r="G6" s="6">
        <f t="shared" si="0"/>
        <v>0</v>
      </c>
      <c r="H6" s="761">
        <f t="shared" si="1"/>
        <v>0</v>
      </c>
      <c r="I6" s="7">
        <v>0</v>
      </c>
      <c r="J6" s="7">
        <v>0</v>
      </c>
      <c r="K6" s="6">
        <v>0</v>
      </c>
      <c r="L6" s="6">
        <v>0</v>
      </c>
      <c r="M6" s="8"/>
      <c r="N6" s="930"/>
      <c r="O6" s="171">
        <f>SUMIFS([1]مرداد!$AF$2:$AF$805,[1]مرداد!$O$2:$O$805,7101,[1]مرداد!$D$2:$D$805,$F$6,[1]مرداد!$AC$2:$AC$805,O3)</f>
        <v>0</v>
      </c>
      <c r="P6" s="172">
        <f>SUMIFS([1]مرداد!$AF$2:$AF$805,[1]مرداد!$O$2:$O$805,7101,[1]مرداد!$D$2:$D$805,$F$6,[1]مرداد!$AC$2:$AC$805,P3)</f>
        <v>0</v>
      </c>
      <c r="Q6" s="172">
        <f>SUMIFS([1]مرداد!$AF$2:$AF$805,[1]مرداد!$O$2:$O$805,7101,[1]مرداد!$D$2:$D$805,$F$6,[1]مرداد!$AC$2:$AC$805,Q3)</f>
        <v>0</v>
      </c>
      <c r="R6" s="172">
        <f>SUMIFS([1]مرداد!$AF$2:$AF$805,[1]مرداد!$O$2:$O$805,7101,[1]مرداد!$D$2:$D$805,$F$6,[1]مرداد!$AC$2:$AC$805,R3)</f>
        <v>0</v>
      </c>
      <c r="S6" s="172">
        <f>SUMIFS([1]مرداد!$AF$2:$AF$805,[1]مرداد!$O$2:$O$805,7101,[1]مرداد!$D$2:$D$805,$F$6,[1]مرداد!$AC$2:$AC$805,S3)</f>
        <v>0</v>
      </c>
      <c r="T6" s="172">
        <f>SUMIFS([1]مرداد!$AF$2:$AF$805,[1]مرداد!$O$2:$O$805,7101,[1]مرداد!$D$2:$D$805,$F$6,[1]مرداد!$AC$2:$AC$805,T3)</f>
        <v>0</v>
      </c>
      <c r="U6" s="741">
        <f>SUMIFS([1]مرداد!$AF$2:$AF$805,[1]مرداد!$O$2:$O$805,7101,[1]مرداد!$D$2:$D$805,$F$6,[1]مرداد!$AC$2:$AC$805,U3)</f>
        <v>0</v>
      </c>
    </row>
    <row r="7" spans="1:21" ht="33.75" customHeight="1" x14ac:dyDescent="0.25">
      <c r="A7" s="732"/>
      <c r="B7" s="728"/>
      <c r="C7" s="42"/>
      <c r="D7" s="707"/>
      <c r="E7" s="932" t="s">
        <v>15</v>
      </c>
      <c r="F7" s="20" t="s">
        <v>20</v>
      </c>
      <c r="G7" s="739">
        <f t="shared" si="0"/>
        <v>50.5</v>
      </c>
      <c r="H7" s="46">
        <f t="shared" si="1"/>
        <v>0</v>
      </c>
      <c r="I7" s="739">
        <v>0</v>
      </c>
      <c r="J7" s="739">
        <v>0</v>
      </c>
      <c r="K7" s="739">
        <v>0</v>
      </c>
      <c r="L7" s="739">
        <v>0</v>
      </c>
      <c r="M7" s="10"/>
      <c r="N7" s="712"/>
      <c r="O7" s="292">
        <f>SUMIFS([1]مرداد!$AF$2:$AF$805,[1]مرداد!$O$2:$O$805,7102,[1]مرداد!$D$2:$D$805,$F$7,[1]مرداد!$AC$2:$AC$805,O3)</f>
        <v>11</v>
      </c>
      <c r="P7" s="292">
        <f>SUMIFS([1]مرداد!$AF$2:$AF$805,[1]مرداد!$O$2:$O$805,7102,[1]مرداد!$D$2:$D$805,$F$7,[1]مرداد!$AC$2:$AC$805,P3)</f>
        <v>11</v>
      </c>
      <c r="Q7" s="292">
        <f>SUMIFS([1]مرداد!$AF$2:$AF$805,[1]مرداد!$O$2:$O$805,7102,[1]مرداد!$D$2:$D$805,$F$7,[1]مرداد!$AC$2:$AC$805,Q3)</f>
        <v>11</v>
      </c>
      <c r="R7" s="292">
        <f>SUMIFS([1]مرداد!$AF$2:$AF$805,[1]مرداد!$O$2:$O$805,7102,[1]مرداد!$D$2:$D$805,$F$7,[1]مرداد!$AC$2:$AC$805,R3)</f>
        <v>11</v>
      </c>
      <c r="S7" s="292">
        <f>SUMIFS([1]مرداد!$AF$2:$AF$805,[1]مرداد!$O$2:$O$805,7102,[1]مرداد!$D$2:$D$805,$F$7,[1]مرداد!$AC$2:$AC$805,S3)</f>
        <v>6.5</v>
      </c>
      <c r="T7" s="292">
        <f>SUMIFS([1]مرداد!$AF$2:$AF$805,[1]مرداد!$O$2:$O$805,7102,[1]مرداد!$D$2:$D$805,$F$7,[1]مرداد!$AC$2:$AC$805,T3)</f>
        <v>0</v>
      </c>
      <c r="U7" s="357">
        <f>SUMIFS([1]مرداد!$AF$2:$AF$805,[1]مرداد!$O$2:$O$805,7102,[1]مرداد!$D$2:$D$805,$F$7,[1]مرداد!$AC$2:$AC$805,U3)</f>
        <v>0</v>
      </c>
    </row>
    <row r="8" spans="1:21" ht="33.75" customHeight="1" thickBot="1" x14ac:dyDescent="0.3">
      <c r="A8" s="732">
        <v>2</v>
      </c>
      <c r="B8" s="722" t="s">
        <v>14</v>
      </c>
      <c r="C8" s="708">
        <v>7102</v>
      </c>
      <c r="D8" s="586">
        <v>62.5</v>
      </c>
      <c r="E8" s="1003"/>
      <c r="F8" s="725"/>
      <c r="G8" s="3">
        <f t="shared" si="0"/>
        <v>0</v>
      </c>
      <c r="H8" s="47">
        <f t="shared" si="1"/>
        <v>0</v>
      </c>
      <c r="I8" s="3"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-12</v>
      </c>
      <c r="N8" s="705"/>
      <c r="O8" s="293">
        <f>SUMIFS([1]اردیبهشت!$AD$2:$AD$600,[1]اردیبهشت!$N$2:$N$600,7102,[1]اردیبهشت!$D$2:$D$600,$F$8,[1]اردیبهشت!$AA$2:$AA$600,O3)</f>
        <v>0</v>
      </c>
      <c r="P8" s="168">
        <f>SUMIFS([1]اردیبهشت!$AD$2:$AD$600,[1]اردیبهشت!$N$2:$N$600,7102,[1]اردیبهشت!$D$2:$D$600,$F$8,[1]اردیبهشت!$AA$2:$AA$600,P3)</f>
        <v>0</v>
      </c>
      <c r="Q8" s="168">
        <f>SUMIFS([1]اردیبهشت!$AD$2:$AD$600,[1]اردیبهشت!$N$2:$N$600,7102,[1]اردیبهشت!$D$2:$D$600,$F$8,[1]اردیبهشت!$AA$2:$AA$600,Q3)</f>
        <v>0</v>
      </c>
      <c r="R8" s="168">
        <f>SUMIFS([1]اردیبهشت!$AD$2:$AD$600,[1]اردیبهشت!$N$2:$N$600,7102,[1]اردیبهشت!$D$2:$D$600,$F$8,[1]اردیبهشت!$AA$2:$AA$600,R3)</f>
        <v>0</v>
      </c>
      <c r="S8" s="168">
        <f>SUMIFS([1]اردیبهشت!$AD$2:$AD$600,[1]اردیبهشت!$N$2:$N$600,7102,[1]اردیبهشت!$D$2:$D$600,$F$8,[1]اردیبهشت!$AA$2:$AA$600,S3)</f>
        <v>0</v>
      </c>
      <c r="T8" s="168">
        <f>SUMIFS([1]اردیبهشت!$AD$2:$AD$600,[1]اردیبهشت!$N$2:$N$600,7102,[1]اردیبهشت!$D$2:$D$600,$F$8,[1]اردیبهشت!$AA$2:$AA$600,T3)</f>
        <v>0</v>
      </c>
      <c r="U8" s="108">
        <f>SUMIFS([1]اردیبهشت!$AD$2:$AD$600,[1]اردیبهشت!$N$2:$N$600,7102,[1]اردیبهشت!$D$2:$D$600,$F$8,[1]اردیبهشت!$AA$2:$AA$600,U3)</f>
        <v>0</v>
      </c>
    </row>
    <row r="9" spans="1:21" ht="33.75" hidden="1" customHeight="1" thickBot="1" x14ac:dyDescent="0.3">
      <c r="A9" s="732"/>
      <c r="B9" s="730"/>
      <c r="C9" s="43"/>
      <c r="D9" s="709"/>
      <c r="E9" s="934"/>
      <c r="F9" s="5"/>
      <c r="G9" s="6">
        <f t="shared" si="0"/>
        <v>0</v>
      </c>
      <c r="H9" s="761">
        <f t="shared" si="1"/>
        <v>0</v>
      </c>
      <c r="I9" s="7">
        <v>0</v>
      </c>
      <c r="J9" s="7">
        <v>0</v>
      </c>
      <c r="K9" s="6">
        <v>0</v>
      </c>
      <c r="L9" s="6">
        <v>0</v>
      </c>
      <c r="M9" s="11"/>
      <c r="N9" s="706"/>
      <c r="O9" s="294">
        <f>SUMIFS([1]اردیبهشت!$AD$2:$AD$600,[1]اردیبهشت!$N$2:$N$600,7102,[1]اردیبهشت!$D$2:$D$600,$F$9,[1]اردیبهشت!$AA$2:$AA$600,O3)</f>
        <v>0</v>
      </c>
      <c r="P9" s="172">
        <f>SUMIFS([1]اردیبهشت!$AD$2:$AD$600,[1]اردیبهشت!$N$2:$N$600,7102,[1]اردیبهشت!$D$2:$D$600,$F$9,[1]اردیبهشت!$AA$2:$AA$600,P3)</f>
        <v>0</v>
      </c>
      <c r="Q9" s="172">
        <f>SUMIFS([1]اردیبهشت!$AD$2:$AD$600,[1]اردیبهشت!$N$2:$N$600,7102,[1]اردیبهشت!$D$2:$D$600,$F$9,[1]اردیبهشت!$AA$2:$AA$600,Q3)</f>
        <v>0</v>
      </c>
      <c r="R9" s="172">
        <f>SUMIFS([1]اردیبهشت!$AD$2:$AD$600,[1]اردیبهشت!$N$2:$N$600,7102,[1]اردیبهشت!$D$2:$D$600,$F$9,[1]اردیبهشت!$AA$2:$AA$600,R3)</f>
        <v>0</v>
      </c>
      <c r="S9" s="172">
        <f>SUMIFS([1]اردیبهشت!$AD$2:$AD$600,[1]اردیبهشت!$N$2:$N$600,7102,[1]اردیبهشت!$D$2:$D$600,$F$9,[1]اردیبهشت!$AA$2:$AA$600,S3)</f>
        <v>0</v>
      </c>
      <c r="T9" s="172">
        <f>SUMIFS([1]اردیبهشت!$AD$2:$AD$600,[1]اردیبهشت!$N$2:$N$600,7102,[1]اردیبهشت!$D$2:$D$600,$F$9,[1]اردیبهشت!$AA$2:$AA$600,T3)</f>
        <v>0</v>
      </c>
      <c r="U9" s="109">
        <f>SUMIFS([1]اردیبهشت!$AD$2:$AD$600,[1]اردیبهشت!$N$2:$N$600,7102,[1]اردیبهشت!$D$2:$D$600,$F$9,[1]اردیبهشت!$AA$2:$AA$600,U3)</f>
        <v>0</v>
      </c>
    </row>
    <row r="10" spans="1:21" ht="33.75" customHeight="1" thickBot="1" x14ac:dyDescent="0.3">
      <c r="A10" s="45">
        <v>3</v>
      </c>
      <c r="B10" s="12" t="s">
        <v>14</v>
      </c>
      <c r="C10" s="13">
        <v>7103</v>
      </c>
      <c r="D10" s="283">
        <v>44</v>
      </c>
      <c r="E10" s="13" t="s">
        <v>15</v>
      </c>
      <c r="F10" s="13" t="s">
        <v>12</v>
      </c>
      <c r="G10" s="14">
        <f t="shared" si="0"/>
        <v>26</v>
      </c>
      <c r="H10" s="48">
        <f t="shared" si="1"/>
        <v>0</v>
      </c>
      <c r="I10" s="14">
        <v>0</v>
      </c>
      <c r="J10" s="14">
        <v>0</v>
      </c>
      <c r="K10" s="14">
        <v>0</v>
      </c>
      <c r="L10" s="14">
        <v>0</v>
      </c>
      <c r="M10" s="14">
        <f>SUM(G10:L10)-64</f>
        <v>-38</v>
      </c>
      <c r="N10" s="61"/>
      <c r="O10" s="295">
        <f>SUMIFS([1]مرداد!$AF$2:$AF$805,[1]مرداد!$O$2:$O$805,7103,[1]مرداد!$D$2:$D$805,$F$10,[1]مرداد!$AC$2:$AC$805,O3)</f>
        <v>6.5</v>
      </c>
      <c r="P10" s="295">
        <f>SUMIFS([1]مرداد!$AF$2:$AF$805,[1]مرداد!$O$2:$O$805,7103,[1]مرداد!$D$2:$D$805,$F$10,[1]مرداد!$AC$2:$AC$805,P3)</f>
        <v>6.5</v>
      </c>
      <c r="Q10" s="295">
        <f>SUMIFS([1]مرداد!$AF$2:$AF$805,[1]مرداد!$O$2:$O$805,7103,[1]مرداد!$D$2:$D$805,$F$10,[1]مرداد!$AC$2:$AC$805,Q3)</f>
        <v>6.5</v>
      </c>
      <c r="R10" s="295">
        <f>SUMIFS([1]مرداد!$AF$2:$AF$805,[1]مرداد!$O$2:$O$805,7103,[1]مرداد!$D$2:$D$805,$F$10,[1]مرداد!$AC$2:$AC$805,R3)</f>
        <v>6.5</v>
      </c>
      <c r="S10" s="295">
        <f>SUMIFS([1]مرداد!$AF$2:$AF$805,[1]مرداد!$O$2:$O$805,7103,[1]مرداد!$D$2:$D$805,$F$10,[1]مرداد!$AC$2:$AC$805,S3)</f>
        <v>0</v>
      </c>
      <c r="T10" s="295">
        <f>SUMIFS([1]مرداد!$AF$2:$AF$805,[1]مرداد!$O$2:$O$805,7103,[1]مرداد!$D$2:$D$805,$F$10,[1]مرداد!$AC$2:$AC$805,T3)</f>
        <v>0</v>
      </c>
      <c r="U10" s="744">
        <f>SUMIFS([1]مرداد!$AF$2:$AF$805,[1]مرداد!$O$2:$O$805,7103,[1]مرداد!$D$2:$D$805,$F$10,[1]مرداد!$AC$2:$AC$805,U3)</f>
        <v>0</v>
      </c>
    </row>
    <row r="11" spans="1:21" ht="33.75" customHeight="1" thickBot="1" x14ac:dyDescent="0.3">
      <c r="A11" s="732">
        <v>4</v>
      </c>
      <c r="B11" s="82" t="s">
        <v>18</v>
      </c>
      <c r="C11" s="72">
        <v>7201</v>
      </c>
      <c r="D11" s="72">
        <v>62.5</v>
      </c>
      <c r="E11" s="72" t="s">
        <v>19</v>
      </c>
      <c r="F11" s="73"/>
      <c r="G11" s="14">
        <f t="shared" si="0"/>
        <v>0</v>
      </c>
      <c r="H11" s="48">
        <f t="shared" si="1"/>
        <v>0</v>
      </c>
      <c r="I11" s="74">
        <v>0</v>
      </c>
      <c r="J11" s="74">
        <v>62</v>
      </c>
      <c r="K11" s="74">
        <v>0</v>
      </c>
      <c r="L11" s="74">
        <v>0</v>
      </c>
      <c r="M11" s="74">
        <f>SUM(G11:J11)-62</f>
        <v>0</v>
      </c>
      <c r="N11" s="75" t="s">
        <v>41</v>
      </c>
      <c r="O11" s="762"/>
      <c r="P11" s="285"/>
      <c r="Q11" s="285"/>
      <c r="R11" s="285"/>
      <c r="S11" s="285"/>
      <c r="T11" s="285"/>
      <c r="U11" s="139"/>
    </row>
    <row r="12" spans="1:21" ht="33.75" customHeight="1" x14ac:dyDescent="0.25">
      <c r="A12" s="985">
        <v>5</v>
      </c>
      <c r="B12" s="974" t="s">
        <v>18</v>
      </c>
      <c r="C12" s="932">
        <v>7202</v>
      </c>
      <c r="D12" s="932">
        <v>62.5</v>
      </c>
      <c r="E12" s="932" t="s">
        <v>15</v>
      </c>
      <c r="F12" s="574" t="s">
        <v>199</v>
      </c>
      <c r="G12" s="21">
        <f t="shared" si="0"/>
        <v>35</v>
      </c>
      <c r="H12" s="46">
        <f t="shared" si="1"/>
        <v>0</v>
      </c>
      <c r="I12" s="21">
        <v>0</v>
      </c>
      <c r="J12" s="21">
        <v>0</v>
      </c>
      <c r="K12" s="21">
        <v>0</v>
      </c>
      <c r="L12" s="21">
        <v>0</v>
      </c>
      <c r="M12" s="21"/>
      <c r="N12" s="704"/>
      <c r="O12" s="187">
        <f>SUMIFS([1]مرداد!$AF$2:$AF$805,[1]مرداد!$O$2:$O$805,7202,[1]مرداد!$D$2:$D$805,$F$12,[1]مرداد!$AC$2:$AC$805,O3)</f>
        <v>0</v>
      </c>
      <c r="P12" s="188">
        <f>SUMIFS([1]مرداد!$AF$2:$AF$805,[1]مرداد!$O$2:$O$805,7202,[1]مرداد!$D$2:$D$805,$F$12,[1]مرداد!$AC$2:$AC$805,P3)</f>
        <v>0</v>
      </c>
      <c r="Q12" s="188">
        <f>SUMIFS([1]مرداد!$AF$2:$AF$805,[1]مرداد!$O$2:$O$805,7202,[1]مرداد!$D$2:$D$805,$F$12,[1]مرداد!$AC$2:$AC$805,Q3)</f>
        <v>11</v>
      </c>
      <c r="R12" s="188">
        <f>SUMIFS([1]مرداد!$AF$2:$AF$805,[1]مرداد!$O$2:$O$805,7202,[1]مرداد!$D$2:$D$805,$F$12,[1]مرداد!$AC$2:$AC$805,R3)</f>
        <v>11</v>
      </c>
      <c r="S12" s="188">
        <f>SUMIFS([1]مرداد!$AF$2:$AF$805,[1]مرداد!$O$2:$O$805,7202,[1]مرداد!$D$2:$D$805,$F$12,[1]مرداد!$AC$2:$AC$805,S3)</f>
        <v>6.5</v>
      </c>
      <c r="T12" s="188">
        <f>SUMIFS([1]مرداد!$AF$2:$AF$805,[1]مرداد!$O$2:$O$805,7202,[1]مرداد!$D$2:$D$805,$F$12,[1]مرداد!$AC$2:$AC$805,T3)</f>
        <v>6.5</v>
      </c>
      <c r="U12" s="189">
        <f>SUMIFS([1]مرداد!$AF$2:$AF$805,[1]مرداد!$O$2:$O$805,7202,[1]مرداد!$D$2:$D$805,$F$12,[1]مرداد!$AC$2:$AC$805,U3)</f>
        <v>0</v>
      </c>
    </row>
    <row r="13" spans="1:21" ht="33.75" customHeight="1" x14ac:dyDescent="0.25">
      <c r="A13" s="986"/>
      <c r="B13" s="975"/>
      <c r="C13" s="933"/>
      <c r="D13" s="933"/>
      <c r="E13" s="933"/>
      <c r="F13" s="22"/>
      <c r="G13" s="3">
        <f t="shared" si="0"/>
        <v>0</v>
      </c>
      <c r="H13" s="47">
        <f t="shared" si="1"/>
        <v>0</v>
      </c>
      <c r="I13" s="3">
        <v>0</v>
      </c>
      <c r="J13" s="3">
        <v>0</v>
      </c>
      <c r="K13" s="3">
        <v>0</v>
      </c>
      <c r="L13" s="3">
        <v>0</v>
      </c>
      <c r="M13" s="3">
        <f>(G12+G13+G14)-(D12)+(J12)</f>
        <v>-9</v>
      </c>
      <c r="N13" s="579"/>
      <c r="O13" s="742">
        <f>SUMIFS([1]مرداد!$AF$2:$AF$805,[1]مرداد!$O$2:$O$805,7202,[1]مرداد!$D$2:$D$805,$F$13,[1]مرداد!$AC$2:$AC$805,O3)</f>
        <v>0</v>
      </c>
      <c r="P13" s="575">
        <f>SUMIFS([1]مرداد!$AF$2:$AF$805,[1]مرداد!$O$2:$O$805,7202,[1]مرداد!$D$2:$D$805,$F$13,[1]مرداد!$AC$2:$AC$805,P3)</f>
        <v>0</v>
      </c>
      <c r="Q13" s="575">
        <f>SUMIFS([1]مرداد!$AF$2:$AF$805,[1]مرداد!$O$2:$O$805,7202,[1]مرداد!$D$2:$D$805,$F$13,[1]مرداد!$AC$2:$AC$805,Q3)</f>
        <v>0</v>
      </c>
      <c r="R13" s="575">
        <f>SUMIFS([1]مرداد!$AF$2:$AF$805,[1]مرداد!$O$2:$O$805,7202,[1]مرداد!$D$2:$D$805,$F$13,[1]مرداد!$AC$2:$AC$805,R3)</f>
        <v>0</v>
      </c>
      <c r="S13" s="575">
        <f>SUMIFS([1]مرداد!$AF$2:$AF$805,[1]مرداد!$O$2:$O$805,7202,[1]مرداد!$D$2:$D$805,$F$13,[1]مرداد!$AC$2:$AC$805,S3)</f>
        <v>0</v>
      </c>
      <c r="T13" s="575">
        <f>SUMIFS([1]مرداد!$AF$2:$AF$805,[1]مرداد!$O$2:$O$805,7202,[1]مرداد!$D$2:$D$805,$F$13,[1]مرداد!$AC$2:$AC$805,T3)</f>
        <v>0</v>
      </c>
      <c r="U13" s="759">
        <f>SUMIFS([1]مرداد!$AF$2:$AF$805,[1]مرداد!$O$2:$O$805,7202,[1]مرداد!$D$2:$D$805,$F$13,[1]مرداد!$AC$2:$AC$805,U3)</f>
        <v>0</v>
      </c>
    </row>
    <row r="14" spans="1:21" ht="33.75" customHeight="1" thickBot="1" x14ac:dyDescent="0.3">
      <c r="A14" s="986"/>
      <c r="B14" s="976"/>
      <c r="C14" s="934"/>
      <c r="D14" s="934"/>
      <c r="E14" s="934"/>
      <c r="F14" s="745" t="s">
        <v>191</v>
      </c>
      <c r="G14" s="6">
        <f t="shared" si="0"/>
        <v>18.5</v>
      </c>
      <c r="H14" s="761">
        <f t="shared" si="1"/>
        <v>0</v>
      </c>
      <c r="I14" s="6">
        <v>0</v>
      </c>
      <c r="J14" s="6">
        <v>0</v>
      </c>
      <c r="K14" s="6">
        <v>0</v>
      </c>
      <c r="L14" s="6">
        <v>0</v>
      </c>
      <c r="M14" s="6"/>
      <c r="N14" s="777"/>
      <c r="O14" s="274">
        <f>SUMIFS([1]مرداد!$AF$2:$AF$805,[1]مرداد!$O$2:$O$805,7202,[1]مرداد!$D$2:$D$805,"*",[1]مرداد!$AC$2:$AC$805,O3)-SUMIFS([1]مرداد!$AF$2:$AF$805,[1]مرداد!$O$2:$O$805,7202,[1]مرداد!$D$2:$D$805,$F$12,[1]مرداد!$AC$2:$AC$805,O3)</f>
        <v>18.5</v>
      </c>
      <c r="P14" s="275">
        <f>SUMIFS([1]مرداد!$AF$2:$AF$805,[1]مرداد!$O$2:$O$805,7202,[1]مرداد!$D$2:$D$805,"*",[1]مرداد!$AC$2:$AC$805,P3)-SUMIFS([1]مرداد!$AF$2:$AF$805,[1]مرداد!$O$2:$O$805,7202,[1]مرداد!$D$2:$D$805,$F$12,[1]مرداد!$AC$2:$AC$805,P3)</f>
        <v>0</v>
      </c>
      <c r="Q14" s="275">
        <f>SUMIFS([1]مرداد!$AF$2:$AF$805,[1]مرداد!$O$2:$O$805,7202,[1]مرداد!$D$2:$D$805,"*",[1]مرداد!$AC$2:$AC$805,Q3)-SUMIFS([1]مرداد!$AF$2:$AF$805,[1]مرداد!$O$2:$O$805,7202,[1]مرداد!$D$2:$D$805,$F$12,[1]مرداد!$AC$2:$AC$805,Q3)</f>
        <v>0</v>
      </c>
      <c r="R14" s="275">
        <f>SUMIFS([1]مرداد!$AF$2:$AF$805,[1]مرداد!$O$2:$O$805,7202,[1]مرداد!$D$2:$D$805,"*",[1]مرداد!$AC$2:$AC$805,R3)-SUMIFS([1]مرداد!$AF$2:$AF$805,[1]مرداد!$O$2:$O$805,7202,[1]مرداد!$D$2:$D$805,$F$12,[1]مرداد!$AC$2:$AC$805,R3)</f>
        <v>0</v>
      </c>
      <c r="S14" s="275">
        <f>SUMIFS([1]مرداد!$AF$2:$AF$805,[1]مرداد!$O$2:$O$805,7202,[1]مرداد!$D$2:$D$805,"*",[1]مرداد!$AC$2:$AC$805,S3)-SUMIFS([1]مرداد!$AF$2:$AF$805,[1]مرداد!$O$2:$O$805,7202,[1]مرداد!$D$2:$D$805,$F$12,[1]مرداد!$AC$2:$AC$805,S3)</f>
        <v>0</v>
      </c>
      <c r="T14" s="275">
        <f>SUMIFS([1]مرداد!$AF$2:$AF$805,[1]مرداد!$O$2:$O$805,7202,[1]مرداد!$D$2:$D$805,"*",[1]مرداد!$AC$2:$AC$805,T3)-SUMIFS([1]مرداد!$AF$2:$AF$805,[1]مرداد!$O$2:$O$805,7202,[1]مرداد!$D$2:$D$805,$F$12,[1]مرداد!$AC$2:$AC$805,T3)</f>
        <v>0</v>
      </c>
      <c r="U14" s="758">
        <f>SUMIFS([1]مرداد!$AF$2:$AF$805,[1]مرداد!$O$2:$O$805,7202,[1]مرداد!$D$2:$D$805,"*",[1]مرداد!$AC$2:$AC$805,U3)-SUMIFS([1]مرداد!$AF$2:$AF$805,[1]مرداد!$O$2:$O$805,7202,[1]مرداد!$D$2:$D$805,$F$12,[1]مرداد!$AC$2:$AC$805,U3)</f>
        <v>0</v>
      </c>
    </row>
    <row r="15" spans="1:21" ht="33.75" customHeight="1" x14ac:dyDescent="0.25">
      <c r="A15" s="985">
        <v>6</v>
      </c>
      <c r="B15" s="974" t="s">
        <v>18</v>
      </c>
      <c r="C15" s="932">
        <v>7203</v>
      </c>
      <c r="D15" s="932">
        <v>62.5</v>
      </c>
      <c r="E15" s="932" t="s">
        <v>15</v>
      </c>
      <c r="F15" s="20" t="s">
        <v>191</v>
      </c>
      <c r="G15" s="739">
        <f t="shared" ref="G15" si="2">SUM(O15:T15)</f>
        <v>22</v>
      </c>
      <c r="H15" s="46">
        <f t="shared" si="1"/>
        <v>0</v>
      </c>
      <c r="I15" s="739">
        <v>0</v>
      </c>
      <c r="J15" s="739">
        <v>0</v>
      </c>
      <c r="K15" s="739">
        <v>0</v>
      </c>
      <c r="L15" s="739">
        <v>0</v>
      </c>
      <c r="M15" s="739"/>
      <c r="N15" s="756"/>
      <c r="O15" s="356">
        <f>SUMIFS([1]مرداد!$AF$2:$AF$805,[1]مرداد!$O$2:$O$805,7203,[1]مرداد!$D$2:$D$805,$F$15,[1]مرداد!$AC$2:$AC$805,O3)</f>
        <v>11</v>
      </c>
      <c r="P15" s="356">
        <f>SUMIFS([1]مرداد!$AF$2:$AF$805,[1]مرداد!$O$2:$O$805,7203,[1]مرداد!$D$2:$D$805,$F$15,[1]مرداد!$AC$2:$AC$805,P3)</f>
        <v>11</v>
      </c>
      <c r="Q15" s="356">
        <f>SUMIFS([1]مرداد!$AF$2:$AF$805,[1]مرداد!$O$2:$O$805,7203,[1]مرداد!$D$2:$D$805,$F$15,[1]مرداد!$AC$2:$AC$805,Q3)</f>
        <v>0</v>
      </c>
      <c r="R15" s="356">
        <f>SUMIFS([1]مرداد!$AF$2:$AF$805,[1]مرداد!$O$2:$O$805,7203,[1]مرداد!$D$2:$D$805,$F$15,[1]مرداد!$AC$2:$AC$805,R3)</f>
        <v>0</v>
      </c>
      <c r="S15" s="356">
        <f>SUMIFS([1]مرداد!$AF$2:$AF$805,[1]مرداد!$O$2:$O$805,7203,[1]مرداد!$D$2:$D$805,$F$15,[1]مرداد!$AC$2:$AC$805,S3)</f>
        <v>0</v>
      </c>
      <c r="T15" s="356">
        <f>SUMIFS([1]مرداد!$AF$2:$AF$805,[1]مرداد!$O$2:$O$805,7203,[1]مرداد!$D$2:$D$805,$F$15,[1]مرداد!$AC$2:$AC$805,T3)</f>
        <v>0</v>
      </c>
      <c r="U15" s="757">
        <f>SUMIFS([1]مرداد!$AF$2:$AF$805,[1]مرداد!$O$2:$O$805,7203,[1]مرداد!$D$2:$D$805,$F$15,[1]مرداد!$AC$2:$AC$805,U3)</f>
        <v>0</v>
      </c>
    </row>
    <row r="16" spans="1:21" ht="33.75" customHeight="1" thickBot="1" x14ac:dyDescent="0.3">
      <c r="A16" s="987"/>
      <c r="B16" s="976"/>
      <c r="C16" s="934"/>
      <c r="D16" s="934"/>
      <c r="E16" s="934"/>
      <c r="F16" s="745" t="s">
        <v>45</v>
      </c>
      <c r="G16" s="6">
        <f t="shared" si="0"/>
        <v>22</v>
      </c>
      <c r="H16" s="761">
        <f t="shared" si="1"/>
        <v>0</v>
      </c>
      <c r="I16" s="6">
        <v>0</v>
      </c>
      <c r="J16" s="6">
        <v>0</v>
      </c>
      <c r="K16" s="6">
        <v>0</v>
      </c>
      <c r="L16" s="6">
        <v>0</v>
      </c>
      <c r="M16" s="6">
        <f>(G16+H16+I16+J16+K16)-D15</f>
        <v>-40.5</v>
      </c>
      <c r="N16" s="737"/>
      <c r="O16" s="353">
        <f>SUMIFS([1]مرداد!$AF$2:$AF$805,[1]مرداد!$O$2:$O$805,7203,[1]مرداد!$D$2:$D$805,$F$16,[1]مرداد!$AC$2:$AC$805,O3)</f>
        <v>0</v>
      </c>
      <c r="P16" s="353">
        <f>SUMIFS([1]مرداد!$AF$2:$AF$805,[1]مرداد!$O$2:$O$805,7203,[1]مرداد!$D$2:$D$805,$F$16,[1]مرداد!$AC$2:$AC$805,P3)</f>
        <v>0</v>
      </c>
      <c r="Q16" s="353">
        <f>SUMIFS([1]مرداد!$AF$2:$AF$805,[1]مرداد!$O$2:$O$805,7203,[1]مرداد!$D$2:$D$805,$F$16,[1]مرداد!$AC$2:$AC$805,Q3)</f>
        <v>11</v>
      </c>
      <c r="R16" s="353">
        <f>SUMIFS([1]مرداد!$AF$2:$AF$805,[1]مرداد!$O$2:$O$805,7203,[1]مرداد!$D$2:$D$805,$F$16,[1]مرداد!$AC$2:$AC$805,R3)</f>
        <v>11</v>
      </c>
      <c r="S16" s="353">
        <f>SUMIFS([1]مرداد!$AF$2:$AF$805,[1]مرداد!$O$2:$O$805,7203,[1]مرداد!$D$2:$D$805,$F$16,[1]مرداد!$AC$2:$AC$805,S3)</f>
        <v>0</v>
      </c>
      <c r="T16" s="353">
        <f>SUMIFS([1]مرداد!$AF$2:$AF$805,[1]مرداد!$O$2:$O$805,7203,[1]مرداد!$D$2:$D$805,$F$16,[1]مرداد!$AC$2:$AC$805,T3)</f>
        <v>0</v>
      </c>
      <c r="U16" s="746">
        <f>SUMIFS([1]مرداد!$AF$2:$AF$805,[1]مرداد!$O$2:$O$805,7203,[1]مرداد!$D$2:$D$805,$F$16,[1]مرداد!$AC$2:$AC$805,U3)</f>
        <v>0</v>
      </c>
    </row>
    <row r="17" spans="1:21" ht="33.75" customHeight="1" thickBot="1" x14ac:dyDescent="0.3">
      <c r="A17" s="733">
        <v>7</v>
      </c>
      <c r="B17" s="12" t="s">
        <v>18</v>
      </c>
      <c r="C17" s="13">
        <v>7204</v>
      </c>
      <c r="D17" s="13">
        <v>62.5</v>
      </c>
      <c r="E17" s="13" t="s">
        <v>15</v>
      </c>
      <c r="F17" s="16" t="s">
        <v>144</v>
      </c>
      <c r="G17" s="14">
        <f t="shared" si="0"/>
        <v>53.5</v>
      </c>
      <c r="H17" s="48">
        <f t="shared" si="1"/>
        <v>0</v>
      </c>
      <c r="I17" s="14">
        <v>0</v>
      </c>
      <c r="J17" s="14">
        <v>0</v>
      </c>
      <c r="K17" s="14">
        <v>0</v>
      </c>
      <c r="L17" s="14">
        <v>0</v>
      </c>
      <c r="M17" s="14">
        <f>SUM(G17:J17)-62</f>
        <v>-8.5</v>
      </c>
      <c r="N17" s="61"/>
      <c r="O17" s="295">
        <f>SUMIFS([1]مرداد!$AF$2:$AF$805,[1]مرداد!$O$2:$O$805,7204,[1]مرداد!$D$2:$D$805,$F$17,[1]مرداد!$AC$2:$AC$805,O3)</f>
        <v>11</v>
      </c>
      <c r="P17" s="295">
        <f>SUMIFS([1]مرداد!$AF$2:$AF$805,[1]مرداد!$O$2:$O$805,7204,[1]مرداد!$D$2:$D$805,$F$17,[1]مرداد!$AC$2:$AC$805,P3)</f>
        <v>7.5</v>
      </c>
      <c r="Q17" s="295">
        <f>SUMIFS([1]مرداد!$AF$2:$AF$805,[1]مرداد!$O$2:$O$805,7204,[1]مرداد!$D$2:$D$805,$F$17,[1]مرداد!$AC$2:$AC$805,Q3)</f>
        <v>11</v>
      </c>
      <c r="R17" s="295">
        <f>SUMIFS([1]مرداد!$AF$2:$AF$805,[1]مرداد!$O$2:$O$805,7204,[1]مرداد!$D$2:$D$805,$F$17,[1]مرداد!$AC$2:$AC$805,R3)</f>
        <v>11</v>
      </c>
      <c r="S17" s="295">
        <f>SUMIFS([1]مرداد!$AF$2:$AF$805,[1]مرداد!$O$2:$O$805,7204,[1]مرداد!$D$2:$D$805,$F$17,[1]مرداد!$AC$2:$AC$805,S3)</f>
        <v>6.5</v>
      </c>
      <c r="T17" s="295">
        <f>SUMIFS([1]مرداد!$AF$2:$AF$805,[1]مرداد!$O$2:$O$805,7204,[1]مرداد!$D$2:$D$805,$F$17,[1]مرداد!$AC$2:$AC$805,T3)</f>
        <v>6.5</v>
      </c>
      <c r="U17" s="744">
        <f>SUMIFS([1]مرداد!$AF$2:$AF$805,[1]مرداد!$O$2:$O$805,7204,[1]مرداد!$D$2:$D$805,$F$17,[1]مرداد!$AC$2:$AC$805,U3)</f>
        <v>0</v>
      </c>
    </row>
    <row r="18" spans="1:21" ht="33.75" customHeight="1" thickBot="1" x14ac:dyDescent="0.3">
      <c r="A18" s="45">
        <v>8</v>
      </c>
      <c r="B18" s="12" t="s">
        <v>21</v>
      </c>
      <c r="C18" s="13">
        <v>7301</v>
      </c>
      <c r="D18" s="13">
        <v>62.5</v>
      </c>
      <c r="E18" s="13" t="s">
        <v>15</v>
      </c>
      <c r="F18" s="19" t="s">
        <v>22</v>
      </c>
      <c r="G18" s="14">
        <f t="shared" si="0"/>
        <v>44</v>
      </c>
      <c r="H18" s="48">
        <f t="shared" si="1"/>
        <v>0</v>
      </c>
      <c r="I18" s="14">
        <v>0</v>
      </c>
      <c r="J18" s="14">
        <v>0</v>
      </c>
      <c r="K18" s="14">
        <v>0</v>
      </c>
      <c r="L18" s="14">
        <v>0</v>
      </c>
      <c r="M18" s="14">
        <f>SUM(G18:L18)-D18</f>
        <v>-18.5</v>
      </c>
      <c r="N18" s="15"/>
      <c r="O18" s="176">
        <f>SUMIFS([1]مرداد!$AF$2:$AF$805,[1]مرداد!$O$2:$O$805,7301,[1]مرداد!$D$2:$D$805,$F$18,[1]مرداد!$AC$2:$AC$805,O3)</f>
        <v>11</v>
      </c>
      <c r="P18" s="177">
        <f>SUMIFS([1]مرداد!$AF$2:$AF$805,[1]مرداد!$O$2:$O$805,7301,[1]مرداد!$D$2:$D$805,$F$18,[1]مرداد!$AC$2:$AC$805,P3)</f>
        <v>11</v>
      </c>
      <c r="Q18" s="177">
        <f>SUMIFS([1]مرداد!$AF$2:$AF$805,[1]مرداد!$O$2:$O$805,7301,[1]مرداد!$D$2:$D$805,$F$18,[1]مرداد!$AC$2:$AC$805,Q3)</f>
        <v>11</v>
      </c>
      <c r="R18" s="177">
        <f>SUMIFS([1]مرداد!$AF$2:$AF$805,[1]مرداد!$O$2:$O$805,7301,[1]مرداد!$D$2:$D$805,$F$18,[1]مرداد!$AC$2:$AC$805,R3)</f>
        <v>11</v>
      </c>
      <c r="S18" s="177">
        <f>SUMIFS([1]مرداد!$AF$2:$AF$805,[1]مرداد!$O$2:$O$805,7301,[1]مرداد!$D$2:$D$805,$F$18,[1]مرداد!$AC$2:$AC$805,S3)</f>
        <v>0</v>
      </c>
      <c r="T18" s="177">
        <f>SUMIFS([1]مرداد!$AF$2:$AF$805,[1]مرداد!$O$2:$O$805,7301,[1]مرداد!$D$2:$D$805,$F$18,[1]مرداد!$AC$2:$AC$805,T3)</f>
        <v>0</v>
      </c>
      <c r="U18" s="178">
        <f>SUMIFS([1]مرداد!$AF$2:$AF$805,[1]مرداد!$O$2:$O$805,7301,[1]مرداد!$D$2:$D$805,$F$18,[1]مرداد!$AC$2:$AC$805,U3)</f>
        <v>0</v>
      </c>
    </row>
    <row r="19" spans="1:21" ht="33.75" customHeight="1" x14ac:dyDescent="0.25">
      <c r="A19" s="731"/>
      <c r="B19" s="729"/>
      <c r="C19" s="740"/>
      <c r="D19" s="708"/>
      <c r="E19" s="933" t="s">
        <v>15</v>
      </c>
      <c r="F19" s="27"/>
      <c r="G19" s="1">
        <f t="shared" si="0"/>
        <v>0</v>
      </c>
      <c r="H19" s="49">
        <f t="shared" si="1"/>
        <v>0</v>
      </c>
      <c r="I19" s="1">
        <v>0</v>
      </c>
      <c r="J19" s="1">
        <v>0</v>
      </c>
      <c r="K19" s="1">
        <v>0</v>
      </c>
      <c r="L19" s="1">
        <v>0</v>
      </c>
      <c r="M19" s="4"/>
      <c r="N19" s="928" t="s">
        <v>200</v>
      </c>
      <c r="O19" s="356">
        <f>SUMIFS([1]تیر!$AF$2:$AF$805,[1]تیر!$O$2:$O$805,7302,[1]تیر!$D$2:$D$805,$F$19,[1]تیر!$AC$2:$AC$805,O3)</f>
        <v>0</v>
      </c>
      <c r="P19" s="174">
        <f>SUMIFS([1]تیر!$AF$2:$AF$805,[1]تیر!$O$2:$O$805,7302,[1]تیر!$D$2:$D$805,$F$19,[1]تیر!$AC$2:$AC$805,P3)</f>
        <v>0</v>
      </c>
      <c r="Q19" s="174">
        <f>SUMIFS([1]تیر!$AF$2:$AF$805,[1]تیر!$O$2:$O$805,7302,[1]تیر!$D$2:$D$805,$F$19,[1]تیر!$AC$2:$AC$805,Q3)</f>
        <v>0</v>
      </c>
      <c r="R19" s="174">
        <f>SUMIFS([1]تیر!$AF$2:$AF$805,[1]تیر!$O$2:$O$805,7302,[1]تیر!$D$2:$D$805,$F$19,[1]تیر!$AC$2:$AC$805,R3)</f>
        <v>0</v>
      </c>
      <c r="S19" s="174">
        <f>SUMIFS([1]تیر!$AF$2:$AF$805,[1]تیر!$O$2:$O$805,7302,[1]تیر!$D$2:$D$805,$F$19,[1]تیر!$AC$2:$AC$805,S3)</f>
        <v>0</v>
      </c>
      <c r="T19" s="174">
        <f>SUMIFS([1]تیر!$AF$2:$AF$805,[1]تیر!$O$2:$O$805,7302,[1]تیر!$D$2:$D$805,$F$19,[1]تیر!$AC$2:$AC$805,T3)</f>
        <v>0</v>
      </c>
      <c r="U19" s="110">
        <f>SUMIFS([1]تیر!$AF$2:$AF$805,[1]تیر!$O$2:$O$805,7302,[1]تیر!$D$2:$D$805,$F$19,[1]تیر!$AC$2:$AC$805,U3)</f>
        <v>0</v>
      </c>
    </row>
    <row r="20" spans="1:21" ht="33.75" customHeight="1" x14ac:dyDescent="0.25">
      <c r="A20" s="732">
        <v>9</v>
      </c>
      <c r="B20" s="722" t="s">
        <v>21</v>
      </c>
      <c r="C20" s="588">
        <v>7302</v>
      </c>
      <c r="D20" s="708">
        <v>62.5</v>
      </c>
      <c r="E20" s="1003"/>
      <c r="F20" s="27" t="s">
        <v>17</v>
      </c>
      <c r="G20" s="3">
        <f t="shared" si="0"/>
        <v>20</v>
      </c>
      <c r="H20" s="47">
        <f t="shared" si="1"/>
        <v>0</v>
      </c>
      <c r="I20" s="3">
        <v>0</v>
      </c>
      <c r="J20" s="3">
        <v>0</v>
      </c>
      <c r="K20" s="3">
        <v>0</v>
      </c>
      <c r="L20" s="3">
        <v>0</v>
      </c>
      <c r="M20" s="4">
        <f>SUM(G19:L21)-D20</f>
        <v>-42.5</v>
      </c>
      <c r="N20" s="929"/>
      <c r="O20" s="293">
        <f>SUMIFS([1]مرداد!$AF$2:$AF$805,[1]مرداد!$O$2:$O$805,7302,[1]مرداد!$D$2:$D$805,$F$20,[1]مرداد!$AC$2:$AC$805,O3)</f>
        <v>9</v>
      </c>
      <c r="P20" s="293">
        <f>SUMIFS([1]مرداد!$AF$2:$AF$805,[1]مرداد!$O$2:$O$805,7302,[1]مرداد!$D$2:$D$805,$F$20,[1]مرداد!$AC$2:$AC$805,P3)</f>
        <v>11</v>
      </c>
      <c r="Q20" s="293">
        <f>SUMIFS([1]مرداد!$AF$2:$AF$805,[1]مرداد!$O$2:$O$805,7302,[1]مرداد!$D$2:$D$805,$F$20,[1]مرداد!$AC$2:$AC$805,Q3)</f>
        <v>0</v>
      </c>
      <c r="R20" s="293">
        <f>SUMIFS([1]مرداد!$AF$2:$AF$805,[1]مرداد!$O$2:$O$805,7302,[1]مرداد!$D$2:$D$805,$F$20,[1]مرداد!$AC$2:$AC$805,R3)</f>
        <v>0</v>
      </c>
      <c r="S20" s="293">
        <f>SUMIFS([1]مرداد!$AF$2:$AF$805,[1]مرداد!$O$2:$O$805,7302,[1]مرداد!$D$2:$D$805,$F$20,[1]مرداد!$AC$2:$AC$805,S3)</f>
        <v>0</v>
      </c>
      <c r="T20" s="293">
        <f>SUMIFS([1]مرداد!$AF$2:$AF$805,[1]مرداد!$O$2:$O$805,7302,[1]مرداد!$D$2:$D$805,$F$20,[1]مرداد!$AC$2:$AC$805,T3)</f>
        <v>0</v>
      </c>
      <c r="U20" s="293">
        <f>SUMIFS([1]مرداد!$AF$2:$AF$805,[1]مرداد!$O$2:$O$805,7302,[1]مرداد!$D$2:$D$805,$F$20,[1]مرداد!$AC$2:$AC$805,U3)</f>
        <v>0</v>
      </c>
    </row>
    <row r="21" spans="1:21" ht="33.75" customHeight="1" thickBot="1" x14ac:dyDescent="0.3">
      <c r="A21" s="733"/>
      <c r="B21" s="729"/>
      <c r="C21" s="740"/>
      <c r="D21" s="708"/>
      <c r="E21" s="933"/>
      <c r="F21" s="24"/>
      <c r="G21" s="4">
        <f t="shared" si="0"/>
        <v>0</v>
      </c>
      <c r="H21" s="765">
        <f t="shared" si="1"/>
        <v>0</v>
      </c>
      <c r="I21" s="25">
        <v>0</v>
      </c>
      <c r="J21" s="25">
        <v>0</v>
      </c>
      <c r="K21" s="4">
        <v>0</v>
      </c>
      <c r="L21" s="4">
        <v>0</v>
      </c>
      <c r="M21" s="4"/>
      <c r="N21" s="929"/>
      <c r="O21" s="352">
        <f>SUMIFS([1]اردیبهشت!$AD$2:$AD$805,[1]اردیبهشت!$N$2:$N$805,$C$20,[1]اردیبهشت!$D$2:$D$805,$F$20,[1]اردیبهشت!$AA$2:$AA$805,O4)</f>
        <v>0</v>
      </c>
      <c r="P21" s="175">
        <f>SUMIFS([1]اردیبهشت!$AD$2:$AD$805,[1]اردیبهشت!$N$2:$N$805,$C$20,[1]اردیبهشت!$D$2:$D$805,$F$20,[1]اردیبهشت!$AA$2:$AA$805,P4)</f>
        <v>0</v>
      </c>
      <c r="Q21" s="175">
        <f>SUMIFS([1]اردیبهشت!$AD$2:$AD$805,[1]اردیبهشت!$N$2:$N$805,$C$20,[1]اردیبهشت!$D$2:$D$805,$F$20,[1]اردیبهشت!$AA$2:$AA$805,Q4)</f>
        <v>0</v>
      </c>
      <c r="R21" s="175">
        <f>SUMIFS([1]اردیبهشت!$AD$2:$AD$805,[1]اردیبهشت!$N$2:$N$805,$C$20,[1]اردیبهشت!$D$2:$D$805,$F$20,[1]اردیبهشت!$AA$2:$AA$805,R4)</f>
        <v>0</v>
      </c>
      <c r="S21" s="175">
        <f>SUMIFS([1]اردیبهشت!$AD$2:$AD$805,[1]اردیبهشت!$N$2:$N$805,$C$20,[1]اردیبهشت!$D$2:$D$805,$F$20,[1]اردیبهشت!$AA$2:$AA$805,S4)</f>
        <v>0</v>
      </c>
      <c r="T21" s="175">
        <f>SUMIFS([1]اردیبهشت!$AD$2:$AD$805,[1]اردیبهشت!$N$2:$N$805,$C$20,[1]اردیبهشت!$D$2:$D$805,$F$20,[1]اردیبهشت!$AA$2:$AA$805,T4)</f>
        <v>0</v>
      </c>
      <c r="U21" s="114">
        <f>SUMIFS([1]خرداد!$AF$2:$AF$700,[1]خرداد!$O$2:$O$700,7101,[1]خرداد!$D$2:$D$700,$F$4,[1]خرداد!$AC$2:$AC$700,U20)</f>
        <v>0</v>
      </c>
    </row>
    <row r="22" spans="1:21" ht="33.75" customHeight="1" thickBot="1" x14ac:dyDescent="0.3">
      <c r="A22" s="147">
        <v>10</v>
      </c>
      <c r="B22" s="207" t="s">
        <v>21</v>
      </c>
      <c r="C22" s="129">
        <v>7303</v>
      </c>
      <c r="D22" s="129">
        <v>44</v>
      </c>
      <c r="E22" s="129" t="s">
        <v>19</v>
      </c>
      <c r="F22" s="16" t="s">
        <v>20</v>
      </c>
      <c r="G22" s="209">
        <f t="shared" si="0"/>
        <v>0</v>
      </c>
      <c r="H22" s="48">
        <f t="shared" si="1"/>
        <v>0</v>
      </c>
      <c r="I22" s="209">
        <v>0</v>
      </c>
      <c r="J22" s="209">
        <v>0</v>
      </c>
      <c r="K22" s="209">
        <v>0</v>
      </c>
      <c r="L22" s="209">
        <v>0</v>
      </c>
      <c r="M22" s="209">
        <f>SUM(G22:L22)-44</f>
        <v>-44</v>
      </c>
      <c r="N22" s="313" t="s">
        <v>40</v>
      </c>
      <c r="O22" s="297">
        <f>SUMIFS([1]مرداد!$AF$2:$AF$805,[1]مرداد!$O$2:$O$805,7303,[1]مرداد!$D$2:$D$805,$F$22,[1]مرداد!$AC$2:$AC$805,O3)</f>
        <v>0</v>
      </c>
      <c r="P22" s="297">
        <f>SUMIFS([1]مرداد!$AF$2:$AF$805,[1]مرداد!$O$2:$O$805,7303,[1]مرداد!$D$2:$D$805,$F$22,[1]مرداد!$AC$2:$AC$805,P3)</f>
        <v>0</v>
      </c>
      <c r="Q22" s="297">
        <f>SUMIFS([1]مرداد!$AF$2:$AF$805,[1]مرداد!$O$2:$O$805,7303,[1]مرداد!$D$2:$D$805,$F$22,[1]مرداد!$AC$2:$AC$805,Q3)</f>
        <v>0</v>
      </c>
      <c r="R22" s="297">
        <f>SUMIFS([1]مرداد!$AF$2:$AF$805,[1]مرداد!$O$2:$O$805,7303,[1]مرداد!$D$2:$D$805,$F$22,[1]مرداد!$AC$2:$AC$805,R3)</f>
        <v>0</v>
      </c>
      <c r="S22" s="297">
        <f>SUMIFS([1]مرداد!$AF$2:$AF$805,[1]مرداد!$O$2:$O$805,7303,[1]مرداد!$D$2:$D$805,$F$22,[1]مرداد!$AC$2:$AC$805,S3)</f>
        <v>0</v>
      </c>
      <c r="T22" s="297">
        <f>SUMIFS([1]مرداد!$AF$2:$AF$805,[1]مرداد!$O$2:$O$805,7303,[1]مرداد!$D$2:$D$805,$F$22,[1]مرداد!$AC$2:$AC$805,T3)</f>
        <v>0</v>
      </c>
      <c r="U22" s="360">
        <f>SUMIFS([1]مرداد!$AF$2:$AF$805,[1]مرداد!$O$2:$O$805,7303,[1]مرداد!$D$2:$D$805,$F$22,[1]مرداد!$AC$2:$AC$805,U3)</f>
        <v>0</v>
      </c>
    </row>
    <row r="23" spans="1:21" ht="33.75" customHeight="1" x14ac:dyDescent="0.25">
      <c r="A23" s="731"/>
      <c r="B23" s="729"/>
      <c r="C23" s="740"/>
      <c r="D23" s="708"/>
      <c r="E23" s="933" t="s">
        <v>15</v>
      </c>
      <c r="F23" s="66"/>
      <c r="G23" s="1">
        <f t="shared" si="0"/>
        <v>0</v>
      </c>
      <c r="H23" s="49">
        <f t="shared" si="1"/>
        <v>0</v>
      </c>
      <c r="I23" s="1">
        <v>0</v>
      </c>
      <c r="J23" s="1">
        <v>0</v>
      </c>
      <c r="K23" s="1">
        <v>0</v>
      </c>
      <c r="L23" s="1">
        <v>0</v>
      </c>
      <c r="M23" s="4"/>
      <c r="N23" s="1011" t="s">
        <v>180</v>
      </c>
      <c r="O23" s="356">
        <f>SUMIFS([1]تیر!$AF$2:$AF$805,[1]تیر!$O$2:$O$805,7401,[1]تیر!$D$2:$D$805,$F$23,[1]تیر!$AC$2:$AC$805,O3)</f>
        <v>0</v>
      </c>
      <c r="P23" s="174">
        <f>SUMIFS([1]تیر!$AF$2:$AF$805,[1]تیر!$O$2:$O$805,7401,[1]تیر!$D$2:$D$805,$F$23,[1]تیر!$AC$2:$AC$805,P3)</f>
        <v>0</v>
      </c>
      <c r="Q23" s="174">
        <f>SUMIFS([1]تیر!$AF$2:$AF$805,[1]تیر!$O$2:$O$805,7401,[1]تیر!$D$2:$D$805,$F$23,[1]تیر!$AC$2:$AC$805,Q3)</f>
        <v>0</v>
      </c>
      <c r="R23" s="174">
        <f>SUMIFS([1]تیر!$AF$2:$AF$805,[1]تیر!$O$2:$O$805,7401,[1]تیر!$D$2:$D$805,$F$23,[1]تیر!$AC$2:$AC$805,R3)</f>
        <v>0</v>
      </c>
      <c r="S23" s="174">
        <f>SUMIFS([1]تیر!$AF$2:$AF$805,[1]تیر!$O$2:$O$805,7401,[1]تیر!$D$2:$D$805,$F$23,[1]تیر!$AC$2:$AC$805,S3)</f>
        <v>0</v>
      </c>
      <c r="T23" s="174">
        <f>SUMIFS([1]تیر!$AF$2:$AF$805,[1]تیر!$O$2:$O$805,7401,[1]تیر!$D$2:$D$805,$F$23,[1]تیر!$AC$2:$AC$805,T3)</f>
        <v>0</v>
      </c>
      <c r="U23" s="110">
        <f>SUMIFS([1]تیر!$AF$2:$AF$805,[1]تیر!$O$2:$O$805,7401,[1]تیر!$D$2:$D$805,$F$23,[1]تیر!$AC$2:$AC$805,U3)</f>
        <v>0</v>
      </c>
    </row>
    <row r="24" spans="1:21" ht="33.75" customHeight="1" x14ac:dyDescent="0.25">
      <c r="A24" s="732">
        <v>11</v>
      </c>
      <c r="B24" s="722" t="s">
        <v>24</v>
      </c>
      <c r="C24" s="708">
        <v>7401</v>
      </c>
      <c r="D24" s="708">
        <v>62.5</v>
      </c>
      <c r="E24" s="1003"/>
      <c r="F24" s="22" t="s">
        <v>16</v>
      </c>
      <c r="G24" s="3">
        <f t="shared" si="0"/>
        <v>12.5</v>
      </c>
      <c r="H24" s="47">
        <f t="shared" si="1"/>
        <v>0</v>
      </c>
      <c r="I24" s="3">
        <v>0</v>
      </c>
      <c r="J24" s="3">
        <v>0</v>
      </c>
      <c r="K24" s="3">
        <v>0</v>
      </c>
      <c r="L24" s="205">
        <v>0</v>
      </c>
      <c r="M24" s="4">
        <f>SUM(G23:L25)-D24</f>
        <v>-50</v>
      </c>
      <c r="N24" s="1005"/>
      <c r="O24" s="293">
        <f>SUMIFS([1]مرداد!$AF$2:$AF$805,[1]مرداد!$O$2:$O$805,7401,[1]مرداد!$D$2:$D$805,$F$24,[1]مرداد!$AC$2:$AC$805,O3)</f>
        <v>0</v>
      </c>
      <c r="P24" s="293">
        <f>SUMIFS([1]مرداد!$AF$2:$AF$805,[1]مرداد!$O$2:$O$805,7401,[1]مرداد!$D$2:$D$805,$F$24,[1]مرداد!$AC$2:$AC$805,P3)</f>
        <v>1</v>
      </c>
      <c r="Q24" s="293">
        <f>SUMIFS([1]مرداد!$AF$2:$AF$805,[1]مرداد!$O$2:$O$805,7401,[1]مرداد!$D$2:$D$805,$F$24,[1]مرداد!$AC$2:$AC$805,Q3)</f>
        <v>0</v>
      </c>
      <c r="R24" s="293">
        <f>SUMIFS([1]مرداد!$AF$2:$AF$805,[1]مرداد!$O$2:$O$805,7401,[1]مرداد!$D$2:$D$805,$F$24,[1]مرداد!$AC$2:$AC$805,R3)</f>
        <v>5</v>
      </c>
      <c r="S24" s="293">
        <f>SUMIFS([1]مرداد!$AF$2:$AF$805,[1]مرداد!$O$2:$O$805,7401,[1]مرداد!$D$2:$D$805,$F$24,[1]مرداد!$AC$2:$AC$805,S3)</f>
        <v>6.5</v>
      </c>
      <c r="T24" s="293">
        <f>SUMIFS([1]مرداد!$AF$2:$AF$805,[1]مرداد!$O$2:$O$805,7401,[1]مرداد!$D$2:$D$805,$F$24,[1]مرداد!$AC$2:$AC$805,T3)</f>
        <v>0</v>
      </c>
      <c r="U24" s="361">
        <f>SUMIFS([1]مرداد!$AF$2:$AF$805,[1]مرداد!$O$2:$O$805,7401,[1]مرداد!$D$2:$D$805,$F$24,[1]مرداد!$AC$2:$AC$805,U3)</f>
        <v>0</v>
      </c>
    </row>
    <row r="25" spans="1:21" ht="33.75" customHeight="1" thickBot="1" x14ac:dyDescent="0.3">
      <c r="A25" s="732"/>
      <c r="B25" s="729"/>
      <c r="C25" s="740"/>
      <c r="D25" s="708"/>
      <c r="E25" s="933"/>
      <c r="F25" s="24"/>
      <c r="G25" s="4">
        <f t="shared" si="0"/>
        <v>0</v>
      </c>
      <c r="H25" s="765">
        <f t="shared" si="1"/>
        <v>0</v>
      </c>
      <c r="I25" s="25">
        <v>0</v>
      </c>
      <c r="J25" s="25">
        <v>0</v>
      </c>
      <c r="K25" s="4">
        <v>0</v>
      </c>
      <c r="L25" s="4">
        <v>0</v>
      </c>
      <c r="M25" s="4"/>
      <c r="N25" s="1012"/>
      <c r="O25" s="352">
        <f>SUMIFS([1]تیر!$AF$2:$AF$805,[1]تیر!$O$2:$O$805,7401,[1]تیر!$D$2:$D$805,$F$25,[1]تیر!$AC$2:$AC$805,O3)</f>
        <v>0</v>
      </c>
      <c r="P25" s="175">
        <f>SUMIFS([1]تیر!$AF$2:$AF$805,[1]تیر!$O$2:$O$805,7401,[1]تیر!$D$2:$D$805,$F$25,[1]تیر!$AC$2:$AC$805,P3)</f>
        <v>0</v>
      </c>
      <c r="Q25" s="175">
        <f>SUMIFS([1]تیر!$AF$2:$AF$805,[1]تیر!$O$2:$O$805,7401,[1]تیر!$D$2:$D$805,$F$25,[1]تیر!$AC$2:$AC$805,Q3)</f>
        <v>0</v>
      </c>
      <c r="R25" s="175">
        <f>SUMIFS([1]تیر!$AF$2:$AF$805,[1]تیر!$O$2:$O$805,7401,[1]تیر!$D$2:$D$805,$F$25,[1]تیر!$AC$2:$AC$805,R3)</f>
        <v>0</v>
      </c>
      <c r="S25" s="175">
        <f>SUMIFS([1]تیر!$AF$2:$AF$805,[1]تیر!$O$2:$O$805,7401,[1]تیر!$D$2:$D$805,$F$25,[1]تیر!$AC$2:$AC$805,S3)</f>
        <v>0</v>
      </c>
      <c r="T25" s="175">
        <f>SUMIFS([1]تیر!$AF$2:$AF$805,[1]تیر!$O$2:$O$805,7401,[1]تیر!$D$2:$D$805,$F$25,[1]تیر!$AC$2:$AC$805,T3)</f>
        <v>0</v>
      </c>
      <c r="U25" s="114">
        <f>SUMIFS([1]تیر!$AF$2:$AF$805,[1]تیر!$O$2:$O$805,7401,[1]تیر!$D$2:$D$805,$F$25,[1]تیر!$AC$2:$AC$805,U3)</f>
        <v>0</v>
      </c>
    </row>
    <row r="26" spans="1:21" ht="33.75" customHeight="1" thickBot="1" x14ac:dyDescent="0.3">
      <c r="A26" s="766"/>
      <c r="B26" s="12"/>
      <c r="C26" s="13"/>
      <c r="D26" s="13"/>
      <c r="E26" s="767" t="s">
        <v>15</v>
      </c>
      <c r="F26" s="16"/>
      <c r="G26" s="14">
        <f t="shared" si="0"/>
        <v>0</v>
      </c>
      <c r="H26" s="48">
        <f t="shared" si="1"/>
        <v>0</v>
      </c>
      <c r="I26" s="14">
        <v>0</v>
      </c>
      <c r="J26" s="14">
        <v>0</v>
      </c>
      <c r="K26" s="14">
        <v>0</v>
      </c>
      <c r="L26" s="14">
        <v>0</v>
      </c>
      <c r="M26" s="14"/>
      <c r="N26" s="768"/>
      <c r="O26" s="295">
        <f>SUMIFS([1]اردیبهشت!$AD$2:$AD$805,[1]اردیبهشت!$N$2:$N$805,$C$26,[1]اردیبهشت!$D$2:$D$805,$F$26,[1]اردیبهشت!$AA$2:$AA$805,O3)</f>
        <v>0</v>
      </c>
      <c r="P26" s="177">
        <f>SUMIFS([1]اردیبهشت!$AD$2:$AD$805,[1]اردیبهشت!$N$2:$N$805,$C$26,[1]اردیبهشت!$D$2:$D$805,$F$26,[1]اردیبهشت!$AA$2:$AA$805,P3)</f>
        <v>0</v>
      </c>
      <c r="Q26" s="177">
        <f>SUMIFS([1]اردیبهشت!$AD$2:$AD$805,[1]اردیبهشت!$N$2:$N$805,$C$26,[1]اردیبهشت!$D$2:$D$805,$F$26,[1]اردیبهشت!$AA$2:$AA$805,Q3)</f>
        <v>0</v>
      </c>
      <c r="R26" s="177">
        <f>SUMIFS([1]اردیبهشت!$AD$2:$AD$805,[1]اردیبهشت!$N$2:$N$805,$C$26,[1]اردیبهشت!$D$2:$D$805,$F$26,[1]اردیبهشت!$AA$2:$AA$805,R3)</f>
        <v>0</v>
      </c>
      <c r="S26" s="177">
        <f>SUMIFS([1]اردیبهشت!$AD$2:$AD$805,[1]اردیبهشت!$N$2:$N$805,$C$26,[1]اردیبهشت!$D$2:$D$805,$F$26,[1]اردیبهشت!$AA$2:$AA$805,S3)</f>
        <v>0</v>
      </c>
      <c r="T26" s="177">
        <f>SUMIFS([1]اردیبهشت!$AD$2:$AD$805,[1]اردیبهشت!$N$2:$N$805,$C$26,[1]اردیبهشت!$D$2:$D$805,$F$26,[1]اردیبهشت!$AA$2:$AA$805,T3)</f>
        <v>0</v>
      </c>
      <c r="U26" s="113">
        <f>SUMIFS([1]خرداد!$AF$2:$AF$700,[1]خرداد!$O$2:$O$700,7101,[1]خرداد!$D$2:$D$700,$F$4,[1]خرداد!$AC$2:$AC$700,U25)</f>
        <v>0</v>
      </c>
    </row>
    <row r="27" spans="1:21" ht="33.75" customHeight="1" thickBot="1" x14ac:dyDescent="0.3">
      <c r="A27" s="12">
        <v>12</v>
      </c>
      <c r="B27" s="709" t="s">
        <v>25</v>
      </c>
      <c r="C27" s="709">
        <v>7501</v>
      </c>
      <c r="D27" s="709">
        <v>62.5</v>
      </c>
      <c r="E27" s="709" t="s">
        <v>15</v>
      </c>
      <c r="F27" s="745" t="s">
        <v>36</v>
      </c>
      <c r="G27" s="6">
        <f t="shared" si="0"/>
        <v>42</v>
      </c>
      <c r="H27" s="49">
        <f t="shared" si="1"/>
        <v>0</v>
      </c>
      <c r="I27" s="6">
        <v>0</v>
      </c>
      <c r="J27" s="6">
        <v>0</v>
      </c>
      <c r="K27" s="6">
        <v>0</v>
      </c>
      <c r="L27" s="6">
        <v>0</v>
      </c>
      <c r="M27" s="6">
        <f>SUM(G26:L28)-D27</f>
        <v>-20.5</v>
      </c>
      <c r="N27" s="706"/>
      <c r="O27" s="353">
        <f>SUMIFS([1]مرداد!$AF$2:$AF$805,[1]مرداد!$O$2:$O$805,7501,[1]مرداد!$D$2:$D$805,$F$27,[1]مرداد!$AC$2:$AC$805,O3)</f>
        <v>3</v>
      </c>
      <c r="P27" s="747">
        <f>SUMIFS([1]مرداد!$AF$2:$AF$805,[1]مرداد!$O$2:$O$805,7501,[1]مرداد!$D$2:$D$805,$F$27,[1]مرداد!$AC$2:$AC$805,P3)</f>
        <v>11</v>
      </c>
      <c r="Q27" s="747">
        <f>SUMIFS([1]مرداد!$AF$2:$AF$805,[1]مرداد!$O$2:$O$805,7501,[1]مرداد!$D$2:$D$805,$F$27,[1]مرداد!$AC$2:$AC$805,Q3)</f>
        <v>11</v>
      </c>
      <c r="R27" s="747">
        <f>SUMIFS([1]مرداد!$AF$2:$AF$805,[1]مرداد!$O$2:$O$805,7501,[1]مرداد!$D$2:$D$805,$F$27,[1]مرداد!$AC$2:$AC$805,R3)</f>
        <v>11</v>
      </c>
      <c r="S27" s="747">
        <f>SUMIFS([1]مرداد!$AF$2:$AF$805,[1]مرداد!$O$2:$O$805,7501,[1]مرداد!$D$2:$D$805,$F$27,[1]مرداد!$AC$2:$AC$805,S3)</f>
        <v>6</v>
      </c>
      <c r="T27" s="747">
        <f>SUMIFS([1]مرداد!$AF$2:$AF$805,[1]مرداد!$O$2:$O$805,7501,[1]مرداد!$D$2:$D$805,$F$27,[1]مرداد!$AC$2:$AC$805,T3)</f>
        <v>0</v>
      </c>
      <c r="U27" s="764">
        <f>SUMIFS([1]مرداد!$AF$2:$AF$805,[1]مرداد!$O$2:$O$805,7501,[1]مرداد!$D$2:$D$805,$F$27,[1]مرداد!$AC$2:$AC$805,U3)</f>
        <v>0</v>
      </c>
    </row>
    <row r="28" spans="1:21" ht="33.75" hidden="1" customHeight="1" thickBot="1" x14ac:dyDescent="0.3">
      <c r="A28" s="730"/>
      <c r="B28" s="708"/>
      <c r="C28" s="708"/>
      <c r="D28" s="708"/>
      <c r="E28" s="750"/>
      <c r="F28" s="66"/>
      <c r="G28" s="4">
        <f t="shared" si="0"/>
        <v>0</v>
      </c>
      <c r="H28" s="765">
        <f t="shared" si="1"/>
        <v>0</v>
      </c>
      <c r="I28" s="4">
        <v>0</v>
      </c>
      <c r="J28" s="4">
        <v>0</v>
      </c>
      <c r="K28" s="4">
        <v>0</v>
      </c>
      <c r="L28" s="4">
        <v>0</v>
      </c>
      <c r="M28" s="4"/>
      <c r="N28" s="705"/>
      <c r="O28" s="577">
        <f>SUMIFS([1]تیر!$AF$2:$AF$805,[1]تیر!$O$2:$O$805,7501,[1]تیر!$D$2:$D$805,$F$28,[1]تیر!$AC$2:$AC$805,O3)</f>
        <v>0</v>
      </c>
      <c r="P28" s="202">
        <f>SUMIFS([1]تیر!$AF$2:$AF$805,[1]تیر!$O$2:$O$805,7501,[1]تیر!$D$2:$D$805,$F$28,[1]تیر!$AC$2:$AC$805,P3)</f>
        <v>0</v>
      </c>
      <c r="Q28" s="202">
        <f>SUMIFS([1]تیر!$AF$2:$AF$805,[1]تیر!$O$2:$O$805,7501,[1]تیر!$D$2:$D$805,$F$28,[1]تیر!$AC$2:$AC$805,Q3)</f>
        <v>0</v>
      </c>
      <c r="R28" s="202">
        <f>SUMIFS([1]تیر!$AF$2:$AF$805,[1]تیر!$O$2:$O$805,7501,[1]تیر!$D$2:$D$805,$F$28,[1]تیر!$AC$2:$AC$805,R3)</f>
        <v>0</v>
      </c>
      <c r="S28" s="202">
        <f>SUMIFS([1]تیر!$AF$2:$AF$805,[1]تیر!$O$2:$O$805,7501,[1]تیر!$D$2:$D$805,$F$28,[1]تیر!$AC$2:$AC$805,S3)</f>
        <v>0</v>
      </c>
      <c r="T28" s="202">
        <f>SUMIFS([1]تیر!$AF$2:$AF$805,[1]تیر!$O$2:$O$805,7501,[1]تیر!$D$2:$D$805,$F$28,[1]تیر!$AC$2:$AC$805,T3)</f>
        <v>0</v>
      </c>
      <c r="U28" s="120">
        <f>SUMIFS([1]تیر!$AF$2:$AF$805,[1]تیر!$O$2:$O$805,7501,[1]تیر!$D$2:$D$805,$F$28,[1]تیر!$AC$2:$AC$805,U3)</f>
        <v>0</v>
      </c>
    </row>
    <row r="29" spans="1:21" ht="33.75" hidden="1" customHeight="1" thickBot="1" x14ac:dyDescent="0.3">
      <c r="A29" s="732"/>
      <c r="B29" s="12"/>
      <c r="C29" s="13"/>
      <c r="D29" s="13"/>
      <c r="E29" s="767"/>
      <c r="F29" s="16"/>
      <c r="G29" s="14">
        <f t="shared" si="0"/>
        <v>0</v>
      </c>
      <c r="H29" s="48">
        <f t="shared" si="1"/>
        <v>0</v>
      </c>
      <c r="I29" s="209">
        <v>0</v>
      </c>
      <c r="J29" s="209">
        <v>0</v>
      </c>
      <c r="K29" s="209">
        <v>0</v>
      </c>
      <c r="L29" s="209">
        <v>0</v>
      </c>
      <c r="M29" s="14"/>
      <c r="N29" s="18"/>
      <c r="O29" s="295">
        <f>SUMIFS([1]تیر!$AF$2:$AF$805,[1]تیر!$O$2:$O$805,7502,[1]تیر!$D$2:$D$805,$F$29,[1]تیر!$AC$2:$AC$805,O3)</f>
        <v>0</v>
      </c>
      <c r="P29" s="177">
        <f>SUMIFS([1]تیر!$AF$2:$AF$805,[1]تیر!$O$2:$O$805,7502,[1]تیر!$D$2:$D$805,$F$29,[1]تیر!$AC$2:$AC$805,P3)</f>
        <v>0</v>
      </c>
      <c r="Q29" s="177">
        <f>SUMIFS([1]تیر!$AF$2:$AF$805,[1]تیر!$O$2:$O$805,7502,[1]تیر!$D$2:$D$805,$F$29,[1]تیر!$AC$2:$AC$805,Q3)</f>
        <v>0</v>
      </c>
      <c r="R29" s="177">
        <f>SUMIFS([1]تیر!$AF$2:$AF$805,[1]تیر!$O$2:$O$805,7502,[1]تیر!$D$2:$D$805,$F$29,[1]تیر!$AC$2:$AC$805,R3)</f>
        <v>0</v>
      </c>
      <c r="S29" s="177">
        <f>SUMIFS([1]تیر!$AF$2:$AF$805,[1]تیر!$O$2:$O$805,7502,[1]تیر!$D$2:$D$805,$F$29,[1]تیر!$AC$2:$AC$805,S3)</f>
        <v>0</v>
      </c>
      <c r="T29" s="177">
        <f>SUMIFS([1]مرداد!$AF$2:$AF$805,[1]مرداد!$O$2:$O$805,7502,[1]مرداد!$D$2:$D$805,F29,[1]مرداد!$AC$2:$AC$805,$T$3)</f>
        <v>0</v>
      </c>
      <c r="U29" s="113">
        <f>SUMIFS([1]تیر!$AF$2:$AF$805,[1]تیر!$O$2:$O$805,7502,[1]تیر!$D$2:$D$805,$F$29,[1]تیر!$AC$2:$AC$805,U3)</f>
        <v>0</v>
      </c>
    </row>
    <row r="30" spans="1:21" ht="33.75" customHeight="1" thickBot="1" x14ac:dyDescent="0.3">
      <c r="A30" s="45">
        <v>13</v>
      </c>
      <c r="B30" s="984" t="s">
        <v>25</v>
      </c>
      <c r="C30" s="936">
        <v>7502</v>
      </c>
      <c r="D30" s="933">
        <v>62.5</v>
      </c>
      <c r="E30" s="936" t="s">
        <v>15</v>
      </c>
      <c r="F30" s="27" t="s">
        <v>36</v>
      </c>
      <c r="G30" s="1">
        <f t="shared" si="0"/>
        <v>50.5</v>
      </c>
      <c r="H30" s="49">
        <f t="shared" si="1"/>
        <v>0</v>
      </c>
      <c r="I30" s="1">
        <v>0</v>
      </c>
      <c r="J30" s="1">
        <v>0</v>
      </c>
      <c r="K30" s="1">
        <v>0</v>
      </c>
      <c r="L30" s="1">
        <v>0</v>
      </c>
      <c r="M30" s="1">
        <f>SUM(G29:L31)-D30</f>
        <v>-12</v>
      </c>
      <c r="N30" s="988" t="s">
        <v>42</v>
      </c>
      <c r="O30" s="353">
        <f>SUMIFS([1]مرداد!$AF$2:$AF$805,[1]مرداد!$O$2:$O$805,7502,[1]مرداد!$D$2:$D$805,$F$30,[1]مرداد!$AC$2:$AC$805,O3)</f>
        <v>11</v>
      </c>
      <c r="P30" s="353">
        <f>SUMIFS([1]مرداد!$AF$2:$AF$805,[1]مرداد!$O$2:$O$805,7502,[1]مرداد!$D$2:$D$805,$F$30,[1]مرداد!$AC$2:$AC$805,P3)</f>
        <v>11</v>
      </c>
      <c r="Q30" s="353">
        <f>SUMIFS([1]مرداد!$AF$2:$AF$805,[1]مرداد!$O$2:$O$805,7502,[1]مرداد!$D$2:$D$805,$F$30,[1]مرداد!$AC$2:$AC$805,Q3)</f>
        <v>11</v>
      </c>
      <c r="R30" s="353">
        <f>SUMIFS([1]مرداد!$AF$2:$AF$805,[1]مرداد!$O$2:$O$805,7502,[1]مرداد!$D$2:$D$805,$F$30,[1]مرداد!$AC$2:$AC$805,R3)</f>
        <v>11</v>
      </c>
      <c r="S30" s="353">
        <f>SUMIFS([1]مرداد!$AF$2:$AF$805,[1]مرداد!$O$2:$O$805,7502,[1]مرداد!$D$2:$D$805,$F$30,[1]مرداد!$AC$2:$AC$805,S3)</f>
        <v>6.5</v>
      </c>
      <c r="T30" s="353">
        <f>SUMIFS([1]مرداد!$AF$2:$AF$805,[1]مرداد!$O$2:$O$805,7502,[1]مرداد!$D$2:$D$805,$F$30,[1]مرداد!$AC$2:$AC$805,T3)</f>
        <v>0</v>
      </c>
      <c r="U30" s="746">
        <f>SUMIFS([1]مرداد!$AF$2:$AF$805,[1]مرداد!$O$2:$O$805,7502,[1]مرداد!$D$2:$D$805,$F$30,[1]مرداد!$AC$2:$AC$805,U3)</f>
        <v>0</v>
      </c>
    </row>
    <row r="31" spans="1:21" ht="33.75" customHeight="1" thickBot="1" x14ac:dyDescent="0.3">
      <c r="A31" s="733"/>
      <c r="B31" s="984"/>
      <c r="C31" s="936"/>
      <c r="D31" s="933"/>
      <c r="E31" s="936"/>
      <c r="F31" s="66"/>
      <c r="G31" s="4">
        <f t="shared" si="0"/>
        <v>0</v>
      </c>
      <c r="H31" s="765">
        <f t="shared" si="1"/>
        <v>0</v>
      </c>
      <c r="I31" s="4">
        <v>0</v>
      </c>
      <c r="J31" s="4">
        <v>0</v>
      </c>
      <c r="K31" s="4">
        <v>0</v>
      </c>
      <c r="L31" s="4">
        <v>0</v>
      </c>
      <c r="M31" s="4"/>
      <c r="N31" s="988"/>
      <c r="O31" s="577">
        <f>SUMIFS([1]مرداد!$AF$2:$AF$805,[1]مرداد!$O$2:$O$805,7502,[1]مرداد!$D$2:$D$805,$F$31,[1]مرداد!$AC$2:$AC$805,O3)</f>
        <v>0</v>
      </c>
      <c r="P31" s="577">
        <f>SUMIFS([1]مرداد!$AF$2:$AF$805,[1]مرداد!$O$2:$O$805,7502,[1]مرداد!$D$2:$D$805,$F$31,[1]مرداد!$AC$2:$AC$805,P3)</f>
        <v>0</v>
      </c>
      <c r="Q31" s="577">
        <f>SUMIFS([1]مرداد!$AF$2:$AF$805,[1]مرداد!$O$2:$O$805,7502,[1]مرداد!$D$2:$D$805,$F$31,[1]مرداد!$AC$2:$AC$805,Q3)</f>
        <v>0</v>
      </c>
      <c r="R31" s="577">
        <f>SUMIFS([1]مرداد!$AF$2:$AF$805,[1]مرداد!$O$2:$O$805,7502,[1]مرداد!$D$2:$D$805,$F$31,[1]مرداد!$AC$2:$AC$805,R3)</f>
        <v>0</v>
      </c>
      <c r="S31" s="577">
        <f>SUMIFS([1]مرداد!$AF$2:$AF$805,[1]مرداد!$O$2:$O$805,7502,[1]مرداد!$D$2:$D$805,$F$31,[1]مرداد!$AC$2:$AC$805,S3)</f>
        <v>0</v>
      </c>
      <c r="T31" s="577">
        <f>SUMIFS([1]مرداد!$AF$2:$AF$805,[1]مرداد!$O$2:$O$805,7502,[1]مرداد!$D$2:$D$805,$F$31,[1]مرداد!$AC$2:$AC$805,T3)</f>
        <v>0</v>
      </c>
      <c r="U31" s="577">
        <f>SUMIFS([1]مرداد!$AF$2:$AF$805,[1]مرداد!$O$2:$O$805,7502,[1]مرداد!$D$2:$D$805,$F$31,[1]مرداد!$AC$2:$AC$805,U3)</f>
        <v>0</v>
      </c>
    </row>
    <row r="32" spans="1:21" ht="33.75" customHeight="1" thickBot="1" x14ac:dyDescent="0.3">
      <c r="A32" s="939">
        <v>14</v>
      </c>
      <c r="B32" s="83" t="s">
        <v>26</v>
      </c>
      <c r="C32" s="702">
        <v>7601</v>
      </c>
      <c r="D32" s="702">
        <v>72</v>
      </c>
      <c r="E32" s="914" t="s">
        <v>15</v>
      </c>
      <c r="F32" s="84" t="s">
        <v>27</v>
      </c>
      <c r="G32" s="85">
        <f t="shared" si="0"/>
        <v>33</v>
      </c>
      <c r="H32" s="46">
        <f t="shared" si="1"/>
        <v>0</v>
      </c>
      <c r="I32" s="85">
        <v>0</v>
      </c>
      <c r="J32" s="85">
        <v>0</v>
      </c>
      <c r="K32" s="85">
        <v>0</v>
      </c>
      <c r="L32" s="85">
        <v>0</v>
      </c>
      <c r="M32" s="87">
        <f>(J32+J33+I33+I32+H32+H33+G33+G32+L32+K32)-D32</f>
        <v>-39</v>
      </c>
      <c r="N32" s="941" t="s">
        <v>13</v>
      </c>
      <c r="O32" s="298">
        <f>SUMIFS([1]مرداد!$AF$2:$AF$805,[1]مرداد!$O$2:$O$805,7601,[1]مرداد!$D$2:$D$805,$F$32,[1]مرداد!$AC$2:$AC$805,O3)</f>
        <v>0</v>
      </c>
      <c r="P32" s="298">
        <f>SUMIFS([1]مرداد!$AF$2:$AF$805,[1]مرداد!$O$2:$O$805,7601,[1]مرداد!$D$2:$D$805,$F$32,[1]مرداد!$AC$2:$AC$805,P3)</f>
        <v>12</v>
      </c>
      <c r="Q32" s="298">
        <f>SUMIFS([1]مرداد!$AF$2:$AF$805,[1]مرداد!$O$2:$O$805,7601,[1]مرداد!$D$2:$D$805,$F$32,[1]مرداد!$AC$2:$AC$805,Q3)</f>
        <v>12</v>
      </c>
      <c r="R32" s="298">
        <f>SUMIFS([1]مرداد!$AF$2:$AF$805,[1]مرداد!$O$2:$O$805,7601,[1]مرداد!$D$2:$D$805,$F$32,[1]مرداد!$AC$2:$AC$805,R3)</f>
        <v>3</v>
      </c>
      <c r="S32" s="298">
        <f>SUMIFS([1]مرداد!$AF$2:$AF$805,[1]مرداد!$O$2:$O$805,7601,[1]مرداد!$D$2:$D$805,$F$32,[1]مرداد!$AC$2:$AC$805,S3)</f>
        <v>6</v>
      </c>
      <c r="T32" s="298">
        <f>SUMIFS([1]مرداد!$AF$2:$AF$805,[1]مرداد!$O$2:$O$805,7601,[1]مرداد!$D$2:$D$805,$F$32,[1]مرداد!$AC$2:$AC$805,T3)</f>
        <v>0</v>
      </c>
      <c r="U32" s="463">
        <f>SUMIFS([1]مرداد!$AF$2:$AF$805,[1]مرداد!$O$2:$O$805,7601,[1]مرداد!$D$2:$D$805,$F$32,[1]مرداد!$AC$2:$AC$805,U3)</f>
        <v>0</v>
      </c>
    </row>
    <row r="33" spans="1:21" ht="33.75" hidden="1" customHeight="1" thickBot="1" x14ac:dyDescent="0.3">
      <c r="A33" s="940"/>
      <c r="B33" s="123"/>
      <c r="C33" s="703"/>
      <c r="D33" s="703"/>
      <c r="E33" s="915"/>
      <c r="F33" s="124"/>
      <c r="G33" s="126">
        <f t="shared" si="0"/>
        <v>0</v>
      </c>
      <c r="H33" s="761">
        <f t="shared" si="1"/>
        <v>0</v>
      </c>
      <c r="I33" s="125">
        <v>0</v>
      </c>
      <c r="J33" s="125">
        <v>0</v>
      </c>
      <c r="K33" s="126">
        <v>0</v>
      </c>
      <c r="L33" s="126">
        <v>0</v>
      </c>
      <c r="M33" s="127"/>
      <c r="N33" s="917"/>
      <c r="O33" s="299">
        <f>SUMIFS([1]مرداد!$AF$2:$AF$805,[1]مرداد!$O$2:$O$805,7601,[1]مرداد!$D$2:$D$805,$F$33,[1]مرداد!$AC$2:$AC$805,O3)</f>
        <v>0</v>
      </c>
      <c r="P33" s="299">
        <f>SUMIFS([1]مرداد!$AF$2:$AF$805,[1]مرداد!$O$2:$O$805,7601,[1]مرداد!$D$2:$D$805,$F$33,[1]مرداد!$AC$2:$AC$805,P3)</f>
        <v>0</v>
      </c>
      <c r="Q33" s="299">
        <f>SUMIFS([1]مرداد!$AF$2:$AF$805,[1]مرداد!$O$2:$O$805,7601,[1]مرداد!$D$2:$D$805,$F$33,[1]مرداد!$AC$2:$AC$805,Q3)</f>
        <v>0</v>
      </c>
      <c r="R33" s="299">
        <f>SUMIFS([1]مرداد!$AF$2:$AF$805,[1]مرداد!$O$2:$O$805,7601,[1]مرداد!$D$2:$D$805,$F$33,[1]مرداد!$AC$2:$AC$805,R3)</f>
        <v>0</v>
      </c>
      <c r="S33" s="299">
        <f>SUMIFS([1]مرداد!$AF$2:$AF$805,[1]مرداد!$O$2:$O$805,7601,[1]مرداد!$D$2:$D$805,$F$33,[1]مرداد!$AC$2:$AC$805,S3)</f>
        <v>0</v>
      </c>
      <c r="T33" s="299">
        <f>SUMIFS([1]مرداد!$AF$2:$AF$805,[1]مرداد!$O$2:$O$805,7601,[1]مرداد!$D$2:$D$805,$F$33,[1]مرداد!$AC$2:$AC$805,T3)</f>
        <v>0</v>
      </c>
      <c r="U33" s="468">
        <f>SUMIFS([1]مرداد!$AF$2:$AF$805,[1]مرداد!$O$2:$O$805,7601,[1]مرداد!$D$2:$D$805,$F$33,[1]مرداد!$AC$2:$AC$805,U3)</f>
        <v>0</v>
      </c>
    </row>
    <row r="34" spans="1:21" ht="33.75" customHeight="1" thickBot="1" x14ac:dyDescent="0.3">
      <c r="A34" s="912">
        <v>15</v>
      </c>
      <c r="B34" s="83" t="s">
        <v>26</v>
      </c>
      <c r="C34" s="702">
        <v>7602</v>
      </c>
      <c r="D34" s="702">
        <v>72</v>
      </c>
      <c r="E34" s="914" t="s">
        <v>15</v>
      </c>
      <c r="F34" s="84" t="s">
        <v>27</v>
      </c>
      <c r="G34" s="739">
        <f t="shared" si="0"/>
        <v>26</v>
      </c>
      <c r="H34" s="46">
        <f t="shared" si="1"/>
        <v>0</v>
      </c>
      <c r="I34" s="85">
        <v>0</v>
      </c>
      <c r="J34" s="85">
        <v>0</v>
      </c>
      <c r="K34" s="85">
        <v>0</v>
      </c>
      <c r="L34" s="85">
        <v>0</v>
      </c>
      <c r="M34" s="87">
        <f>(J34+J35+I35+I34+H34+H35+G35+G34)-D34</f>
        <v>-46</v>
      </c>
      <c r="N34" s="916" t="s">
        <v>13</v>
      </c>
      <c r="O34" s="292">
        <f>SUMIFS([1]مرداد!$AF$2:$AF$805,[1]مرداد!$O$2:$O$805,7602,[1]مرداد!$D$2:$D$805,$F$34,[1]مرداد!$AC$2:$AC$805,O3)</f>
        <v>0</v>
      </c>
      <c r="P34" s="292">
        <f>SUMIFS([1]مرداد!$AF$2:$AF$805,[1]مرداد!$O$2:$O$805,7602,[1]مرداد!$D$2:$D$805,$F$34,[1]مرداد!$AC$2:$AC$805,P3)</f>
        <v>11</v>
      </c>
      <c r="Q34" s="292">
        <f>SUMIFS([1]مرداد!$AF$2:$AF$805,[1]مرداد!$O$2:$O$805,7602,[1]مرداد!$D$2:$D$805,$F$34,[1]مرداد!$AC$2:$AC$805,Q3)</f>
        <v>9</v>
      </c>
      <c r="R34" s="292">
        <f>SUMIFS([1]مرداد!$AF$2:$AF$805,[1]مرداد!$O$2:$O$805,7602,[1]مرداد!$D$2:$D$805,$F$34,[1]مرداد!$AC$2:$AC$805,R3)</f>
        <v>0</v>
      </c>
      <c r="S34" s="292">
        <f>SUMIFS([1]مرداد!$AF$2:$AF$805,[1]مرداد!$O$2:$O$805,7602,[1]مرداد!$D$2:$D$805,$F$34,[1]مرداد!$AC$2:$AC$805,S3)</f>
        <v>6</v>
      </c>
      <c r="T34" s="292">
        <f>SUMIFS([1]مرداد!$AF$2:$AF$805,[1]مرداد!$O$2:$O$805,7602,[1]مرداد!$D$2:$D$805,$F$34,[1]مرداد!$AC$2:$AC$805,T3)</f>
        <v>0</v>
      </c>
      <c r="U34" s="357">
        <f>SUMIFS([1]مرداد!$AF$2:$AF$805,[1]مرداد!$O$2:$O$805,7602,[1]مرداد!$D$2:$D$805,$F$34,[1]مرداد!$AC$2:$AC$805,U3)</f>
        <v>0</v>
      </c>
    </row>
    <row r="35" spans="1:21" ht="33.75" hidden="1" customHeight="1" thickBot="1" x14ac:dyDescent="0.3">
      <c r="A35" s="913"/>
      <c r="B35" s="123"/>
      <c r="C35" s="703"/>
      <c r="D35" s="703"/>
      <c r="E35" s="915"/>
      <c r="F35" s="124"/>
      <c r="G35" s="6">
        <f t="shared" si="0"/>
        <v>0</v>
      </c>
      <c r="H35" s="761">
        <f t="shared" si="1"/>
        <v>0</v>
      </c>
      <c r="I35" s="125">
        <v>0</v>
      </c>
      <c r="J35" s="125">
        <v>0</v>
      </c>
      <c r="K35" s="126">
        <v>0</v>
      </c>
      <c r="L35" s="126">
        <v>0</v>
      </c>
      <c r="M35" s="127"/>
      <c r="N35" s="917"/>
      <c r="O35" s="294">
        <f>SUMIFS([1]اردیبهشت!$AD$2:$AD$805,[1]اردیبهشت!$N$2:$N$805,$C$34,[1]اردیبهشت!$D$2:$D$805,$F$35,[1]اردیبهشت!$AA$2:$AA$805,O3)</f>
        <v>0</v>
      </c>
      <c r="P35" s="172">
        <f>SUMIFS([1]اردیبهشت!$AD$2:$AD$600,[1]اردیبهشت!$N$2:$N$600,$C$34,[1]اردیبهشت!$D$2:$D$600,$F$35,[1]اردیبهشت!$AA$2:$AA$600,P3)</f>
        <v>0</v>
      </c>
      <c r="Q35" s="172">
        <f>SUMIFS([1]اردیبهشت!$AD$2:$AD$600,[1]اردیبهشت!$N$2:$N$600,$C$34,[1]اردیبهشت!$D$2:$D$600,$F$35,[1]اردیبهشت!$AA$2:$AA$600,Q3)</f>
        <v>0</v>
      </c>
      <c r="R35" s="172">
        <f>SUMIFS([1]اردیبهشت!$AD$2:$AD$600,[1]اردیبهشت!$N$2:$N$600,$C$34,[1]اردیبهشت!$D$2:$D$600,$F$35,[1]اردیبهشت!$AA$2:$AA$600,R3)</f>
        <v>0</v>
      </c>
      <c r="S35" s="172">
        <f>SUMIFS([1]اردیبهشت!$AD$2:$AD$600,[1]اردیبهشت!$N$2:$N$600,$C$34,[1]اردیبهشت!$D$2:$D$600,$F$35,[1]اردیبهشت!$AA$2:$AA$600,S3)</f>
        <v>0</v>
      </c>
      <c r="T35" s="172">
        <f>SUMIFS([1]اردیبهشت!$AD$2:$AD$600,[1]اردیبهشت!$N$2:$N$600,$C$34,[1]اردیبهشت!$D$2:$D$600,$F$35,[1]اردیبهشت!$AA$2:$AA$600,T3)</f>
        <v>0</v>
      </c>
      <c r="U35" s="109">
        <f>SUMIFS([1]خرداد!$AF$2:$AF$700,[1]خرداد!$O$2:$O$700,7101,[1]خرداد!$D$2:$D$700,$F$4,[1]خرداد!$AC$2:$AC$700,U34)</f>
        <v>0</v>
      </c>
    </row>
    <row r="36" spans="1:21" ht="33.75" customHeight="1" thickBot="1" x14ac:dyDescent="0.3">
      <c r="A36" s="912">
        <v>16</v>
      </c>
      <c r="B36" s="724" t="s">
        <v>26</v>
      </c>
      <c r="C36" s="725">
        <v>7603</v>
      </c>
      <c r="D36" s="725">
        <v>72</v>
      </c>
      <c r="E36" s="970" t="s">
        <v>15</v>
      </c>
      <c r="F36" s="91" t="s">
        <v>27</v>
      </c>
      <c r="G36" s="1">
        <f t="shared" si="0"/>
        <v>0</v>
      </c>
      <c r="H36" s="49">
        <f t="shared" si="1"/>
        <v>0</v>
      </c>
      <c r="I36" s="1">
        <v>0</v>
      </c>
      <c r="J36" s="1">
        <v>0</v>
      </c>
      <c r="K36" s="1">
        <v>0</v>
      </c>
      <c r="L36" s="1">
        <v>0</v>
      </c>
      <c r="M36" s="60">
        <f>(J36+J37+I37+I36+H36+H37+G37+G36+L36+L37)-D36</f>
        <v>-72</v>
      </c>
      <c r="N36" s="928" t="s">
        <v>13</v>
      </c>
      <c r="O36" s="356">
        <f>SUMIFS([1]مرداد!$AF$2:$AF$805,[1]مرداد!$O$2:$O$805,7603,[1]مرداد!$D$2:$D$805,$F$36,[1]مرداد!$AC$2:$AC$805,O3)</f>
        <v>0</v>
      </c>
      <c r="P36" s="356">
        <f>SUMIFS([1]مرداد!$AF$2:$AF$805,[1]مرداد!$O$2:$O$805,7603,[1]مرداد!$D$2:$D$805,$F$36,[1]مرداد!$AC$2:$AC$805,P3)</f>
        <v>0</v>
      </c>
      <c r="Q36" s="356">
        <f>SUMIFS([1]مرداد!$AF$2:$AF$805,[1]مرداد!$O$2:$O$805,7603,[1]مرداد!$D$2:$D$805,$F$36,[1]مرداد!$AC$2:$AC$805,Q3)</f>
        <v>0</v>
      </c>
      <c r="R36" s="356">
        <f>SUMIFS([1]مرداد!$AF$2:$AF$805,[1]مرداد!$O$2:$O$805,7603,[1]مرداد!$D$2:$D$805,$F$36,[1]مرداد!$AC$2:$AC$805,R3)</f>
        <v>0</v>
      </c>
      <c r="S36" s="356">
        <f>SUMIFS([1]مرداد!$AF$2:$AF$805,[1]مرداد!$O$2:$O$805,7603,[1]مرداد!$D$2:$D$805,$F$36,[1]مرداد!$AC$2:$AC$805,S3)</f>
        <v>0</v>
      </c>
      <c r="T36" s="356">
        <f>SUMIFS([1]مرداد!$AF$2:$AF$805,[1]مرداد!$O$2:$O$805,7603,[1]مرداد!$D$2:$D$805,$F$36,[1]مرداد!$AC$2:$AC$805,T3)</f>
        <v>0</v>
      </c>
      <c r="U36" s="356">
        <f>SUMIFS([1]مرداد!$AF$2:$AF$805,[1]مرداد!$O$2:$O$805,7603,[1]مرداد!$D$2:$D$805,$F$36,[1]مرداد!$AC$2:$AC$805,U3)</f>
        <v>0</v>
      </c>
    </row>
    <row r="37" spans="1:21" ht="33.75" hidden="1" customHeight="1" thickBot="1" x14ac:dyDescent="0.3">
      <c r="A37" s="942"/>
      <c r="B37" s="718"/>
      <c r="C37" s="721"/>
      <c r="D37" s="721"/>
      <c r="E37" s="966"/>
      <c r="F37" s="24"/>
      <c r="G37" s="4">
        <f t="shared" si="0"/>
        <v>0</v>
      </c>
      <c r="H37" s="765">
        <f t="shared" si="1"/>
        <v>0</v>
      </c>
      <c r="I37" s="25">
        <v>0</v>
      </c>
      <c r="J37" s="25">
        <v>0</v>
      </c>
      <c r="K37" s="4">
        <v>0</v>
      </c>
      <c r="L37" s="4">
        <v>0</v>
      </c>
      <c r="M37" s="65"/>
      <c r="N37" s="950"/>
      <c r="O37" s="352">
        <f>SUMIFS([1]اردیبهشت!$AD$2:$AD$805,[1]اردیبهشت!$N$2:$N$805,$C$36,[1]اردیبهشت!$D$2:$D$805,$F$37,[1]اردیبهشت!$AA$2:$AA$805,O3)</f>
        <v>0</v>
      </c>
      <c r="P37" s="175">
        <f>SUMIFS([1]اردیبهشت!$AD$2:$AD$600,[1]اردیبهشت!$N$2:$N$600,$C$36,[1]اردیبهشت!$D$2:$D$600,$F$37,[1]اردیبهشت!$AA$2:$AA$600,P3)</f>
        <v>0</v>
      </c>
      <c r="Q37" s="175">
        <f>SUMIFS([1]اردیبهشت!$AD$2:$AD$600,[1]اردیبهشت!$N$2:$N$600,$C$36,[1]اردیبهشت!$D$2:$D$600,$F$37,[1]اردیبهشت!$AA$2:$AA$600,Q3)</f>
        <v>0</v>
      </c>
      <c r="R37" s="175">
        <f>SUMIFS([1]اردیبهشت!$AD$2:$AD$600,[1]اردیبهشت!$N$2:$N$600,$C$36,[1]اردیبهشت!$D$2:$D$600,$F$37,[1]اردیبهشت!$AA$2:$AA$600,R3)</f>
        <v>0</v>
      </c>
      <c r="S37" s="175">
        <f>SUMIFS([1]اردیبهشت!$AD$2:$AD$600,[1]اردیبهشت!$N$2:$N$600,$C$36,[1]اردیبهشت!$D$2:$D$600,$F$37,[1]اردیبهشت!$AA$2:$AA$600,S3)</f>
        <v>0</v>
      </c>
      <c r="T37" s="175">
        <f>SUMIFS([1]اردیبهشت!$AD$2:$AD$600,[1]اردیبهشت!$N$2:$N$600,$C$36,[1]اردیبهشت!$D$2:$D$600,$F$37,[1]اردیبهشت!$AA$2:$AA$600,T3)</f>
        <v>0</v>
      </c>
      <c r="U37" s="114">
        <f>SUMIFS([1]خرداد!$AF$2:$AF$700,[1]خرداد!$O$2:$O$700,7101,[1]خرداد!$D$2:$D$700,$F$4,[1]خرداد!$AC$2:$AC$700,U36)</f>
        <v>0</v>
      </c>
    </row>
    <row r="38" spans="1:21" ht="33.75" customHeight="1" x14ac:dyDescent="0.25">
      <c r="A38" s="912">
        <v>17</v>
      </c>
      <c r="B38" s="726" t="s">
        <v>26</v>
      </c>
      <c r="C38" s="771">
        <v>7604</v>
      </c>
      <c r="D38" s="702">
        <v>72</v>
      </c>
      <c r="E38" s="914" t="s">
        <v>15</v>
      </c>
      <c r="F38" s="84" t="s">
        <v>27</v>
      </c>
      <c r="G38" s="85">
        <f>SUM(O38:T38)</f>
        <v>12</v>
      </c>
      <c r="H38" s="46">
        <f t="shared" si="1"/>
        <v>0</v>
      </c>
      <c r="I38" s="85">
        <v>0</v>
      </c>
      <c r="J38" s="85">
        <v>0</v>
      </c>
      <c r="K38" s="85">
        <v>0</v>
      </c>
      <c r="L38" s="85">
        <v>0</v>
      </c>
      <c r="M38" s="87"/>
      <c r="N38" s="955"/>
      <c r="O38" s="187">
        <f>SUMIFS([1]مرداد!$AF$2:$AF$805,[1]مرداد!$O$2:$O$805,7604,[1]مرداد!$D$2:$D$805,$F$38,[1]مرداد!$AC$2:$AC$805,O3)</f>
        <v>0</v>
      </c>
      <c r="P38" s="298">
        <f>SUMIFS([1]مرداد!$AF$2:$AF$805,[1]مرداد!$O$2:$O$805,7604,[1]مرداد!$D$2:$D$805,$F$38,[1]مرداد!$AC$2:$AC$805,P3)</f>
        <v>0</v>
      </c>
      <c r="Q38" s="298">
        <f>SUMIFS([1]مرداد!$AF$2:$AF$805,[1]مرداد!$O$2:$O$805,7604,[1]مرداد!$D$2:$D$805,$F$38,[1]مرداد!$AC$2:$AC$805,Q3)</f>
        <v>5</v>
      </c>
      <c r="R38" s="298">
        <f>SUMIFS([1]مرداد!$AF$2:$AF$805,[1]مرداد!$O$2:$O$805,7604,[1]مرداد!$D$2:$D$805,$F$38,[1]مرداد!$AC$2:$AC$805,R3)</f>
        <v>3</v>
      </c>
      <c r="S38" s="298">
        <f>SUMIFS([1]مرداد!$AF$2:$AF$805,[1]مرداد!$O$2:$O$805,7604,[1]مرداد!$D$2:$D$805,$F$38,[1]مرداد!$AC$2:$AC$805,S3)</f>
        <v>4</v>
      </c>
      <c r="T38" s="298">
        <f>SUMIFS([1]مرداد!$AF$2:$AF$805,[1]مرداد!$O$2:$O$805,7604,[1]مرداد!$D$2:$D$805,$F$38,[1]مرداد!$AC$2:$AC$805,T3)</f>
        <v>0</v>
      </c>
      <c r="U38" s="463">
        <f>SUMIFS([1]مرداد!$AF$2:$AF$805,[1]مرداد!$O$2:$O$805,7604,[1]مرداد!$D$2:$D$805,$F$38,[1]مرداد!$AC$2:$AC$805,U3)</f>
        <v>0</v>
      </c>
    </row>
    <row r="39" spans="1:21" ht="41.25" hidden="1" customHeight="1" thickBot="1" x14ac:dyDescent="0.3">
      <c r="A39" s="913"/>
      <c r="B39" s="727"/>
      <c r="C39" s="772"/>
      <c r="D39" s="703"/>
      <c r="E39" s="915"/>
      <c r="F39" s="124"/>
      <c r="G39" s="126">
        <f t="shared" si="0"/>
        <v>0</v>
      </c>
      <c r="H39" s="761">
        <f t="shared" si="1"/>
        <v>0</v>
      </c>
      <c r="I39" s="125">
        <v>0</v>
      </c>
      <c r="J39" s="125">
        <v>0</v>
      </c>
      <c r="K39" s="126">
        <v>0</v>
      </c>
      <c r="L39" s="126">
        <v>0</v>
      </c>
      <c r="M39" s="154"/>
      <c r="N39" s="917"/>
      <c r="O39" s="274"/>
      <c r="P39" s="275"/>
      <c r="Q39" s="275"/>
      <c r="R39" s="275"/>
      <c r="S39" s="275"/>
      <c r="T39" s="275"/>
      <c r="U39" s="121"/>
    </row>
    <row r="40" spans="1:21" ht="33.75" customHeight="1" thickBot="1" x14ac:dyDescent="0.3">
      <c r="A40" s="954">
        <v>18</v>
      </c>
      <c r="B40" s="769" t="s">
        <v>26</v>
      </c>
      <c r="C40" s="723">
        <v>7605</v>
      </c>
      <c r="D40" s="723">
        <v>72</v>
      </c>
      <c r="E40" s="968" t="s">
        <v>15</v>
      </c>
      <c r="F40" s="91" t="s">
        <v>27</v>
      </c>
      <c r="G40" s="93">
        <f t="shared" si="0"/>
        <v>42</v>
      </c>
      <c r="H40" s="49">
        <f t="shared" si="1"/>
        <v>0</v>
      </c>
      <c r="I40" s="93">
        <v>0</v>
      </c>
      <c r="J40" s="93">
        <v>0</v>
      </c>
      <c r="K40" s="93">
        <v>0</v>
      </c>
      <c r="L40" s="314">
        <v>0</v>
      </c>
      <c r="M40" s="94">
        <f>(G40+H40+I40+J40+K40+L40)-D40</f>
        <v>-30</v>
      </c>
      <c r="N40" s="971" t="s">
        <v>13</v>
      </c>
      <c r="O40" s="770">
        <f>SUMIFS([1]مرداد!$AF$2:$AF$805,[1]مرداد!$O$2:$O$805,7605,[1]مرداد!$D$2:$D$805,$F$40,[1]مرداد!$AC$2:$AC$805,O3)</f>
        <v>0</v>
      </c>
      <c r="P40" s="770">
        <f>SUMIFS([1]مرداد!$AF$2:$AF$805,[1]مرداد!$O$2:$O$805,7605,[1]مرداد!$D$2:$D$805,$F$40,[1]مرداد!$AC$2:$AC$805,P3)</f>
        <v>12</v>
      </c>
      <c r="Q40" s="770">
        <f>SUMIFS([1]مرداد!$AF$2:$AF$805,[1]مرداد!$O$2:$O$805,7605,[1]مرداد!$D$2:$D$805,$F$40,[1]مرداد!$AC$2:$AC$805,Q3)</f>
        <v>12</v>
      </c>
      <c r="R40" s="770">
        <f>SUMIFS([1]مرداد!$AF$2:$AF$805,[1]مرداد!$O$2:$O$805,7605,[1]مرداد!$D$2:$D$805,$F$40,[1]مرداد!$AC$2:$AC$805,R3)</f>
        <v>12</v>
      </c>
      <c r="S40" s="770">
        <f>SUMIFS([1]مرداد!$AF$2:$AF$805,[1]مرداد!$O$2:$O$805,7605,[1]مرداد!$D$2:$D$805,$F$40,[1]مرداد!$AC$2:$AC$805,S3)</f>
        <v>6</v>
      </c>
      <c r="T40" s="770">
        <f>SUMIFS([1]مرداد!$AF$2:$AF$805,[1]مرداد!$O$2:$O$805,7605,[1]مرداد!$D$2:$D$805,$F$40,[1]مرداد!$AC$2:$AC$805,T3)</f>
        <v>0</v>
      </c>
      <c r="U40" s="770">
        <f>SUMIFS([1]مرداد!$AF$2:$AF$805,[1]مرداد!$O$2:$O$805,7605,[1]مرداد!$D$2:$D$805,$F$40,[1]مرداد!$AC$2:$AC$805,U3)</f>
        <v>0</v>
      </c>
    </row>
    <row r="41" spans="1:21" ht="33.75" hidden="1" customHeight="1" thickBot="1" x14ac:dyDescent="0.3">
      <c r="A41" s="942"/>
      <c r="B41" s="589"/>
      <c r="C41" s="738"/>
      <c r="D41" s="738"/>
      <c r="E41" s="997"/>
      <c r="F41" s="461"/>
      <c r="G41" s="89">
        <f t="shared" si="0"/>
        <v>0</v>
      </c>
      <c r="H41" s="765">
        <f t="shared" si="1"/>
        <v>0</v>
      </c>
      <c r="I41" s="462">
        <v>0</v>
      </c>
      <c r="J41" s="462">
        <v>0</v>
      </c>
      <c r="K41" s="89">
        <v>0</v>
      </c>
      <c r="L41" s="89">
        <v>0</v>
      </c>
      <c r="M41" s="94"/>
      <c r="N41" s="998"/>
      <c r="O41" s="584">
        <f>SUMIFS([1]اردیبهشت!$AD$2:$AD$805,[1]اردیبهشت!$N$2:$N$805,$C$40,[1]اردیبهشت!$D$2:$D$805,$F$41,[1]اردیبهشت!$AA$2:$AA$805,O3)</f>
        <v>0</v>
      </c>
      <c r="P41" s="191">
        <f>SUMIFS([1]اردیبهشت!$AD$2:$AD$600,[1]اردیبهشت!$N$2:$N$600,$C$40,[1]اردیبهشت!$D$2:$D$600,$F$41,[1]اردیبهشت!$AA$2:$AA$600,P3)</f>
        <v>0</v>
      </c>
      <c r="Q41" s="191">
        <f>SUMIFS([1]اردیبهشت!$AD$2:$AD$600,[1]اردیبهشت!$N$2:$N$600,$C$40,[1]اردیبهشت!$D$2:$D$600,$F$41,[1]اردیبهشت!$AA$2:$AA$600,Q3)</f>
        <v>0</v>
      </c>
      <c r="R41" s="191">
        <f>SUMIFS([1]اردیبهشت!$AD$2:$AD$600,[1]اردیبهشت!$N$2:$N$600,$C$40,[1]اردیبهشت!$D$2:$D$600,$F$41,[1]اردیبهشت!$AA$2:$AA$600,R3)</f>
        <v>0</v>
      </c>
      <c r="S41" s="191">
        <f>SUMIFS([1]اردیبهشت!$AD$2:$AD$600,[1]اردیبهشت!$N$2:$N$600,$C$40,[1]اردیبهشت!$D$2:$D$600,$F$41,[1]اردیبهشت!$AA$2:$AA$600,S3)</f>
        <v>0</v>
      </c>
      <c r="T41" s="191">
        <f>SUMIFS([1]اردیبهشت!$AD$2:$AD$600,[1]اردیبهشت!$N$2:$N$600,$C$40,[1]اردیبهشت!$D$2:$D$600,$F$41,[1]اردیبهشت!$AA$2:$AA$600,T3)</f>
        <v>0</v>
      </c>
      <c r="U41" s="115">
        <f>SUMIFS([1]اردیبهشت!$AD$2:$AD$600,[1]اردیبهشت!$N$2:$N$600,$C$40,[1]اردیبهشت!$D$2:$D$600,$F$41,[1]اردیبهشت!$AA$2:$AA$600,U3)</f>
        <v>0</v>
      </c>
    </row>
    <row r="42" spans="1:21" ht="33.75" customHeight="1" x14ac:dyDescent="0.25">
      <c r="A42" s="731"/>
      <c r="B42" s="716"/>
      <c r="C42" s="710"/>
      <c r="D42" s="710"/>
      <c r="E42" s="932" t="s">
        <v>15</v>
      </c>
      <c r="F42" s="84" t="s">
        <v>27</v>
      </c>
      <c r="G42" s="739">
        <f t="shared" si="0"/>
        <v>14</v>
      </c>
      <c r="H42" s="46">
        <f t="shared" si="1"/>
        <v>0</v>
      </c>
      <c r="I42" s="739">
        <v>0</v>
      </c>
      <c r="J42" s="739">
        <v>0</v>
      </c>
      <c r="K42" s="739">
        <v>0</v>
      </c>
      <c r="L42" s="739">
        <v>0</v>
      </c>
      <c r="M42" s="28"/>
      <c r="N42" s="945" t="s">
        <v>183</v>
      </c>
      <c r="O42" s="292">
        <f>SUMIFS([1]مرداد!$AF$2:$AF$805,[1]مرداد!$O$2:$O$805,7701,[1]مرداد!$D$2:$D$805,$F$42,[1]مرداد!$AC$2:$AC$805,O3)</f>
        <v>0</v>
      </c>
      <c r="P42" s="292">
        <f>SUMIFS([1]مرداد!$AF$2:$AF$805,[1]مرداد!$O$2:$O$805,7701,[1]مرداد!$D$2:$D$805,$F$42,[1]مرداد!$AC$2:$AC$805,P3)</f>
        <v>2</v>
      </c>
      <c r="Q42" s="292">
        <f>SUMIFS([1]مرداد!$AF$2:$AF$805,[1]مرداد!$O$2:$O$805,7701,[1]مرداد!$D$2:$D$805,$F$42,[1]مرداد!$AC$2:$AC$805,Q3)</f>
        <v>12</v>
      </c>
      <c r="R42" s="292">
        <f>SUMIFS([1]مرداد!$AF$2:$AF$805,[1]مرداد!$O$2:$O$805,7701,[1]مرداد!$D$2:$D$805,$F$42,[1]مرداد!$AC$2:$AC$805,R3)</f>
        <v>0</v>
      </c>
      <c r="S42" s="292">
        <f>SUMIFS([1]مرداد!$AF$2:$AF$805,[1]مرداد!$O$2:$O$805,7701,[1]مرداد!$D$2:$D$805,$F$42,[1]مرداد!$AC$2:$AC$805,S3)</f>
        <v>0</v>
      </c>
      <c r="T42" s="292">
        <f>SUMIFS([1]مرداد!$AF$2:$AF$805,[1]مرداد!$O$2:$O$805,7701,[1]مرداد!$D$2:$D$805,$F$42,[1]مرداد!$AC$2:$AC$805,T3)</f>
        <v>0</v>
      </c>
      <c r="U42" s="357">
        <f>SUMIFS([1]مرداد!$AF$2:$AF$805,[1]مرداد!$O$2:$O$805,7701,[1]مرداد!$D$2:$D$805,$F$42,[1]مرداد!$AC$2:$AC$805,U3)</f>
        <v>0</v>
      </c>
    </row>
    <row r="43" spans="1:21" ht="39" customHeight="1" thickBot="1" x14ac:dyDescent="0.3">
      <c r="A43" s="732">
        <v>19</v>
      </c>
      <c r="B43" s="717" t="s">
        <v>30</v>
      </c>
      <c r="C43" s="720">
        <v>7701</v>
      </c>
      <c r="D43" s="720">
        <v>62.5</v>
      </c>
      <c r="E43" s="933"/>
      <c r="F43" s="29"/>
      <c r="G43" s="3">
        <f t="shared" si="0"/>
        <v>0</v>
      </c>
      <c r="H43" s="47">
        <f t="shared" si="1"/>
        <v>0</v>
      </c>
      <c r="I43" s="3">
        <v>0</v>
      </c>
      <c r="J43" s="25">
        <v>0</v>
      </c>
      <c r="K43" s="25">
        <v>0</v>
      </c>
      <c r="L43" s="70">
        <v>0</v>
      </c>
      <c r="M43" s="4">
        <f>(J42+J43+J44+I44+I43+I42+H42+H43+H44+G44+G43+G42)-D43</f>
        <v>-48.5</v>
      </c>
      <c r="N43" s="956"/>
      <c r="O43" s="293">
        <f>SUMIFS([1]اردیبهشت!$AD$2:$AD$805,[1]اردیبهشت!$N$2:$N$805,$C$43,[1]اردیبهشت!$D$2:$D$805,$F$43,[1]اردیبهشت!$AA$2:$AA$805,O3)</f>
        <v>0</v>
      </c>
      <c r="P43" s="168">
        <f>SUMIFS([1]اردیبهشت!$AD$2:$AD$805,[1]اردیبهشت!$N$2:$N$805,$C$43,[1]اردیبهشت!$D$2:$D$805,$F$43,[1]اردیبهشت!$AA$2:$AA$805,P3)</f>
        <v>0</v>
      </c>
      <c r="Q43" s="168">
        <f>SUMIFS([1]اردیبهشت!$AD$2:$AD$805,[1]اردیبهشت!$N$2:$N$805,$C$43,[1]اردیبهشت!$D$2:$D$805,$F$43,[1]اردیبهشت!$AA$2:$AA$805,Q3)</f>
        <v>0</v>
      </c>
      <c r="R43" s="168">
        <f>SUMIFS([1]اردیبهشت!$AD$2:$AD$805,[1]اردیبهشت!$N$2:$N$805,$C$43,[1]اردیبهشت!$D$2:$D$805,$F$43,[1]اردیبهشت!$AA$2:$AA$805,R3)</f>
        <v>0</v>
      </c>
      <c r="S43" s="168">
        <f>SUMIFS([1]اردیبهشت!$AD$2:$AD$805,[1]اردیبهشت!$N$2:$N$805,$C$43,[1]اردیبهشت!$D$2:$D$805,$F$43,[1]اردیبهشت!$AA$2:$AA$805,S3)</f>
        <v>0</v>
      </c>
      <c r="T43" s="168">
        <f>SUMIFS([1]اردیبهشت!$AD$2:$AD$805,[1]اردیبهشت!$N$2:$N$805,$C$43,[1]اردیبهشت!$D$2:$D$805,$F$43,[1]اردیبهشت!$AA$2:$AA$805,T3)</f>
        <v>0</v>
      </c>
      <c r="U43" s="108">
        <f>SUMIFS([1]اردیبهشت!$AD$2:$AD$600,[1]اردیبهشت!$N$2:$N$600,$C$43,[1]اردیبهشت!$D$2:$D$600,$F$43,[1]اردیبهشت!$AA$2:$AA$600,U3)</f>
        <v>0</v>
      </c>
    </row>
    <row r="44" spans="1:21" ht="40.5" hidden="1" customHeight="1" thickBot="1" x14ac:dyDescent="0.3">
      <c r="A44" s="732"/>
      <c r="B44" s="719"/>
      <c r="C44" s="711"/>
      <c r="D44" s="711"/>
      <c r="E44" s="934"/>
      <c r="F44" s="30"/>
      <c r="G44" s="6">
        <f t="shared" si="0"/>
        <v>0</v>
      </c>
      <c r="H44" s="761">
        <f t="shared" si="1"/>
        <v>0</v>
      </c>
      <c r="I44" s="7">
        <v>0</v>
      </c>
      <c r="J44" s="7">
        <v>0</v>
      </c>
      <c r="K44" s="7">
        <v>0</v>
      </c>
      <c r="L44" s="7">
        <v>0</v>
      </c>
      <c r="M44" s="8"/>
      <c r="N44" s="946"/>
      <c r="O44" s="294">
        <f>SUMIFS([1]اردیبهشت!$AD$2:$AD$805,[1]اردیبهشت!$N$2:$N$805,$C$43,[1]اردیبهشت!$D$2:$D$805,$F$44,[1]اردیبهشت!$AA$2:$AA$805,O3)</f>
        <v>0</v>
      </c>
      <c r="P44" s="172">
        <f>SUMIFS([1]اردیبهشت!$AD$2:$AD$805,[1]اردیبهشت!$N$2:$N$805,$C$43,[1]اردیبهشت!$D$2:$D$805,$F$44,[1]اردیبهشت!$AA$2:$AA$805,P3)</f>
        <v>0</v>
      </c>
      <c r="Q44" s="172">
        <f>SUMIFS([1]اردیبهشت!$AD$2:$AD$805,[1]اردیبهشت!$N$2:$N$805,$C$43,[1]اردیبهشت!$D$2:$D$805,$F$44,[1]اردیبهشت!$AA$2:$AA$805,Q3)</f>
        <v>0</v>
      </c>
      <c r="R44" s="172">
        <f>SUMIFS([1]اردیبهشت!$AD$2:$AD$805,[1]اردیبهشت!$N$2:$N$805,$C$43,[1]اردیبهشت!$D$2:$D$805,$F$44,[1]اردیبهشت!$AA$2:$AA$805,R3)</f>
        <v>0</v>
      </c>
      <c r="S44" s="172">
        <f>SUMIFS([1]اردیبهشت!$AD$2:$AD$805,[1]اردیبهشت!$N$2:$N$805,$C$43,[1]اردیبهشت!$D$2:$D$805,$F$44,[1]اردیبهشت!$AA$2:$AA$805,S3)</f>
        <v>0</v>
      </c>
      <c r="T44" s="172">
        <f>SUMIFS([1]اردیبهشت!$AD$2:$AD$805,[1]اردیبهشت!$N$2:$N$805,$C$43,[1]اردیبهشت!$D$2:$D$805,$F$44,[1]اردیبهشت!$AA$2:$AA$805,T3)</f>
        <v>0</v>
      </c>
      <c r="U44" s="109">
        <f>SUMIFS([1]اردیبهشت!$AD$2:$AD$600,[1]اردیبهشت!$N$2:$N$600,$C$43,[1]اردیبهشت!$D$2:$D$600,$F$44,[1]اردیبهشت!$AA$2:$AA$600,U3)</f>
        <v>0</v>
      </c>
    </row>
    <row r="45" spans="1:21" ht="42.75" customHeight="1" thickBot="1" x14ac:dyDescent="0.3">
      <c r="A45" s="45">
        <v>20</v>
      </c>
      <c r="B45" s="729" t="s">
        <v>63</v>
      </c>
      <c r="C45" s="708">
        <v>8001</v>
      </c>
      <c r="D45" s="708">
        <v>62.5</v>
      </c>
      <c r="E45" s="708" t="s">
        <v>15</v>
      </c>
      <c r="F45" s="54" t="s">
        <v>54</v>
      </c>
      <c r="G45" s="4">
        <f t="shared" si="0"/>
        <v>0</v>
      </c>
      <c r="H45" s="67">
        <f t="shared" si="1"/>
        <v>0</v>
      </c>
      <c r="I45" s="4">
        <v>0</v>
      </c>
      <c r="J45" s="4">
        <v>0</v>
      </c>
      <c r="K45" s="4">
        <v>0</v>
      </c>
      <c r="L45" s="4">
        <v>0</v>
      </c>
      <c r="M45" s="4">
        <f>SUM(G45:J45)-62</f>
        <v>-62</v>
      </c>
      <c r="N45" s="734" t="s">
        <v>31</v>
      </c>
      <c r="O45" s="580">
        <f>SUMIFS([1]مرداد!$AF$2:$AF$805,[1]مرداد!$O$2:$O$805,8001,[1]مرداد!$D$2:$D$805,"*",[1]مرداد!$AC$2:$AC$805,O3)</f>
        <v>0</v>
      </c>
      <c r="P45" s="580">
        <f>SUMIFS([1]مرداد!$AF$2:$AF$805,[1]مرداد!$O$2:$O$805,8001,[1]مرداد!$D$2:$D$805,"*",[1]مرداد!$AC$2:$AC$805,P3)</f>
        <v>0</v>
      </c>
      <c r="Q45" s="580">
        <f>SUMIFS([1]مرداد!$AF$2:$AF$805,[1]مرداد!$O$2:$O$805,8001,[1]مرداد!$D$2:$D$805,"*",[1]مرداد!$AC$2:$AC$805,Q3)</f>
        <v>0</v>
      </c>
      <c r="R45" s="580">
        <f>SUMIFS([1]مرداد!$AF$2:$AF$805,[1]مرداد!$O$2:$O$805,8001,[1]مرداد!$D$2:$D$805,"*",[1]مرداد!$AC$2:$AC$805,R3)</f>
        <v>0</v>
      </c>
      <c r="S45" s="580">
        <f>SUMIFS([1]مرداد!$AF$2:$AF$805,[1]مرداد!$O$2:$O$805,8001,[1]مرداد!$D$2:$D$805,"*",[1]مرداد!$AC$2:$AC$805,S3)</f>
        <v>0</v>
      </c>
      <c r="T45" s="580">
        <f>SUMIFS([1]مرداد!$AF$2:$AF$805,[1]مرداد!$O$2:$O$805,8001,[1]مرداد!$D$2:$D$805,"*",[1]مرداد!$AC$2:$AC$805,T3)</f>
        <v>0</v>
      </c>
      <c r="U45" s="580">
        <f>SUMIFS([1]مرداد!$AF$2:$AF$805,[1]مرداد!$O$2:$O$805,8001,[1]مرداد!$D$2:$D$805,"*",[1]مرداد!$AC$2:$AC$805,U3)</f>
        <v>0</v>
      </c>
    </row>
    <row r="46" spans="1:21" ht="39" customHeight="1" thickBot="1" x14ac:dyDescent="0.3">
      <c r="A46" s="45">
        <v>21</v>
      </c>
      <c r="B46" s="12" t="s">
        <v>32</v>
      </c>
      <c r="C46" s="13">
        <v>8002</v>
      </c>
      <c r="D46" s="13">
        <v>44</v>
      </c>
      <c r="E46" s="13" t="s">
        <v>15</v>
      </c>
      <c r="F46" s="31" t="s">
        <v>55</v>
      </c>
      <c r="G46" s="14">
        <f t="shared" si="0"/>
        <v>13</v>
      </c>
      <c r="H46" s="48">
        <f t="shared" si="1"/>
        <v>0</v>
      </c>
      <c r="I46" s="14">
        <v>0</v>
      </c>
      <c r="J46" s="14">
        <v>0</v>
      </c>
      <c r="K46" s="14">
        <v>0</v>
      </c>
      <c r="L46" s="14">
        <v>0</v>
      </c>
      <c r="M46" s="14">
        <f>SUM(G46:L46)-(D46)</f>
        <v>-31</v>
      </c>
      <c r="N46" s="17" t="s">
        <v>40</v>
      </c>
      <c r="O46" s="297">
        <f>SUMIFS([1]مرداد!$AF$2:$AF$805,[1]مرداد!$O$2:$O$805,8002,[1]مرداد!$D$2:$D$805,$F$46,[1]مرداد!$AC$2:$AC$805,O3)</f>
        <v>0</v>
      </c>
      <c r="P46" s="297">
        <f>SUMIFS([1]مرداد!$AF$2:$AF$805,[1]مرداد!$O$2:$O$805,8002,[1]مرداد!$D$2:$D$805,$F$46,[1]مرداد!$AC$2:$AC$805,P3)</f>
        <v>0</v>
      </c>
      <c r="Q46" s="297">
        <f>SUMIFS([1]مرداد!$AF$2:$AF$805,[1]مرداد!$O$2:$O$805,8002,[1]مرداد!$D$2:$D$805,$F$46,[1]مرداد!$AC$2:$AC$805,Q3)</f>
        <v>0</v>
      </c>
      <c r="R46" s="297">
        <f>SUMIFS([1]مرداد!$AF$2:$AF$805,[1]مرداد!$O$2:$O$805,8002,[1]مرداد!$D$2:$D$805,$F$46,[1]مرداد!$AC$2:$AC$805,R3)</f>
        <v>1.5</v>
      </c>
      <c r="S46" s="297">
        <f>SUMIFS([1]مرداد!$AF$2:$AF$805,[1]مرداد!$O$2:$O$805,8002,[1]مرداد!$D$2:$D$805,$F$46,[1]مرداد!$AC$2:$AC$805,S3)</f>
        <v>5</v>
      </c>
      <c r="T46" s="297">
        <f>SUMIFS([1]مرداد!$AF$2:$AF$805,[1]مرداد!$O$2:$O$805,8002,[1]مرداد!$D$2:$D$805,$F$46,[1]مرداد!$AC$2:$AC$805,T3)</f>
        <v>6.5</v>
      </c>
      <c r="U46" s="297">
        <f>SUMIFS([1]مرداد!$AF$2:$AF$805,[1]مرداد!$O$2:$O$805,8002,[1]مرداد!$D$2:$D$805,$F$46,[1]مرداد!$AC$2:$AC$805,U3)</f>
        <v>0</v>
      </c>
    </row>
    <row r="47" spans="1:21" ht="33.75" customHeight="1" x14ac:dyDescent="0.25">
      <c r="A47" s="957">
        <v>22</v>
      </c>
      <c r="B47" s="974" t="s">
        <v>33</v>
      </c>
      <c r="C47" s="943" t="s">
        <v>33</v>
      </c>
      <c r="D47" s="932">
        <v>62.5</v>
      </c>
      <c r="E47" s="1002">
        <f>G47+G48+G49+G50</f>
        <v>11.5</v>
      </c>
      <c r="F47" s="32" t="s">
        <v>16</v>
      </c>
      <c r="G47" s="739">
        <f t="shared" si="0"/>
        <v>4</v>
      </c>
      <c r="H47" s="46">
        <f t="shared" si="1"/>
        <v>0</v>
      </c>
      <c r="I47" s="739">
        <v>0</v>
      </c>
      <c r="J47" s="739">
        <v>0</v>
      </c>
      <c r="K47" s="739">
        <v>0</v>
      </c>
      <c r="L47" s="739">
        <v>0</v>
      </c>
      <c r="M47" s="739">
        <f>(SUM(G47:L47))-D47</f>
        <v>-58.5</v>
      </c>
      <c r="N47" s="33"/>
      <c r="O47" s="292">
        <f>SUMIFS([1]مرداد!$AF$2:$AF$805,[1]مرداد!$O$2:$O$805,"مونتاژ",[1]مرداد!$D$2:$D$805,$F$47,[1]مرداد!$AC$2:$AC$805,O3)</f>
        <v>0</v>
      </c>
      <c r="P47" s="292">
        <f>SUMIFS([1]مرداد!$AF$2:$AF$805,[1]مرداد!$O$2:$O$805,"مونتاژ",[1]مرداد!$D$2:$D$805,$F$47,[1]مرداد!$AC$2:$AC$805,P3)</f>
        <v>1</v>
      </c>
      <c r="Q47" s="292">
        <f>SUMIFS([1]مرداد!$AF$2:$AF$805,[1]مرداد!$O$2:$O$805,"مونتاژ",[1]مرداد!$D$2:$D$805,$F$47,[1]مرداد!$AC$2:$AC$805,Q3)</f>
        <v>2</v>
      </c>
      <c r="R47" s="292">
        <f>SUMIFS([1]مرداد!$AF$2:$AF$805,[1]مرداد!$O$2:$O$805,"مونتاژ",[1]مرداد!$D$2:$D$805,$F$47,[1]مرداد!$AC$2:$AC$805,R3)</f>
        <v>1</v>
      </c>
      <c r="S47" s="292">
        <f>SUMIFS([1]مرداد!$AF$2:$AF$805,[1]مرداد!$O$2:$O$805,"مونتاژ",[1]مرداد!$D$2:$D$805,$F$47,[1]مرداد!$AC$2:$AC$805,S3)</f>
        <v>0</v>
      </c>
      <c r="T47" s="292">
        <f>SUMIFS([1]مرداد!$AF$2:$AF$805,[1]مرداد!$O$2:$O$805,"مونتاژ",[1]مرداد!$D$2:$D$805,$F$47,[1]مرداد!$AC$2:$AC$805,T3)</f>
        <v>0</v>
      </c>
      <c r="U47" s="357">
        <f>SUMIFS([1]مرداد!$AF$2:$AF$805,[1]مرداد!$O$2:$O$805,"مونتاژ",[1]مرداد!$D$2:$D$805,$F$47,[1]مرداد!$AC$2:$AC$805,U3)</f>
        <v>0</v>
      </c>
    </row>
    <row r="48" spans="1:21" ht="33.75" customHeight="1" x14ac:dyDescent="0.25">
      <c r="A48" s="958"/>
      <c r="B48" s="975"/>
      <c r="C48" s="965"/>
      <c r="D48" s="933"/>
      <c r="E48" s="965"/>
      <c r="F48" s="29" t="s">
        <v>17</v>
      </c>
      <c r="G48" s="3">
        <f>SUM(O48:T48)</f>
        <v>0</v>
      </c>
      <c r="H48" s="47">
        <f t="shared" si="1"/>
        <v>0</v>
      </c>
      <c r="I48" s="3">
        <v>0</v>
      </c>
      <c r="J48" s="3">
        <v>0</v>
      </c>
      <c r="K48" s="3">
        <v>0</v>
      </c>
      <c r="L48" s="3">
        <v>0</v>
      </c>
      <c r="M48" s="3">
        <f>(SUM(G48:L48))-D47</f>
        <v>-62.5</v>
      </c>
      <c r="N48" s="58"/>
      <c r="O48" s="293">
        <f>SUMIFS([1]مرداد!$AF$2:$AF$805,[1]مرداد!$O$2:$O$805,"مونتاژ",[1]مرداد!$D$2:$D$805,$F$48,[1]مرداد!$AC$2:$AC$805,O3)</f>
        <v>0</v>
      </c>
      <c r="P48" s="293">
        <f>SUMIFS([1]مرداد!$AF$2:$AF$805,[1]مرداد!$O$2:$O$805,"مونتاژ",[1]مرداد!$D$2:$D$805,$F$48,[1]مرداد!$AC$2:$AC$805,P3)</f>
        <v>0</v>
      </c>
      <c r="Q48" s="293">
        <f>SUMIFS([1]مرداد!$AF$2:$AF$805,[1]مرداد!$O$2:$O$805,"مونتاژ",[1]مرداد!$D$2:$D$805,$F$48,[1]مرداد!$AC$2:$AC$805,Q3)</f>
        <v>0</v>
      </c>
      <c r="R48" s="293">
        <f>SUMIFS([1]مرداد!$AF$2:$AF$805,[1]مرداد!$O$2:$O$805,"مونتاژ",[1]مرداد!$D$2:$D$805,$F$48,[1]مرداد!$AC$2:$AC$805,R3)</f>
        <v>0</v>
      </c>
      <c r="S48" s="293">
        <f>SUMIFS([1]مرداد!$AF$2:$AF$805,[1]مرداد!$O$2:$O$805,"مونتاژ",[1]مرداد!$D$2:$D$805,$F$48,[1]مرداد!$AC$2:$AC$805,S3)</f>
        <v>0</v>
      </c>
      <c r="T48" s="293">
        <f>SUMIFS([1]مرداد!$AF$2:$AF$805,[1]مرداد!$O$2:$O$805,"مونتاژ",[1]مرداد!$D$2:$D$805,$F$48,[1]مرداد!$AC$2:$AC$805,T3)</f>
        <v>0</v>
      </c>
      <c r="U48" s="361">
        <f>SUMIFS([1]مرداد!$AF$2:$AF$805,[1]مرداد!$O$2:$O$805,"مونتاژ",[1]مرداد!$D$2:$D$805,$F$48,[1]مرداد!$AC$2:$AC$805,U3)</f>
        <v>0</v>
      </c>
    </row>
    <row r="49" spans="1:21" ht="33.75" customHeight="1" x14ac:dyDescent="0.25">
      <c r="A49" s="959"/>
      <c r="B49" s="975"/>
      <c r="C49" s="966"/>
      <c r="D49" s="933"/>
      <c r="E49" s="966"/>
      <c r="F49" s="29" t="s">
        <v>54</v>
      </c>
      <c r="G49" s="3">
        <f t="shared" si="0"/>
        <v>4</v>
      </c>
      <c r="H49" s="47">
        <f t="shared" si="1"/>
        <v>0</v>
      </c>
      <c r="I49" s="3">
        <v>0</v>
      </c>
      <c r="J49" s="3">
        <v>0</v>
      </c>
      <c r="K49" s="3">
        <v>0</v>
      </c>
      <c r="L49" s="3">
        <v>0</v>
      </c>
      <c r="M49" s="3">
        <f>(SUM(G49:L49))-62</f>
        <v>-58</v>
      </c>
      <c r="N49" s="62"/>
      <c r="O49" s="293">
        <f>SUMIFS([1]مرداد!$AF$2:$AF$805,[1]مرداد!$O$2:$O$805,"مونتاژ",[1]مرداد!$D$2:$D$805,$F$49,[1]مرداد!$AC$2:$AC$805,O3)</f>
        <v>0</v>
      </c>
      <c r="P49" s="293">
        <f>SUMIFS([1]مرداد!$AF$2:$AF$805,[1]مرداد!$O$2:$O$805,"مونتاژ",[1]مرداد!$D$2:$D$805,$F$49,[1]مرداد!$AC$2:$AC$805,P3)</f>
        <v>2</v>
      </c>
      <c r="Q49" s="293">
        <f>SUMIFS([1]مرداد!$AF$2:$AF$805,[1]مرداد!$O$2:$O$805,"مونتاژ",[1]مرداد!$D$2:$D$805,$F$49,[1]مرداد!$AC$2:$AC$805,Q3)</f>
        <v>2</v>
      </c>
      <c r="R49" s="293">
        <f>SUMIFS([1]مرداد!$AF$2:$AF$805,[1]مرداد!$O$2:$O$805,"مونتاژ",[1]مرداد!$D$2:$D$805,$F$49,[1]مرداد!$AC$2:$AC$805,R3)</f>
        <v>0</v>
      </c>
      <c r="S49" s="293">
        <f>SUMIFS([1]مرداد!$AF$2:$AF$805,[1]مرداد!$O$2:$O$805,"مونتاژ",[1]مرداد!$D$2:$D$805,$F$49,[1]مرداد!$AC$2:$AC$805,S3)</f>
        <v>0</v>
      </c>
      <c r="T49" s="293">
        <f>SUMIFS([1]مرداد!$AF$2:$AF$805,[1]مرداد!$O$2:$O$805,"مونتاژ",[1]مرداد!$D$2:$D$805,$F$49,[1]مرداد!$AC$2:$AC$805,T3)</f>
        <v>0</v>
      </c>
      <c r="U49" s="361">
        <f>SUMIFS([1]مرداد!$AF$2:$AF$805,[1]مرداد!$O$2:$O$805,"مونتاژ",[1]مرداد!$D$2:$D$805,$F$49,[1]مرداد!$AC$2:$AC$805,U3)</f>
        <v>0</v>
      </c>
    </row>
    <row r="50" spans="1:21" ht="33.75" customHeight="1" thickBot="1" x14ac:dyDescent="0.3">
      <c r="A50" s="960"/>
      <c r="B50" s="975"/>
      <c r="C50" s="944"/>
      <c r="D50" s="934"/>
      <c r="E50" s="944"/>
      <c r="F50" s="30" t="s">
        <v>55</v>
      </c>
      <c r="G50" s="6">
        <f t="shared" si="0"/>
        <v>3.5</v>
      </c>
      <c r="H50" s="47">
        <f t="shared" si="1"/>
        <v>0</v>
      </c>
      <c r="I50" s="7">
        <v>0</v>
      </c>
      <c r="J50" s="7">
        <v>0</v>
      </c>
      <c r="K50" s="7">
        <v>0</v>
      </c>
      <c r="L50" s="7">
        <v>0</v>
      </c>
      <c r="M50" s="7">
        <f>SUM(G50:J50)-62</f>
        <v>-58.5</v>
      </c>
      <c r="N50" s="34"/>
      <c r="O50" s="352">
        <f>SUMIFS([1]مرداد!$AF$2:$AF$805,[1]مرداد!$O$2:$O$805,"مونتاژ",[1]مرداد!$D$2:$D$805,$F$50,[1]مرداد!$AC$2:$AC$805,O3)</f>
        <v>0</v>
      </c>
      <c r="P50" s="352">
        <f>SUMIFS([1]مرداد!$AF$2:$AF$805,[1]مرداد!$O$2:$O$805,"مونتاژ",[1]مرداد!$D$2:$D$805,$F$50,[1]مرداد!$AC$2:$AC$805,P3)</f>
        <v>0</v>
      </c>
      <c r="Q50" s="352">
        <f>SUMIFS([1]مرداد!$AF$2:$AF$805,[1]مرداد!$O$2:$O$805,"مونتاژ",[1]مرداد!$D$2:$D$805,$F$50,[1]مرداد!$AC$2:$AC$805,Q3)</f>
        <v>3.5</v>
      </c>
      <c r="R50" s="352">
        <f>SUMIFS([1]مرداد!$AF$2:$AF$805,[1]مرداد!$O$2:$O$805,"مونتاژ",[1]مرداد!$D$2:$D$805,$F$50,[1]مرداد!$AC$2:$AC$805,R3)</f>
        <v>0</v>
      </c>
      <c r="S50" s="352">
        <f>SUMIFS([1]مرداد!$AF$2:$AF$805,[1]مرداد!$O$2:$O$805,"مونتاژ",[1]مرداد!$D$2:$D$805,$F$50,[1]مرداد!$AC$2:$AC$805,S3)</f>
        <v>0</v>
      </c>
      <c r="T50" s="352">
        <f>SUMIFS([1]مرداد!$AF$2:$AF$805,[1]مرداد!$O$2:$O$805,"مونتاژ",[1]مرداد!$D$2:$D$805,$F$50,[1]مرداد!$AC$2:$AC$805,T3)</f>
        <v>0</v>
      </c>
      <c r="U50" s="775">
        <f>SUMIFS([1]مرداد!$AF$2:$AF$805,[1]مرداد!$O$2:$O$805,"مونتاژ",[1]مرداد!$D$2:$D$805,$F$50,[1]مرداد!$AC$2:$AC$805,U3)</f>
        <v>0</v>
      </c>
    </row>
    <row r="51" spans="1:21" ht="33.75" customHeight="1" x14ac:dyDescent="0.25">
      <c r="A51" s="967">
        <v>23</v>
      </c>
      <c r="B51" s="975"/>
      <c r="C51" s="943" t="s">
        <v>34</v>
      </c>
      <c r="D51" s="932">
        <v>62.5</v>
      </c>
      <c r="E51" s="932"/>
      <c r="F51" s="32" t="s">
        <v>16</v>
      </c>
      <c r="G51" s="739">
        <f t="shared" si="0"/>
        <v>9</v>
      </c>
      <c r="H51" s="47">
        <f t="shared" si="1"/>
        <v>0</v>
      </c>
      <c r="I51" s="739">
        <v>0</v>
      </c>
      <c r="J51" s="739">
        <v>0</v>
      </c>
      <c r="K51" s="739">
        <v>0</v>
      </c>
      <c r="L51" s="739">
        <v>0</v>
      </c>
      <c r="M51" s="739">
        <f>SUM(G51:L51)-62</f>
        <v>-53</v>
      </c>
      <c r="N51" s="56"/>
      <c r="O51" s="292">
        <f>SUMIFS([1]مرداد!$AF$2:$AF$805,[1]مرداد!$O$2:$O$805,"دمونتاژ",[1]مرداد!$D$2:$D$805,$F$51,[1]مرداد!$AC$2:$AC$805,O3)</f>
        <v>0</v>
      </c>
      <c r="P51" s="292">
        <f>SUMIFS([1]مرداد!$AF$2:$AF$805,[1]مرداد!$O$2:$O$805,"دمونتاژ",[1]مرداد!$D$2:$D$805,$F$51,[1]مرداد!$AC$2:$AC$805,P3)</f>
        <v>2</v>
      </c>
      <c r="Q51" s="292">
        <f>SUMIFS([1]مرداد!$AF$2:$AF$805,[1]مرداد!$O$2:$O$805,"دمونتاژ",[1]مرداد!$D$2:$D$805,$F$51,[1]مرداد!$AC$2:$AC$805,Q3)</f>
        <v>7</v>
      </c>
      <c r="R51" s="292">
        <f>SUMIFS([1]مرداد!$AF$2:$AF$805,[1]مرداد!$O$2:$O$805,"دمونتاژ",[1]مرداد!$D$2:$D$805,$F$51,[1]مرداد!$AC$2:$AC$805,R3)</f>
        <v>0</v>
      </c>
      <c r="S51" s="292">
        <f>SUMIFS([1]مرداد!$AF$2:$AF$805,[1]مرداد!$O$2:$O$805,"دمونتاژ",[1]مرداد!$D$2:$D$805,$F$51,[1]مرداد!$AC$2:$AC$805,S3)</f>
        <v>0</v>
      </c>
      <c r="T51" s="292">
        <f>SUMIFS([1]مرداد!$AF$2:$AF$805,[1]مرداد!$O$2:$O$805,"دمونتاژ",[1]مرداد!$D$2:$D$805,$F$51,[1]مرداد!$AC$2:$AC$805,T3)</f>
        <v>0</v>
      </c>
      <c r="U51" s="357">
        <f>SUMIFS([1]مرداد!$AF$2:$AF$805,[1]مرداد!$O$2:$O$805,"دمونتاژ",[1]مرداد!$D$2:$D$805,$F$51,[1]مرداد!$AC$2:$AC$805,U3)</f>
        <v>0</v>
      </c>
    </row>
    <row r="52" spans="1:21" ht="33.75" customHeight="1" x14ac:dyDescent="0.25">
      <c r="A52" s="967"/>
      <c r="B52" s="975"/>
      <c r="C52" s="965"/>
      <c r="D52" s="933"/>
      <c r="E52" s="933"/>
      <c r="F52" s="29" t="s">
        <v>55</v>
      </c>
      <c r="G52" s="3">
        <f t="shared" si="0"/>
        <v>0</v>
      </c>
      <c r="H52" s="47">
        <f t="shared" si="1"/>
        <v>0</v>
      </c>
      <c r="I52" s="3">
        <v>0</v>
      </c>
      <c r="J52" s="3">
        <v>0</v>
      </c>
      <c r="K52" s="3">
        <v>0</v>
      </c>
      <c r="L52" s="3">
        <v>0</v>
      </c>
      <c r="M52" s="3">
        <f>SUM(G52:L52)-62</f>
        <v>-62</v>
      </c>
      <c r="N52" s="62"/>
      <c r="O52" s="293">
        <f>SUMIFS([1]مرداد!$AF$2:$AF$805,[1]مرداد!$O$2:$O$805,"دمونتاژ",[1]مرداد!$D$2:$D$805,$F$52,[1]مرداد!$AC$2:$AC$805,O3)</f>
        <v>0</v>
      </c>
      <c r="P52" s="293">
        <f>SUMIFS([1]مرداد!$AF$2:$AF$805,[1]مرداد!$O$2:$O$805,"دمونتاژ",[1]مرداد!$D$2:$D$805,$F$52,[1]مرداد!$AC$2:$AC$805,P3)</f>
        <v>0</v>
      </c>
      <c r="Q52" s="293">
        <f>SUMIFS([1]مرداد!$AF$2:$AF$805,[1]مرداد!$O$2:$O$805,"دمونتاژ",[1]مرداد!$D$2:$D$805,$F$52,[1]مرداد!$AC$2:$AC$805,Q3)</f>
        <v>0</v>
      </c>
      <c r="R52" s="293">
        <f>SUMIFS([1]مرداد!$AF$2:$AF$805,[1]مرداد!$O$2:$O$805,"دمونتاژ",[1]مرداد!$D$2:$D$805,$F$52,[1]مرداد!$AC$2:$AC$805,R3)</f>
        <v>0</v>
      </c>
      <c r="S52" s="293">
        <f>SUMIFS([1]مرداد!$AF$2:$AF$805,[1]مرداد!$O$2:$O$805,"دمونتاژ",[1]مرداد!$D$2:$D$805,$F$52,[1]مرداد!$AC$2:$AC$805,S3)</f>
        <v>0</v>
      </c>
      <c r="T52" s="293">
        <f>SUMIFS([1]مرداد!$AF$2:$AF$805,[1]مرداد!$O$2:$O$805,"دمونتاژ",[1]مرداد!$D$2:$D$805,$F$52,[1]مرداد!$AC$2:$AC$805,T3)</f>
        <v>0</v>
      </c>
      <c r="U52" s="361">
        <f>SUMIFS([1]مرداد!$AF$2:$AF$805,[1]مرداد!$O$2:$O$805,"دمونتاژ",[1]مرداد!$D$2:$D$805,$F$52,[1]مرداد!$AC$2:$AC$805,U3)</f>
        <v>0</v>
      </c>
    </row>
    <row r="53" spans="1:21" ht="33.75" customHeight="1" x14ac:dyDescent="0.25">
      <c r="A53" s="967"/>
      <c r="B53" s="975"/>
      <c r="C53" s="965"/>
      <c r="D53" s="933"/>
      <c r="E53" s="933"/>
      <c r="F53" s="29" t="s">
        <v>54</v>
      </c>
      <c r="G53" s="3">
        <f t="shared" si="0"/>
        <v>28</v>
      </c>
      <c r="H53" s="47">
        <f t="shared" si="1"/>
        <v>0</v>
      </c>
      <c r="I53" s="3">
        <v>0</v>
      </c>
      <c r="J53" s="3">
        <v>0</v>
      </c>
      <c r="K53" s="3">
        <v>0</v>
      </c>
      <c r="L53" s="3">
        <v>0</v>
      </c>
      <c r="M53" s="3">
        <f>SUM(G53:L53)-62</f>
        <v>-34</v>
      </c>
      <c r="N53" s="62"/>
      <c r="O53" s="293">
        <f>SUMIFS([1]مرداد!$AF$2:$AF$805,[1]مرداد!$O$2:$O$805,"دمونتاژ",[1]مرداد!$D$2:$D$805,$F$53,[1]مرداد!$AC$2:$AC$805,O3)</f>
        <v>2</v>
      </c>
      <c r="P53" s="293">
        <f>SUMIFS([1]مرداد!$AF$2:$AF$805,[1]مرداد!$O$2:$O$805,"دمونتاژ",[1]مرداد!$D$2:$D$805,$F$53,[1]مرداد!$AC$2:$AC$805,P3)</f>
        <v>5</v>
      </c>
      <c r="Q53" s="293">
        <f>SUMIFS([1]مرداد!$AF$2:$AF$805,[1]مرداد!$O$2:$O$805,"دمونتاژ",[1]مرداد!$D$2:$D$805,$F$53,[1]مرداد!$AC$2:$AC$805,Q3)</f>
        <v>7</v>
      </c>
      <c r="R53" s="293">
        <f>SUMIFS([1]مرداد!$AF$2:$AF$805,[1]مرداد!$O$2:$O$805,"دمونتاژ",[1]مرداد!$D$2:$D$805,$F$53,[1]مرداد!$AC$2:$AC$805,R3)</f>
        <v>9</v>
      </c>
      <c r="S53" s="293">
        <f>SUMIFS([1]مرداد!$AF$2:$AF$805,[1]مرداد!$O$2:$O$805,"دمونتاژ",[1]مرداد!$D$2:$D$805,$F$53,[1]مرداد!$AC$2:$AC$805,S3)</f>
        <v>5</v>
      </c>
      <c r="T53" s="293">
        <f>SUMIFS([1]مرداد!$AF$2:$AF$805,[1]مرداد!$O$2:$O$805,"دمونتاژ",[1]مرداد!$D$2:$D$805,$F$53,[1]مرداد!$AC$2:$AC$805,T3)</f>
        <v>0</v>
      </c>
      <c r="U53" s="361">
        <f>SUMIFS([1]مرداد!$AF$2:$AF$805,[1]مرداد!$O$2:$O$805,"دمونتاژ",[1]مرداد!$D$2:$D$805,$F$53,[1]مرداد!$AC$2:$AC$805,U3)</f>
        <v>0</v>
      </c>
    </row>
    <row r="54" spans="1:21" ht="33.75" customHeight="1" thickBot="1" x14ac:dyDescent="0.3">
      <c r="A54" s="967"/>
      <c r="B54" s="976"/>
      <c r="C54" s="944"/>
      <c r="D54" s="934"/>
      <c r="E54" s="934"/>
      <c r="F54" s="711"/>
      <c r="G54" s="6">
        <f t="shared" si="0"/>
        <v>0</v>
      </c>
      <c r="H54" s="761">
        <f t="shared" si="1"/>
        <v>0</v>
      </c>
      <c r="I54" s="7">
        <v>0</v>
      </c>
      <c r="J54" s="7">
        <v>0</v>
      </c>
      <c r="K54" s="7">
        <v>0</v>
      </c>
      <c r="L54" s="7">
        <v>0</v>
      </c>
      <c r="M54" s="7">
        <f>SUM(G54:L54)-62</f>
        <v>-62</v>
      </c>
      <c r="N54" s="34"/>
      <c r="O54" s="294">
        <f>SUMIFS([1]مرداد!$AF$2:$AF$805,[1]مرداد!$O$2:$O$805,"دمونتاژ",[1]مرداد!$D$2:$D$805,$F$54,[1]مرداد!$AC$2:$AC$805,O3)</f>
        <v>0</v>
      </c>
      <c r="P54" s="294">
        <f>SUMIFS([1]مرداد!$AF$2:$AF$805,[1]مرداد!$O$2:$O$805,"دمونتاژ",[1]مرداد!$D$2:$D$805,$F$54,[1]مرداد!$AC$2:$AC$805,P3)</f>
        <v>0</v>
      </c>
      <c r="Q54" s="294">
        <f>SUMIFS([1]مرداد!$AF$2:$AF$805,[1]مرداد!$O$2:$O$805,"دمونتاژ",[1]مرداد!$D$2:$D$805,$F$54,[1]مرداد!$AC$2:$AC$805,Q3)</f>
        <v>0</v>
      </c>
      <c r="R54" s="294">
        <f>SUMIFS([1]مرداد!$AF$2:$AF$805,[1]مرداد!$O$2:$O$805,"دمونتاژ",[1]مرداد!$D$2:$D$805,$F$54,[1]مرداد!$AC$2:$AC$805,R3)</f>
        <v>0</v>
      </c>
      <c r="S54" s="294">
        <f>SUMIFS([1]مرداد!$AF$2:$AF$805,[1]مرداد!$O$2:$O$805,"دمونتاژ",[1]مرداد!$D$2:$D$805,$F$54,[1]مرداد!$AC$2:$AC$805,S3)</f>
        <v>0</v>
      </c>
      <c r="T54" s="294">
        <f>SUMIFS([1]مرداد!$AF$2:$AF$805,[1]مرداد!$O$2:$O$805,"دمونتاژ",[1]مرداد!$D$2:$D$805,$F$54,[1]مرداد!$AC$2:$AC$805,T3)</f>
        <v>0</v>
      </c>
      <c r="U54" s="776">
        <f>SUMIFS([1]مرداد!$AF$2:$AF$805,[1]مرداد!$O$2:$O$805,"دمونتاژ",[1]مرداد!$D$2:$D$805,$F$54,[1]مرداد!$AC$2:$AC$805,U3)</f>
        <v>0</v>
      </c>
    </row>
    <row r="55" spans="1:21" ht="48.75" customHeight="1" thickBot="1" x14ac:dyDescent="0.3">
      <c r="A55" s="951" t="s">
        <v>49</v>
      </c>
      <c r="B55" s="1008"/>
      <c r="C55" s="1008"/>
      <c r="D55" s="1008"/>
      <c r="E55" s="1008"/>
      <c r="F55" s="1009"/>
      <c r="G55" s="760">
        <f t="shared" ref="G55:L55" si="3">SUM(G4:G54)</f>
        <v>624.5</v>
      </c>
      <c r="H55" s="760">
        <f t="shared" si="3"/>
        <v>0</v>
      </c>
      <c r="I55" s="760">
        <f t="shared" si="3"/>
        <v>0</v>
      </c>
      <c r="J55" s="760">
        <f t="shared" si="3"/>
        <v>62</v>
      </c>
      <c r="K55" s="760">
        <f t="shared" si="3"/>
        <v>0</v>
      </c>
      <c r="L55" s="760">
        <f t="shared" si="3"/>
        <v>0</v>
      </c>
      <c r="M55" s="773">
        <f>SUMIFS(M4:M54,F4:F54,"*")</f>
        <v>-941</v>
      </c>
      <c r="N55" s="774"/>
      <c r="O55" s="302">
        <f>SUM(O4:O54)</f>
        <v>104</v>
      </c>
      <c r="P55" s="198">
        <f t="shared" ref="P55:U55" si="4">SUM(P4:P54)</f>
        <v>139</v>
      </c>
      <c r="Q55" s="198">
        <f t="shared" si="4"/>
        <v>162.5</v>
      </c>
      <c r="R55" s="198">
        <f t="shared" si="4"/>
        <v>127.5</v>
      </c>
      <c r="S55" s="198">
        <f t="shared" si="4"/>
        <v>72</v>
      </c>
      <c r="T55" s="198">
        <f t="shared" si="4"/>
        <v>19.5</v>
      </c>
      <c r="U55" s="150">
        <f t="shared" si="4"/>
        <v>0</v>
      </c>
    </row>
    <row r="56" spans="1:21" x14ac:dyDescent="0.25">
      <c r="G56" s="582"/>
    </row>
    <row r="57" spans="1:21" x14ac:dyDescent="0.25">
      <c r="G57" s="660"/>
    </row>
    <row r="61" spans="1:21" x14ac:dyDescent="0.25">
      <c r="G61" s="660"/>
    </row>
  </sheetData>
  <mergeCells count="51">
    <mergeCell ref="A12:A14"/>
    <mergeCell ref="B12:B14"/>
    <mergeCell ref="C12:C14"/>
    <mergeCell ref="D12:D14"/>
    <mergeCell ref="E12:E14"/>
    <mergeCell ref="A1:L2"/>
    <mergeCell ref="O1:U2"/>
    <mergeCell ref="E4:E6"/>
    <mergeCell ref="N4:N6"/>
    <mergeCell ref="E7:E9"/>
    <mergeCell ref="A15:A16"/>
    <mergeCell ref="B15:B16"/>
    <mergeCell ref="C15:C16"/>
    <mergeCell ref="D15:D16"/>
    <mergeCell ref="E15:E16"/>
    <mergeCell ref="N19:N21"/>
    <mergeCell ref="E23:E25"/>
    <mergeCell ref="N23:N25"/>
    <mergeCell ref="B30:B31"/>
    <mergeCell ref="C30:C31"/>
    <mergeCell ref="D30:D31"/>
    <mergeCell ref="E30:E31"/>
    <mergeCell ref="N30:N31"/>
    <mergeCell ref="E19:E21"/>
    <mergeCell ref="A32:A33"/>
    <mergeCell ref="E32:E33"/>
    <mergeCell ref="N32:N33"/>
    <mergeCell ref="A34:A35"/>
    <mergeCell ref="E34:E35"/>
    <mergeCell ref="N34:N35"/>
    <mergeCell ref="A36:A37"/>
    <mergeCell ref="E36:E37"/>
    <mergeCell ref="N36:N37"/>
    <mergeCell ref="A38:A39"/>
    <mergeCell ref="E38:E39"/>
    <mergeCell ref="N38:N39"/>
    <mergeCell ref="A55:F55"/>
    <mergeCell ref="A40:A41"/>
    <mergeCell ref="E40:E41"/>
    <mergeCell ref="N40:N41"/>
    <mergeCell ref="E42:E44"/>
    <mergeCell ref="N42:N44"/>
    <mergeCell ref="A47:A50"/>
    <mergeCell ref="B47:B54"/>
    <mergeCell ref="C47:C50"/>
    <mergeCell ref="D47:D50"/>
    <mergeCell ref="E47:E50"/>
    <mergeCell ref="A51:A54"/>
    <mergeCell ref="C51:C54"/>
    <mergeCell ref="D51:D54"/>
    <mergeCell ref="E51:E54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:M54" formulaRange="1"/>
    <ignoredError sqref="G15" formula="1"/>
  </ignoredErrors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D57AC-C5FC-4C56-9E1F-C546B735E1B9}">
  <sheetPr>
    <pageSetUpPr fitToPage="1"/>
  </sheetPr>
  <dimension ref="A1:AB61"/>
  <sheetViews>
    <sheetView rightToLeft="1" view="pageLayout" topLeftCell="A52" zoomScale="85" zoomScaleNormal="100" zoomScalePageLayoutView="85" workbookViewId="0">
      <selection activeCell="I13" sqref="I13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20" width="6.42578125" style="52" hidden="1" customWidth="1"/>
    <col min="21" max="21" width="6.42578125" style="51" hidden="1" customWidth="1"/>
    <col min="22" max="28" width="5.5703125" hidden="1" customWidth="1"/>
  </cols>
  <sheetData>
    <row r="1" spans="1:28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  <c r="V1" s="923" t="s">
        <v>215</v>
      </c>
      <c r="W1" s="923"/>
      <c r="X1" s="923"/>
      <c r="Y1" s="923"/>
      <c r="Z1" s="923"/>
      <c r="AA1" s="923"/>
      <c r="AB1" s="924"/>
    </row>
    <row r="2" spans="1:28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22</v>
      </c>
      <c r="O2" s="926"/>
      <c r="P2" s="926"/>
      <c r="Q2" s="926"/>
      <c r="R2" s="926"/>
      <c r="S2" s="926"/>
      <c r="T2" s="926"/>
      <c r="U2" s="927"/>
      <c r="V2" s="926"/>
      <c r="W2" s="926"/>
      <c r="X2" s="926"/>
      <c r="Y2" s="926"/>
      <c r="Z2" s="926"/>
      <c r="AA2" s="926"/>
      <c r="AB2" s="927"/>
    </row>
    <row r="3" spans="1:28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806" t="s">
        <v>208</v>
      </c>
      <c r="P3" s="807" t="s">
        <v>209</v>
      </c>
      <c r="Q3" s="807" t="s">
        <v>210</v>
      </c>
      <c r="R3" s="807" t="s">
        <v>211</v>
      </c>
      <c r="S3" s="807" t="s">
        <v>212</v>
      </c>
      <c r="T3" s="807" t="s">
        <v>213</v>
      </c>
      <c r="U3" s="808" t="s">
        <v>214</v>
      </c>
      <c r="V3" s="291" t="s">
        <v>208</v>
      </c>
      <c r="W3" s="291" t="s">
        <v>209</v>
      </c>
      <c r="X3" s="291" t="s">
        <v>210</v>
      </c>
      <c r="Y3" s="291" t="s">
        <v>211</v>
      </c>
      <c r="Z3" s="291" t="s">
        <v>212</v>
      </c>
      <c r="AA3" s="291" t="s">
        <v>213</v>
      </c>
      <c r="AB3" s="291" t="s">
        <v>214</v>
      </c>
    </row>
    <row r="4" spans="1:28" ht="33.75" customHeight="1" x14ac:dyDescent="0.25">
      <c r="A4" s="713"/>
      <c r="B4" s="728"/>
      <c r="C4" s="42"/>
      <c r="D4" s="735"/>
      <c r="E4" s="932" t="s">
        <v>15</v>
      </c>
      <c r="F4" s="710" t="s">
        <v>55</v>
      </c>
      <c r="G4" s="739">
        <f>SUM(O4:T4)</f>
        <v>0</v>
      </c>
      <c r="H4" s="46">
        <f>U4</f>
        <v>0</v>
      </c>
      <c r="I4" s="739">
        <f>SUM(V4:AB4)</f>
        <v>0</v>
      </c>
      <c r="J4" s="739">
        <v>0</v>
      </c>
      <c r="K4" s="739">
        <v>0</v>
      </c>
      <c r="L4" s="739">
        <v>0</v>
      </c>
      <c r="M4" s="28"/>
      <c r="N4" s="945" t="s">
        <v>13</v>
      </c>
      <c r="O4" s="165">
        <f>SUMIFS([1]مرداد!$AF$2:$AF$805,[1]مرداد!$O$2:$O$805,7101,[1]مرداد!$D$2:$D$805,F4,[1]مرداد!$AC$2:$AC$805,$O$3)</f>
        <v>0</v>
      </c>
      <c r="P4" s="169">
        <f>SUMIFS([1]مرداد!$AF$2:$AF$805,[1]مرداد!$O$2:$O$805,7101,[1]مرداد!$D$2:$D$805,$F$4,[1]مرداد!$AC$2:$AC$805,P3)</f>
        <v>0</v>
      </c>
      <c r="Q4" s="169">
        <f>SUMIFS([1]مرداد!$AF$2:$AF$805,[1]مرداد!$O$2:$O$805,7101,[1]مرداد!$D$2:$D$805,$F$4,[1]مرداد!$AC$2:$AC$805,Q3)</f>
        <v>0</v>
      </c>
      <c r="R4" s="169">
        <f>SUMIFS([1]مرداد!$AF$2:$AF$805,[1]مرداد!$O$2:$O$805,7101,[1]مرداد!$D$2:$D$805,$F$4,[1]مرداد!$AC$2:$AC$805,R3)</f>
        <v>0</v>
      </c>
      <c r="S4" s="169">
        <f>SUMIFS([1]مرداد!$AF$2:$AF$805,[1]مرداد!$O$2:$O$805,7101,[1]مرداد!$D$2:$D$805,$F$4,[1]مرداد!$AC$2:$AC$805,S3)</f>
        <v>0</v>
      </c>
      <c r="T4" s="169">
        <f>SUMIFS([1]مرداد!$AF$2:$AF$805,[1]مرداد!$O$2:$O$805,7101,[1]مرداد!$D$2:$D$805,$F$4,[1]مرداد!$AC$2:$AC$805,T3)</f>
        <v>0</v>
      </c>
      <c r="U4" s="778">
        <f>SUMIFS([1]مرداد!$AF$2:$AF$805,[1]مرداد!$O$2:$O$805,7101,[1]مرداد!$D$2:$D$805,$F$4,[1]مرداد!$AC$2:$AC$805,U3)</f>
        <v>0</v>
      </c>
      <c r="V4" s="165">
        <f>SUMIFS([1]مرداد!$AH$2:$AH$805,[1]مرداد!$O$2:$O$805,7101,[1]مرداد!$D$2:$D$805,$F$4,[1]مرداد!$AC$2:$AC$805,V3)</f>
        <v>0</v>
      </c>
      <c r="W4" s="169">
        <f>SUMIFS([1]مرداد!$AH$2:$AH$805,[1]مرداد!$O$2:$O$805,7101,[1]مرداد!$D$2:$D$805,$F$4,[1]مرداد!$AC$2:$AC$805,W3)</f>
        <v>0</v>
      </c>
      <c r="X4" s="169">
        <f>SUMIFS([1]مرداد!$AH$2:$AH$805,[1]مرداد!$O$2:$O$805,7101,[1]مرداد!$D$2:$D$805,$F$4,[1]مرداد!$AC$2:$AC$805,X3)</f>
        <v>0</v>
      </c>
      <c r="Y4" s="169">
        <f>SUMIFS([1]مرداد!$AH$2:$AH$805,[1]مرداد!$O$2:$O$805,7101,[1]مرداد!$D$2:$D$805,$F$4,[1]مرداد!$AC$2:$AC$805,Y3)</f>
        <v>0</v>
      </c>
      <c r="Z4" s="169">
        <f>SUMIFS([1]مرداد!$AH$2:$AH$805,[1]مرداد!$O$2:$O$805,7101,[1]مرداد!$D$2:$D$805,$F$4,[1]مرداد!$AC$2:$AC$805,Z3)</f>
        <v>0</v>
      </c>
      <c r="AA4" s="169">
        <f>SUMIFS([1]مرداد!$AH$2:$AH$805,[1]مرداد!$O$2:$O$805,7101,[1]مرداد!$D$2:$D$805,$F$4,[1]مرداد!$AC$2:$AC$805,AA3)</f>
        <v>0</v>
      </c>
      <c r="AB4" s="170">
        <f>SUMIFS([1]مرداد!$AH$2:$AH$805,[1]مرداد!$O$2:$O$805,7101,[1]مرداد!$D$2:$D$805,$F$4,[1]مرداد!$AC$2:$AC$805,AB3)</f>
        <v>0</v>
      </c>
    </row>
    <row r="5" spans="1:28" ht="33.75" customHeight="1" x14ac:dyDescent="0.25">
      <c r="A5" s="714">
        <v>1</v>
      </c>
      <c r="B5" s="722" t="s">
        <v>14</v>
      </c>
      <c r="C5" s="708">
        <v>7101</v>
      </c>
      <c r="D5" s="736">
        <v>62.5</v>
      </c>
      <c r="E5" s="1003"/>
      <c r="F5" s="720" t="s">
        <v>12</v>
      </c>
      <c r="G5" s="3">
        <f t="shared" ref="G5:G54" si="0">SUM(O5:T5)</f>
        <v>2.5</v>
      </c>
      <c r="H5" s="47">
        <f t="shared" ref="H5:H54" si="1">U5</f>
        <v>0</v>
      </c>
      <c r="I5" s="3">
        <f t="shared" ref="I5:I54" si="2">SUM(V5:AB5)</f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-60</v>
      </c>
      <c r="N5" s="929"/>
      <c r="O5" s="166">
        <f>SUMIFS([1]مرداد!$AF$2:$AF$805,[1]مرداد!$O$2:$O$805,7101,[1]مرداد!$D$2:$D$805,$F$5,[1]مرداد!$AC$2:$AC$805,O3)</f>
        <v>2.5</v>
      </c>
      <c r="P5" s="168">
        <f>SUMIFS([1]مرداد!$AF$2:$AF$805,[1]مرداد!$O$2:$O$805,7101,[1]مرداد!$D$2:$D$805,$F$5,[1]مرداد!$AC$2:$AC$805,P3)</f>
        <v>0</v>
      </c>
      <c r="Q5" s="168">
        <f>SUMIFS([1]مرداد!$AF$2:$AF$805,[1]مرداد!$O$2:$O$805,7101,[1]مرداد!$D$2:$D$805,$F$5,[1]مرداد!$AC$2:$AC$805,Q3)</f>
        <v>0</v>
      </c>
      <c r="R5" s="168">
        <f>SUMIFS([1]مرداد!$AF$2:$AF$805,[1]مرداد!$O$2:$O$805,7101,[1]مرداد!$D$2:$D$805,$F$5,[1]مرداد!$AC$2:$AC$805,R3)</f>
        <v>0</v>
      </c>
      <c r="S5" s="168">
        <f>SUMIFS([1]مرداد!$AF$2:$AF$805,[1]مرداد!$O$2:$O$805,7101,[1]مرداد!$D$2:$D$805,$F$5,[1]مرداد!$AC$2:$AC$805,S3)</f>
        <v>0</v>
      </c>
      <c r="T5" s="168">
        <f>SUMIFS([1]مرداد!$AF$2:$AF$805,[1]مرداد!$O$2:$O$805,7101,[1]مرداد!$D$2:$D$805,$F$5,[1]مرداد!$AC$2:$AC$805,T3)</f>
        <v>0</v>
      </c>
      <c r="U5" s="779">
        <f>SUMIFS([1]مرداد!$AF$2:$AF$805,[1]مرداد!$O$2:$O$805,7101,[1]مرداد!$D$2:$D$805,$F$5,[1]مرداد!$AC$2:$AC$805,U3)</f>
        <v>0</v>
      </c>
      <c r="V5" s="166">
        <f>SUMIFS([1]مرداد!$AH$2:$AH$805,[1]مرداد!$O$2:$O$805,7101,[1]مرداد!$D$2:$D$805,$F$5,[1]مرداد!$AC$2:$AC$805,V3)</f>
        <v>0</v>
      </c>
      <c r="W5" s="168">
        <f>SUMIFS([1]مرداد!$AH$2:$AH$805,[1]مرداد!$O$2:$O$805,7101,[1]مرداد!$D$2:$D$805,$F$5,[1]مرداد!$AC$2:$AC$805,W3)</f>
        <v>0</v>
      </c>
      <c r="X5" s="168">
        <f>SUMIFS([1]مرداد!$AH$2:$AH$805,[1]مرداد!$O$2:$O$805,7101,[1]مرداد!$D$2:$D$805,$F$5,[1]مرداد!$AC$2:$AC$805,X3)</f>
        <v>0</v>
      </c>
      <c r="Y5" s="168">
        <f>SUMIFS([1]مرداد!$AH$2:$AH$805,[1]مرداد!$O$2:$O$805,7101,[1]مرداد!$D$2:$D$805,$F$5,[1]مرداد!$AC$2:$AC$805,Y3)</f>
        <v>0</v>
      </c>
      <c r="Z5" s="168">
        <f>SUMIFS([1]مرداد!$AH$2:$AH$805,[1]مرداد!$O$2:$O$805,7101,[1]مرداد!$D$2:$D$805,$F$5,[1]مرداد!$AC$2:$AC$805,Z3)</f>
        <v>0</v>
      </c>
      <c r="AA5" s="168">
        <f>SUMIFS([1]مرداد!$AH$2:$AH$805,[1]مرداد!$O$2:$O$805,7101,[1]مرداد!$D$2:$D$805,$F$5,[1]مرداد!$AC$2:$AC$805,AA3)</f>
        <v>0</v>
      </c>
      <c r="AB5" s="424">
        <f>SUMIFS([1]مرداد!$AH$2:$AH$805,[1]مرداد!$O$2:$O$805,7101,[1]مرداد!$D$2:$D$805,$F$5,[1]مرداد!$AC$2:$AC$805,AB3)</f>
        <v>0</v>
      </c>
    </row>
    <row r="6" spans="1:28" ht="33.75" customHeight="1" thickBot="1" x14ac:dyDescent="0.3">
      <c r="A6" s="715"/>
      <c r="B6" s="88"/>
      <c r="C6" s="43"/>
      <c r="D6" s="709"/>
      <c r="E6" s="934"/>
      <c r="F6" s="5"/>
      <c r="G6" s="6">
        <f t="shared" si="0"/>
        <v>0</v>
      </c>
      <c r="H6" s="761">
        <f t="shared" si="1"/>
        <v>0</v>
      </c>
      <c r="I6" s="1">
        <f t="shared" si="2"/>
        <v>0</v>
      </c>
      <c r="J6" s="7">
        <v>0</v>
      </c>
      <c r="K6" s="6">
        <v>0</v>
      </c>
      <c r="L6" s="6">
        <v>0</v>
      </c>
      <c r="M6" s="8"/>
      <c r="N6" s="930"/>
      <c r="O6" s="171">
        <f>SUMIFS([1]مرداد!$AF$2:$AF$805,[1]مرداد!$O$2:$O$805,7101,[1]مرداد!$D$2:$D$805,$F$6,[1]مرداد!$AC$2:$AC$805,O3)</f>
        <v>0</v>
      </c>
      <c r="P6" s="172">
        <f>SUMIFS([1]مرداد!$AF$2:$AF$805,[1]مرداد!$O$2:$O$805,7101,[1]مرداد!$D$2:$D$805,$F$6,[1]مرداد!$AC$2:$AC$805,P3)</f>
        <v>0</v>
      </c>
      <c r="Q6" s="172">
        <f>SUMIFS([1]مرداد!$AF$2:$AF$805,[1]مرداد!$O$2:$O$805,7101,[1]مرداد!$D$2:$D$805,$F$6,[1]مرداد!$AC$2:$AC$805,Q3)</f>
        <v>0</v>
      </c>
      <c r="R6" s="172">
        <f>SUMIFS([1]مرداد!$AF$2:$AF$805,[1]مرداد!$O$2:$O$805,7101,[1]مرداد!$D$2:$D$805,$F$6,[1]مرداد!$AC$2:$AC$805,R3)</f>
        <v>0</v>
      </c>
      <c r="S6" s="172">
        <f>SUMIFS([1]مرداد!$AF$2:$AF$805,[1]مرداد!$O$2:$O$805,7101,[1]مرداد!$D$2:$D$805,$F$6,[1]مرداد!$AC$2:$AC$805,S3)</f>
        <v>0</v>
      </c>
      <c r="T6" s="172">
        <f>SUMIFS([1]مرداد!$AF$2:$AF$805,[1]مرداد!$O$2:$O$805,7101,[1]مرداد!$D$2:$D$805,$F$6,[1]مرداد!$AC$2:$AC$805,T3)</f>
        <v>0</v>
      </c>
      <c r="U6" s="780">
        <f>SUMIFS([1]مرداد!$AF$2:$AF$805,[1]مرداد!$O$2:$O$805,7101,[1]مرداد!$D$2:$D$805,$F$6,[1]مرداد!$AC$2:$AC$805,U3)</f>
        <v>0</v>
      </c>
      <c r="V6" s="171">
        <f>SUMIFS([1]مرداد!$AH$2:$AH$805,[1]مرداد!$O$2:$O$805,7101,[1]مرداد!$D$2:$D$805,$F$6,[1]مرداد!$AC$2:$AC$805,V3)</f>
        <v>0</v>
      </c>
      <c r="W6" s="172">
        <f>SUMIFS([1]مرداد!$AH$2:$AH$805,[1]مرداد!$O$2:$O$805,7101,[1]مرداد!$D$2:$D$805,$F$6,[1]مرداد!$AC$2:$AC$805,W3)</f>
        <v>0</v>
      </c>
      <c r="X6" s="172">
        <f>SUMIFS([1]مرداد!$AH$2:$AH$805,[1]مرداد!$O$2:$O$805,7101,[1]مرداد!$D$2:$D$805,$F$6,[1]مرداد!$AC$2:$AC$805,X3)</f>
        <v>0</v>
      </c>
      <c r="Y6" s="172">
        <f>SUMIFS([1]مرداد!$AH$2:$AH$805,[1]مرداد!$O$2:$O$805,7101,[1]مرداد!$D$2:$D$805,$F$6,[1]مرداد!$AC$2:$AC$805,Y3)</f>
        <v>0</v>
      </c>
      <c r="Z6" s="172">
        <f>SUMIFS([1]مرداد!$AH$2:$AH$805,[1]مرداد!$O$2:$O$805,7101,[1]مرداد!$D$2:$D$805,$F$6,[1]مرداد!$AC$2:$AC$805,Z3)</f>
        <v>0</v>
      </c>
      <c r="AA6" s="172">
        <f>SUMIFS([1]مرداد!$AH$2:$AH$805,[1]مرداد!$O$2:$O$805,7101,[1]مرداد!$D$2:$D$805,$F$6,[1]مرداد!$AC$2:$AC$805,AA3)</f>
        <v>0</v>
      </c>
      <c r="AB6" s="741">
        <f>SUMIFS([1]مرداد!$AH$2:$AH$805,[1]مرداد!$O$2:$O$805,7101,[1]مرداد!$D$2:$D$805,$F$6,[1]مرداد!$AC$2:$AC$805,AB3)</f>
        <v>0</v>
      </c>
    </row>
    <row r="7" spans="1:28" ht="33.75" customHeight="1" x14ac:dyDescent="0.25">
      <c r="A7" s="732"/>
      <c r="B7" s="728"/>
      <c r="C7" s="42"/>
      <c r="D7" s="707"/>
      <c r="E7" s="932" t="s">
        <v>15</v>
      </c>
      <c r="F7" s="20" t="s">
        <v>20</v>
      </c>
      <c r="G7" s="739">
        <f t="shared" si="0"/>
        <v>62.5</v>
      </c>
      <c r="H7" s="46">
        <f t="shared" si="1"/>
        <v>0</v>
      </c>
      <c r="I7" s="739">
        <f t="shared" si="2"/>
        <v>0</v>
      </c>
      <c r="J7" s="739">
        <v>0</v>
      </c>
      <c r="K7" s="739">
        <v>0</v>
      </c>
      <c r="L7" s="739">
        <v>0</v>
      </c>
      <c r="M7" s="10"/>
      <c r="N7" s="712"/>
      <c r="O7" s="292">
        <f>SUMIFS([1]مرداد!$AF$2:$AF$805,[1]مرداد!$O$2:$O$805,7102,[1]مرداد!$D$2:$D$805,$F$7,[1]مرداد!$AC$2:$AC$805,O3)</f>
        <v>11</v>
      </c>
      <c r="P7" s="292">
        <f>SUMIFS([1]مرداد!$AF$2:$AF$805,[1]مرداد!$O$2:$O$805,7102,[1]مرداد!$D$2:$D$805,$F$7,[1]مرداد!$AC$2:$AC$805,P3)</f>
        <v>11</v>
      </c>
      <c r="Q7" s="292">
        <f>SUMIFS([1]مرداد!$AF$2:$AF$805,[1]مرداد!$O$2:$O$805,7102,[1]مرداد!$D$2:$D$805,$F$7,[1]مرداد!$AC$2:$AC$805,Q3)</f>
        <v>11</v>
      </c>
      <c r="R7" s="292">
        <f>SUMIFS([1]مرداد!$AF$2:$AF$805,[1]مرداد!$O$2:$O$805,7102,[1]مرداد!$D$2:$D$805,$F$7,[1]مرداد!$AC$2:$AC$805,R3)</f>
        <v>11</v>
      </c>
      <c r="S7" s="292">
        <f>SUMIFS([1]مرداد!$AF$2:$AF$805,[1]مرداد!$O$2:$O$805,7102,[1]مرداد!$D$2:$D$805,$F$7,[1]مرداد!$AC$2:$AC$805,S3)</f>
        <v>11</v>
      </c>
      <c r="T7" s="292">
        <f>SUMIFS([1]مرداد!$AF$2:$AF$805,[1]مرداد!$O$2:$O$805,7102,[1]مرداد!$D$2:$D$805,$F$7,[1]مرداد!$AC$2:$AC$805,T3)</f>
        <v>7.5</v>
      </c>
      <c r="U7" s="357">
        <f>SUMIFS([1]مرداد!$AF$2:$AF$805,[1]مرداد!$O$2:$O$805,7102,[1]مرداد!$D$2:$D$805,$F$7,[1]مرداد!$AC$2:$AC$805,U3)</f>
        <v>0</v>
      </c>
      <c r="V7" s="165">
        <f>SUMIFS([1]مرداد!$AH$2:$AH$805,[1]مرداد!$O$2:$O$805,7102,[1]مرداد!$D$2:$D$805,$F$7,[1]مرداد!$AC$2:$AC$805,V3)</f>
        <v>0</v>
      </c>
      <c r="W7" s="292">
        <f>SUMIFS([1]مرداد!$AH$2:$AH$805,[1]مرداد!$O$2:$O$805,7102,[1]مرداد!$D$2:$D$805,$F$7,[1]مرداد!$AC$2:$AC$805,W3)</f>
        <v>0</v>
      </c>
      <c r="X7" s="292">
        <f>SUMIFS([1]مرداد!$AH$2:$AH$805,[1]مرداد!$O$2:$O$805,7102,[1]مرداد!$D$2:$D$805,$F$7,[1]مرداد!$AC$2:$AC$805,X3)</f>
        <v>0</v>
      </c>
      <c r="Y7" s="292">
        <f>SUMIFS([1]مرداد!$AH$2:$AH$805,[1]مرداد!$O$2:$O$805,7102,[1]مرداد!$D$2:$D$805,$F$7,[1]مرداد!$AC$2:$AC$805,Y3)</f>
        <v>0</v>
      </c>
      <c r="Z7" s="292">
        <f>SUMIFS([1]مرداد!$AH$2:$AH$805,[1]مرداد!$O$2:$O$805,7102,[1]مرداد!$D$2:$D$805,$F$7,[1]مرداد!$AC$2:$AC$805,Z3)</f>
        <v>0</v>
      </c>
      <c r="AA7" s="292">
        <f>SUMIFS([1]مرداد!$AH$2:$AH$805,[1]مرداد!$O$2:$O$805,7102,[1]مرداد!$D$2:$D$805,$F$7,[1]مرداد!$AC$2:$AC$805,AA3)</f>
        <v>0</v>
      </c>
      <c r="AB7" s="357">
        <f>SUMIFS([1]مرداد!$AH$2:$AH$805,[1]مرداد!$O$2:$O$805,7102,[1]مرداد!$D$2:$D$805,$F$7,[1]مرداد!$AC$2:$AC$805,AB3)</f>
        <v>0</v>
      </c>
    </row>
    <row r="8" spans="1:28" ht="33.75" customHeight="1" x14ac:dyDescent="0.25">
      <c r="A8" s="732">
        <v>2</v>
      </c>
      <c r="B8" s="722" t="s">
        <v>14</v>
      </c>
      <c r="C8" s="708">
        <v>7102</v>
      </c>
      <c r="D8" s="586">
        <v>62.5</v>
      </c>
      <c r="E8" s="1003"/>
      <c r="F8" s="725"/>
      <c r="G8" s="3">
        <f t="shared" si="0"/>
        <v>0</v>
      </c>
      <c r="H8" s="47">
        <f t="shared" si="1"/>
        <v>0</v>
      </c>
      <c r="I8" s="3">
        <f t="shared" si="2"/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0</v>
      </c>
      <c r="N8" s="705"/>
      <c r="O8" s="293">
        <f>SUMIFS([1]اردیبهشت!$AD$2:$AD$600,[1]اردیبهشت!$N$2:$N$600,7102,[1]اردیبهشت!$D$2:$D$600,$F$8,[1]اردیبهشت!$AA$2:$AA$600,O3)</f>
        <v>0</v>
      </c>
      <c r="P8" s="168">
        <f>SUMIFS([1]اردیبهشت!$AD$2:$AD$600,[1]اردیبهشت!$N$2:$N$600,7102,[1]اردیبهشت!$D$2:$D$600,$F$8,[1]اردیبهشت!$AA$2:$AA$600,P3)</f>
        <v>0</v>
      </c>
      <c r="Q8" s="168">
        <f>SUMIFS([1]اردیبهشت!$AD$2:$AD$600,[1]اردیبهشت!$N$2:$N$600,7102,[1]اردیبهشت!$D$2:$D$600,$F$8,[1]اردیبهشت!$AA$2:$AA$600,Q3)</f>
        <v>0</v>
      </c>
      <c r="R8" s="168">
        <f>SUMIFS([1]اردیبهشت!$AD$2:$AD$600,[1]اردیبهشت!$N$2:$N$600,7102,[1]اردیبهشت!$D$2:$D$600,$F$8,[1]اردیبهشت!$AA$2:$AA$600,R3)</f>
        <v>0</v>
      </c>
      <c r="S8" s="168">
        <f>SUMIFS([1]اردیبهشت!$AD$2:$AD$600,[1]اردیبهشت!$N$2:$N$600,7102,[1]اردیبهشت!$D$2:$D$600,$F$8,[1]اردیبهشت!$AA$2:$AA$600,S3)</f>
        <v>0</v>
      </c>
      <c r="T8" s="168">
        <f>SUMIFS([1]اردیبهشت!$AD$2:$AD$600,[1]اردیبهشت!$N$2:$N$600,7102,[1]اردیبهشت!$D$2:$D$600,$F$8,[1]اردیبهشت!$AA$2:$AA$600,T3)</f>
        <v>0</v>
      </c>
      <c r="U8" s="108">
        <f>SUMIFS([1]اردیبهشت!$AD$2:$AD$600,[1]اردیبهشت!$N$2:$N$600,7102,[1]اردیبهشت!$D$2:$D$600,$F$8,[1]اردیبهشت!$AA$2:$AA$600,U3)</f>
        <v>0</v>
      </c>
      <c r="V8" s="166">
        <f>SUMIFS([1]مرداد!$AH$2:$AH$805,[1]مرداد!$O$2:$O$805,7102,[1]مرداد!$D$2:$D$805,$F$8,[1]مرداد!$AC$2:$AC$805,V3)</f>
        <v>0</v>
      </c>
      <c r="W8" s="293">
        <f>SUMIFS([1]مرداد!$AH$2:$AH$805,[1]مرداد!$O$2:$O$805,7102,[1]مرداد!$D$2:$D$805,$F$8,[1]مرداد!$AC$2:$AC$805,W3)</f>
        <v>0</v>
      </c>
      <c r="X8" s="293">
        <f>SUMIFS([1]مرداد!$AH$2:$AH$805,[1]مرداد!$O$2:$O$805,7102,[1]مرداد!$D$2:$D$805,$F$8,[1]مرداد!$AC$2:$AC$805,X3)</f>
        <v>0</v>
      </c>
      <c r="Y8" s="293">
        <f>SUMIFS([1]مرداد!$AH$2:$AH$805,[1]مرداد!$O$2:$O$805,7102,[1]مرداد!$D$2:$D$805,$F$8,[1]مرداد!$AC$2:$AC$805,Y3)</f>
        <v>0</v>
      </c>
      <c r="Z8" s="293">
        <f>SUMIFS([1]مرداد!$AH$2:$AH$805,[1]مرداد!$O$2:$O$805,7102,[1]مرداد!$D$2:$D$805,$F$8,[1]مرداد!$AC$2:$AC$805,Z3)</f>
        <v>0</v>
      </c>
      <c r="AA8" s="293">
        <f>SUMIFS([1]مرداد!$AH$2:$AH$805,[1]مرداد!$O$2:$O$805,7102,[1]مرداد!$D$2:$D$805,$F$8,[1]مرداد!$AC$2:$AC$805,AA3)</f>
        <v>0</v>
      </c>
      <c r="AB8" s="361">
        <f>SUMIFS([1]مرداد!$AH$2:$AH$805,[1]مرداد!$O$2:$O$805,7102,[1]مرداد!$D$2:$D$805,$F$8,[1]مرداد!$AC$2:$AC$805,AB3)</f>
        <v>0</v>
      </c>
    </row>
    <row r="9" spans="1:28" ht="33.75" customHeight="1" thickBot="1" x14ac:dyDescent="0.3">
      <c r="A9" s="732"/>
      <c r="B9" s="730"/>
      <c r="C9" s="43"/>
      <c r="D9" s="709"/>
      <c r="E9" s="934"/>
      <c r="F9" s="5"/>
      <c r="G9" s="6">
        <f t="shared" si="0"/>
        <v>0</v>
      </c>
      <c r="H9" s="761">
        <f t="shared" si="1"/>
        <v>0</v>
      </c>
      <c r="I9" s="1">
        <f t="shared" si="2"/>
        <v>0</v>
      </c>
      <c r="J9" s="7">
        <v>0</v>
      </c>
      <c r="K9" s="6">
        <v>0</v>
      </c>
      <c r="L9" s="6">
        <v>0</v>
      </c>
      <c r="M9" s="11"/>
      <c r="N9" s="706"/>
      <c r="O9" s="294">
        <f>SUMIFS([1]اردیبهشت!$AD$2:$AD$600,[1]اردیبهشت!$N$2:$N$600,7102,[1]اردیبهشت!$D$2:$D$600,$F$9,[1]اردیبهشت!$AA$2:$AA$600,O3)</f>
        <v>0</v>
      </c>
      <c r="P9" s="172">
        <f>SUMIFS([1]اردیبهشت!$AD$2:$AD$600,[1]اردیبهشت!$N$2:$N$600,7102,[1]اردیبهشت!$D$2:$D$600,$F$9,[1]اردیبهشت!$AA$2:$AA$600,P3)</f>
        <v>0</v>
      </c>
      <c r="Q9" s="172">
        <f>SUMIFS([1]اردیبهشت!$AD$2:$AD$600,[1]اردیبهشت!$N$2:$N$600,7102,[1]اردیبهشت!$D$2:$D$600,$F$9,[1]اردیبهشت!$AA$2:$AA$600,Q3)</f>
        <v>0</v>
      </c>
      <c r="R9" s="172">
        <f>SUMIFS([1]اردیبهشت!$AD$2:$AD$600,[1]اردیبهشت!$N$2:$N$600,7102,[1]اردیبهشت!$D$2:$D$600,$F$9,[1]اردیبهشت!$AA$2:$AA$600,R3)</f>
        <v>0</v>
      </c>
      <c r="S9" s="172">
        <f>SUMIFS([1]اردیبهشت!$AD$2:$AD$600,[1]اردیبهشت!$N$2:$N$600,7102,[1]اردیبهشت!$D$2:$D$600,$F$9,[1]اردیبهشت!$AA$2:$AA$600,S3)</f>
        <v>0</v>
      </c>
      <c r="T9" s="172">
        <f>SUMIFS([1]اردیبهشت!$AD$2:$AD$600,[1]اردیبهشت!$N$2:$N$600,7102,[1]اردیبهشت!$D$2:$D$600,$F$9,[1]اردیبهشت!$AA$2:$AA$600,T3)</f>
        <v>0</v>
      </c>
      <c r="U9" s="109">
        <f>SUMIFS([1]اردیبهشت!$AD$2:$AD$600,[1]اردیبهشت!$N$2:$N$600,7102,[1]اردیبهشت!$D$2:$D$600,$F$9,[1]اردیبهشت!$AA$2:$AA$600,U3)</f>
        <v>0</v>
      </c>
      <c r="V9" s="171">
        <f>SUMIFS([1]مرداد!$AH$2:$AH$805,[1]مرداد!$O$2:$O$805,7102,[1]مرداد!$D$2:$D$805,$F$9,[1]مرداد!$AC$2:$AC$805,V3)</f>
        <v>0</v>
      </c>
      <c r="W9" s="294">
        <f>SUMIFS([1]مرداد!$AH$2:$AH$805,[1]مرداد!$O$2:$O$805,7102,[1]مرداد!$D$2:$D$805,$F$9,[1]مرداد!$AC$2:$AC$805,W3)</f>
        <v>0</v>
      </c>
      <c r="X9" s="294">
        <f>SUMIFS([1]مرداد!$AH$2:$AH$805,[1]مرداد!$O$2:$O$805,7102,[1]مرداد!$D$2:$D$805,$F$9,[1]مرداد!$AC$2:$AC$805,X3)</f>
        <v>0</v>
      </c>
      <c r="Y9" s="294">
        <f>SUMIFS([1]مرداد!$AH$2:$AH$805,[1]مرداد!$O$2:$O$805,7102,[1]مرداد!$D$2:$D$805,$F$9,[1]مرداد!$AC$2:$AC$805,Y3)</f>
        <v>0</v>
      </c>
      <c r="Z9" s="294">
        <f>SUMIFS([1]مرداد!$AH$2:$AH$805,[1]مرداد!$O$2:$O$805,7102,[1]مرداد!$D$2:$D$805,$F$9,[1]مرداد!$AC$2:$AC$805,Z3)</f>
        <v>0</v>
      </c>
      <c r="AA9" s="294">
        <f>SUMIFS([1]مرداد!$AH$2:$AH$805,[1]مرداد!$O$2:$O$805,7102,[1]مرداد!$D$2:$D$805,$F$9,[1]مرداد!$AC$2:$AC$805,AA3)</f>
        <v>0</v>
      </c>
      <c r="AB9" s="776">
        <f>SUMIFS([1]مرداد!$AH$2:$AH$805,[1]مرداد!$O$2:$O$805,7102,[1]مرداد!$D$2:$D$805,$F$9,[1]مرداد!$AC$2:$AC$805,AB3)</f>
        <v>0</v>
      </c>
    </row>
    <row r="10" spans="1:28" ht="33.75" customHeight="1" thickBot="1" x14ac:dyDescent="0.3">
      <c r="A10" s="45">
        <v>3</v>
      </c>
      <c r="B10" s="12" t="s">
        <v>14</v>
      </c>
      <c r="C10" s="13">
        <v>7103</v>
      </c>
      <c r="D10" s="283">
        <v>44</v>
      </c>
      <c r="E10" s="13" t="s">
        <v>15</v>
      </c>
      <c r="F10" s="13" t="s">
        <v>12</v>
      </c>
      <c r="G10" s="14">
        <f t="shared" si="0"/>
        <v>30</v>
      </c>
      <c r="H10" s="48">
        <f t="shared" si="1"/>
        <v>0</v>
      </c>
      <c r="I10" s="739">
        <f t="shared" si="2"/>
        <v>0</v>
      </c>
      <c r="J10" s="14">
        <v>0</v>
      </c>
      <c r="K10" s="14">
        <v>0</v>
      </c>
      <c r="L10" s="14">
        <v>0</v>
      </c>
      <c r="M10" s="14">
        <f>SUM(G10:L10)-64</f>
        <v>-34</v>
      </c>
      <c r="N10" s="61"/>
      <c r="O10" s="295">
        <f>SUMIFS([1]مرداد!$AF$2:$AF$805,[1]مرداد!$O$2:$O$805,7103,[1]مرداد!$D$2:$D$805,$F$10,[1]مرداد!$AC$2:$AC$805,O3)</f>
        <v>4</v>
      </c>
      <c r="P10" s="295">
        <f>SUMIFS([1]مرداد!$AF$2:$AF$805,[1]مرداد!$O$2:$O$805,7103,[1]مرداد!$D$2:$D$805,$F$10,[1]مرداد!$AC$2:$AC$805,P3)</f>
        <v>6.5</v>
      </c>
      <c r="Q10" s="295">
        <f>SUMIFS([1]مرداد!$AF$2:$AF$805,[1]مرداد!$O$2:$O$805,7103,[1]مرداد!$D$2:$D$805,$F$10,[1]مرداد!$AC$2:$AC$805,Q3)</f>
        <v>6.5</v>
      </c>
      <c r="R10" s="295">
        <f>SUMIFS([1]مرداد!$AF$2:$AF$805,[1]مرداد!$O$2:$O$805,7103,[1]مرداد!$D$2:$D$805,$F$10,[1]مرداد!$AC$2:$AC$805,R3)</f>
        <v>6.5</v>
      </c>
      <c r="S10" s="295">
        <f>SUMIFS([1]مرداد!$AF$2:$AF$805,[1]مرداد!$O$2:$O$805,7103,[1]مرداد!$D$2:$D$805,$F$10,[1]مرداد!$AC$2:$AC$805,S3)</f>
        <v>6.5</v>
      </c>
      <c r="T10" s="295">
        <f>SUMIFS([1]مرداد!$AF$2:$AF$805,[1]مرداد!$O$2:$O$805,7103,[1]مرداد!$D$2:$D$805,$F$10,[1]مرداد!$AC$2:$AC$805,T3)</f>
        <v>0</v>
      </c>
      <c r="U10" s="744">
        <f>SUMIFS([1]مرداد!$AF$2:$AF$805,[1]مرداد!$O$2:$O$805,7103,[1]مرداد!$D$2:$D$805,$F$10,[1]مرداد!$AC$2:$AC$805,U3)</f>
        <v>0</v>
      </c>
      <c r="V10" s="176">
        <f>SUMIFS([1]مرداد!$AH$2:$AH$805,[1]مرداد!$O$2:$O$805,7103,[1]مرداد!$D$2:$D$805,$F$10,[1]مرداد!$AC$2:$AC$805,V3)</f>
        <v>0</v>
      </c>
      <c r="W10" s="295">
        <f>SUMIFS([1]مرداد!$AH$2:$AH$805,[1]مرداد!$O$2:$O$805,7103,[1]مرداد!$D$2:$D$805,$F$10,[1]مرداد!$AC$2:$AC$805,W3)</f>
        <v>0</v>
      </c>
      <c r="X10" s="295">
        <f>SUMIFS([1]مرداد!$AH$2:$AH$805,[1]مرداد!$O$2:$O$805,7103,[1]مرداد!$D$2:$D$805,$F$10,[1]مرداد!$AC$2:$AC$805,X3)</f>
        <v>0</v>
      </c>
      <c r="Y10" s="295">
        <f>SUMIFS([1]مرداد!$AH$2:$AH$805,[1]مرداد!$O$2:$O$805,7103,[1]مرداد!$D$2:$D$805,$F$10,[1]مرداد!$AC$2:$AC$805,Y3)</f>
        <v>0</v>
      </c>
      <c r="Z10" s="295">
        <f>SUMIFS([1]مرداد!$AH$2:$AH$805,[1]مرداد!$O$2:$O$805,7103,[1]مرداد!$D$2:$D$805,$F$10,[1]مرداد!$AC$2:$AC$805,Z3)</f>
        <v>0</v>
      </c>
      <c r="AA10" s="295">
        <f>SUMIFS([1]مرداد!$AH$2:$AH$805,[1]مرداد!$O$2:$O$805,7103,[1]مرداد!$D$2:$D$805,$F$10,[1]مرداد!$AC$2:$AC$805,AA3)</f>
        <v>0</v>
      </c>
      <c r="AB10" s="744">
        <f>SUMIFS([1]مرداد!$AH$2:$AH$805,[1]مرداد!$O$2:$O$805,7103,[1]مرداد!$D$2:$D$805,$F$10,[1]مرداد!$AC$2:$AC$805,AB3)</f>
        <v>0</v>
      </c>
    </row>
    <row r="11" spans="1:28" ht="33.75" customHeight="1" thickBot="1" x14ac:dyDescent="0.3">
      <c r="A11" s="732">
        <v>4</v>
      </c>
      <c r="B11" s="82" t="s">
        <v>18</v>
      </c>
      <c r="C11" s="72">
        <v>7201</v>
      </c>
      <c r="D11" s="72">
        <v>62.5</v>
      </c>
      <c r="E11" s="72" t="s">
        <v>19</v>
      </c>
      <c r="F11" s="73"/>
      <c r="G11" s="14">
        <f t="shared" si="0"/>
        <v>0</v>
      </c>
      <c r="H11" s="48">
        <f t="shared" si="1"/>
        <v>0</v>
      </c>
      <c r="I11" s="739">
        <f t="shared" si="2"/>
        <v>0</v>
      </c>
      <c r="J11" s="74">
        <v>62</v>
      </c>
      <c r="K11" s="74">
        <v>0</v>
      </c>
      <c r="L11" s="74">
        <v>0</v>
      </c>
      <c r="M11" s="74">
        <f>SUM(G11:J11)-62</f>
        <v>0</v>
      </c>
      <c r="N11" s="75" t="s">
        <v>41</v>
      </c>
      <c r="O11" s="762"/>
      <c r="P11" s="285"/>
      <c r="Q11" s="285"/>
      <c r="R11" s="285"/>
      <c r="S11" s="285"/>
      <c r="T11" s="285"/>
      <c r="U11" s="139"/>
      <c r="V11" s="784"/>
      <c r="W11" s="785"/>
      <c r="X11" s="785"/>
      <c r="Y11" s="785"/>
      <c r="Z11" s="785"/>
      <c r="AA11" s="785"/>
      <c r="AB11" s="786"/>
    </row>
    <row r="12" spans="1:28" ht="33.75" customHeight="1" x14ac:dyDescent="0.25">
      <c r="A12" s="985">
        <v>5</v>
      </c>
      <c r="B12" s="974" t="s">
        <v>18</v>
      </c>
      <c r="C12" s="932">
        <v>7202</v>
      </c>
      <c r="D12" s="932">
        <v>62.5</v>
      </c>
      <c r="E12" s="932" t="s">
        <v>15</v>
      </c>
      <c r="F12" s="574" t="s">
        <v>199</v>
      </c>
      <c r="G12" s="21">
        <f t="shared" si="0"/>
        <v>55</v>
      </c>
      <c r="H12" s="46">
        <f t="shared" si="1"/>
        <v>0</v>
      </c>
      <c r="I12" s="739">
        <f t="shared" si="2"/>
        <v>0</v>
      </c>
      <c r="J12" s="21">
        <v>0</v>
      </c>
      <c r="K12" s="21">
        <v>0</v>
      </c>
      <c r="L12" s="21">
        <v>0</v>
      </c>
      <c r="M12" s="21"/>
      <c r="N12" s="704"/>
      <c r="O12" s="187">
        <f>SUMIFS([1]مرداد!$AF$2:$AF$805,[1]مرداد!$O$2:$O$805,7202,[1]مرداد!$D$2:$D$805,$F$12,[1]مرداد!$AC$2:$AC$805,O3)</f>
        <v>11</v>
      </c>
      <c r="P12" s="188">
        <f>SUMIFS([1]مرداد!$AF$2:$AF$805,[1]مرداد!$O$2:$O$805,7202,[1]مرداد!$D$2:$D$805,$F$12,[1]مرداد!$AC$2:$AC$805,P3)</f>
        <v>11</v>
      </c>
      <c r="Q12" s="188">
        <f>SUMIFS([1]مرداد!$AF$2:$AF$805,[1]مرداد!$O$2:$O$805,7202,[1]مرداد!$D$2:$D$805,$F$12,[1]مرداد!$AC$2:$AC$805,Q3)</f>
        <v>11</v>
      </c>
      <c r="R12" s="188">
        <f>SUMIFS([1]مرداد!$AF$2:$AF$805,[1]مرداد!$O$2:$O$805,7202,[1]مرداد!$D$2:$D$805,$F$12,[1]مرداد!$AC$2:$AC$805,R3)</f>
        <v>11</v>
      </c>
      <c r="S12" s="188">
        <f>SUMIFS([1]مرداد!$AF$2:$AF$805,[1]مرداد!$O$2:$O$805,7202,[1]مرداد!$D$2:$D$805,$F$12,[1]مرداد!$AC$2:$AC$805,S3)</f>
        <v>11</v>
      </c>
      <c r="T12" s="188">
        <f>SUMIFS([1]مرداد!$AF$2:$AF$805,[1]مرداد!$O$2:$O$805,7202,[1]مرداد!$D$2:$D$805,$F$12,[1]مرداد!$AC$2:$AC$805,T3)</f>
        <v>0</v>
      </c>
      <c r="U12" s="781">
        <f>SUMIFS([1]مرداد!$AF$2:$AF$805,[1]مرداد!$O$2:$O$805,7202,[1]مرداد!$D$2:$D$805,$F$12,[1]مرداد!$AC$2:$AC$805,U3)</f>
        <v>0</v>
      </c>
      <c r="V12" s="187">
        <f>SUMIFS([1]مرداد!$AH$2:$AH$805,[1]مرداد!$O$2:$O$805,7202,[1]مرداد!$D$2:$D$805,$F$12,[1]مرداد!$AC$2:$AC$805,V3)</f>
        <v>0</v>
      </c>
      <c r="W12" s="188">
        <f>SUMIFS([1]مرداد!$AH$2:$AH$805,[1]مرداد!$O$2:$O$805,7202,[1]مرداد!$D$2:$D$805,$F$12,[1]مرداد!$AC$2:$AC$805,W3)</f>
        <v>0</v>
      </c>
      <c r="X12" s="188">
        <f>SUMIFS([1]مرداد!$AH$2:$AH$805,[1]مرداد!$O$2:$O$805,7202,[1]مرداد!$D$2:$D$805,$F$12,[1]مرداد!$AC$2:$AC$805,X3)</f>
        <v>0</v>
      </c>
      <c r="Y12" s="188">
        <f>SUMIFS([1]مرداد!$AH$2:$AH$805,[1]مرداد!$O$2:$O$805,7202,[1]مرداد!$D$2:$D$805,$F$12,[1]مرداد!$AC$2:$AC$805,Y3)</f>
        <v>0</v>
      </c>
      <c r="Z12" s="188">
        <f>SUMIFS([1]مرداد!$AH$2:$AH$805,[1]مرداد!$O$2:$O$805,7202,[1]مرداد!$D$2:$D$805,$F$12,[1]مرداد!$AC$2:$AC$805,Z3)</f>
        <v>0</v>
      </c>
      <c r="AA12" s="188">
        <f>SUMIFS([1]مرداد!$AH$2:$AH$805,[1]مرداد!$O$2:$O$805,7202,[1]مرداد!$D$2:$D$805,$F$12,[1]مرداد!$AC$2:$AC$805,AA3)</f>
        <v>0</v>
      </c>
      <c r="AB12" s="189">
        <f>SUMIFS([1]مرداد!$AH$2:$AH$805,[1]مرداد!$O$2:$O$805,7202,[1]مرداد!$D$2:$D$805,$F$12,[1]مرداد!$AC$2:$AC$805,AB3)</f>
        <v>0</v>
      </c>
    </row>
    <row r="13" spans="1:28" ht="33.75" customHeight="1" x14ac:dyDescent="0.25">
      <c r="A13" s="986"/>
      <c r="B13" s="975"/>
      <c r="C13" s="933"/>
      <c r="D13" s="933"/>
      <c r="E13" s="933"/>
      <c r="F13" s="22"/>
      <c r="G13" s="3">
        <f t="shared" si="0"/>
        <v>0</v>
      </c>
      <c r="H13" s="47">
        <f t="shared" si="1"/>
        <v>0</v>
      </c>
      <c r="I13" s="3">
        <f t="shared" si="2"/>
        <v>0</v>
      </c>
      <c r="J13" s="3">
        <v>0</v>
      </c>
      <c r="K13" s="3">
        <v>0</v>
      </c>
      <c r="L13" s="3">
        <v>0</v>
      </c>
      <c r="M13" s="3">
        <f>(G12+G13+G14)-(D12)+(J12)</f>
        <v>-7.5</v>
      </c>
      <c r="N13" s="579"/>
      <c r="O13" s="742">
        <f>SUMIFS([1]مرداد!$AF$2:$AF$805,[1]مرداد!$O$2:$O$805,7202,[1]مرداد!$D$2:$D$805,$F$13,[1]مرداد!$AC$2:$AC$805,O3)</f>
        <v>0</v>
      </c>
      <c r="P13" s="575">
        <f>SUMIFS([1]مرداد!$AF$2:$AF$805,[1]مرداد!$O$2:$O$805,7202,[1]مرداد!$D$2:$D$805,$F$13,[1]مرداد!$AC$2:$AC$805,P3)</f>
        <v>0</v>
      </c>
      <c r="Q13" s="575">
        <f>SUMIFS([1]مرداد!$AF$2:$AF$805,[1]مرداد!$O$2:$O$805,7202,[1]مرداد!$D$2:$D$805,$F$13,[1]مرداد!$AC$2:$AC$805,Q3)</f>
        <v>0</v>
      </c>
      <c r="R13" s="575">
        <f>SUMIFS([1]مرداد!$AF$2:$AF$805,[1]مرداد!$O$2:$O$805,7202,[1]مرداد!$D$2:$D$805,$F$13,[1]مرداد!$AC$2:$AC$805,R3)</f>
        <v>0</v>
      </c>
      <c r="S13" s="575">
        <f>SUMIFS([1]مرداد!$AF$2:$AF$805,[1]مرداد!$O$2:$O$805,7202,[1]مرداد!$D$2:$D$805,$F$13,[1]مرداد!$AC$2:$AC$805,S3)</f>
        <v>0</v>
      </c>
      <c r="T13" s="575">
        <f>SUMIFS([1]مرداد!$AF$2:$AF$805,[1]مرداد!$O$2:$O$805,7202,[1]مرداد!$D$2:$D$805,$F$13,[1]مرداد!$AC$2:$AC$805,T3)</f>
        <v>0</v>
      </c>
      <c r="U13" s="782">
        <f>SUMIFS([1]مرداد!$AF$2:$AF$805,[1]مرداد!$O$2:$O$805,7202,[1]مرداد!$D$2:$D$805,$F$13,[1]مرداد!$AC$2:$AC$805,U3)</f>
        <v>0</v>
      </c>
      <c r="V13" s="742">
        <f>SUMIFS([1]مرداد!$AH$2:$AH$805,[1]مرداد!$O$2:$O$805,7202,[1]مرداد!$D$2:$D$805,$F$13,[1]مرداد!$AC$2:$AC$805,V3)</f>
        <v>0</v>
      </c>
      <c r="W13" s="575">
        <f>SUMIFS([1]مرداد!$AH$2:$AH$805,[1]مرداد!$O$2:$O$805,7202,[1]مرداد!$D$2:$D$805,$F$13,[1]مرداد!$AC$2:$AC$805,W3)</f>
        <v>0</v>
      </c>
      <c r="X13" s="575">
        <f>SUMIFS([1]مرداد!$AH$2:$AH$805,[1]مرداد!$O$2:$O$805,7202,[1]مرداد!$D$2:$D$805,$F$13,[1]مرداد!$AC$2:$AC$805,X3)</f>
        <v>0</v>
      </c>
      <c r="Y13" s="575">
        <f>SUMIFS([1]مرداد!$AH$2:$AH$805,[1]مرداد!$O$2:$O$805,7202,[1]مرداد!$D$2:$D$805,$F$13,[1]مرداد!$AC$2:$AC$805,Y3)</f>
        <v>0</v>
      </c>
      <c r="Z13" s="575">
        <f>SUMIFS([1]مرداد!$AH$2:$AH$805,[1]مرداد!$O$2:$O$805,7202,[1]مرداد!$D$2:$D$805,$F$13,[1]مرداد!$AC$2:$AC$805,Z3)</f>
        <v>0</v>
      </c>
      <c r="AA13" s="575">
        <f>SUMIFS([1]مرداد!$AH$2:$AH$805,[1]مرداد!$O$2:$O$805,7202,[1]مرداد!$D$2:$D$805,$F$13,[1]مرداد!$AC$2:$AC$805,AA3)</f>
        <v>0</v>
      </c>
      <c r="AB13" s="759">
        <f>SUMIFS([1]مرداد!$AH$2:$AH$805,[1]مرداد!$O$2:$O$805,7202,[1]مرداد!$D$2:$D$805,$F$13,[1]مرداد!$AC$2:$AC$805,AB3)</f>
        <v>0</v>
      </c>
    </row>
    <row r="14" spans="1:28" ht="33.75" customHeight="1" thickBot="1" x14ac:dyDescent="0.3">
      <c r="A14" s="986"/>
      <c r="B14" s="976"/>
      <c r="C14" s="934"/>
      <c r="D14" s="934"/>
      <c r="E14" s="934"/>
      <c r="F14" s="745" t="s">
        <v>191</v>
      </c>
      <c r="G14" s="6">
        <f t="shared" si="0"/>
        <v>0</v>
      </c>
      <c r="H14" s="761">
        <f t="shared" si="1"/>
        <v>0</v>
      </c>
      <c r="I14" s="1">
        <f t="shared" si="2"/>
        <v>0</v>
      </c>
      <c r="J14" s="6">
        <v>0</v>
      </c>
      <c r="K14" s="6">
        <v>0</v>
      </c>
      <c r="L14" s="6">
        <v>0</v>
      </c>
      <c r="M14" s="6"/>
      <c r="N14" s="777"/>
      <c r="O14" s="274">
        <f>SUMIFS([1]مرداد!$AF$2:$AF$805,[1]مرداد!$O$2:$O$805,7202,[1]مرداد!$D$2:$D$805,"*",[1]مرداد!$AC$2:$AC$805,O3)-SUMIFS([1]مرداد!$AF$2:$AF$805,[1]مرداد!$O$2:$O$805,7202,[1]مرداد!$D$2:$D$805,$F$12,[1]مرداد!$AC$2:$AC$805,O3)</f>
        <v>0</v>
      </c>
      <c r="P14" s="275">
        <f>SUMIFS([1]مرداد!$AF$2:$AF$805,[1]مرداد!$O$2:$O$805,7202,[1]مرداد!$D$2:$D$805,"*",[1]مرداد!$AC$2:$AC$805,P3)-SUMIFS([1]مرداد!$AF$2:$AF$805,[1]مرداد!$O$2:$O$805,7202,[1]مرداد!$D$2:$D$805,$F$12,[1]مرداد!$AC$2:$AC$805,P3)</f>
        <v>0</v>
      </c>
      <c r="Q14" s="275">
        <f>SUMIFS([1]مرداد!$AF$2:$AF$805,[1]مرداد!$O$2:$O$805,7202,[1]مرداد!$D$2:$D$805,"*",[1]مرداد!$AC$2:$AC$805,Q3)-SUMIFS([1]مرداد!$AF$2:$AF$805,[1]مرداد!$O$2:$O$805,7202,[1]مرداد!$D$2:$D$805,$F$12,[1]مرداد!$AC$2:$AC$805,Q3)</f>
        <v>0</v>
      </c>
      <c r="R14" s="275">
        <f>SUMIFS([1]مرداد!$AF$2:$AF$805,[1]مرداد!$O$2:$O$805,7202,[1]مرداد!$D$2:$D$805,"*",[1]مرداد!$AC$2:$AC$805,R3)-SUMIFS([1]مرداد!$AF$2:$AF$805,[1]مرداد!$O$2:$O$805,7202,[1]مرداد!$D$2:$D$805,$F$12,[1]مرداد!$AC$2:$AC$805,R3)</f>
        <v>0</v>
      </c>
      <c r="S14" s="275">
        <f>SUMIFS([1]مرداد!$AF$2:$AF$805,[1]مرداد!$O$2:$O$805,7202,[1]مرداد!$D$2:$D$805,"*",[1]مرداد!$AC$2:$AC$805,S3)-SUMIFS([1]مرداد!$AF$2:$AF$805,[1]مرداد!$O$2:$O$805,7202,[1]مرداد!$D$2:$D$805,$F$12,[1]مرداد!$AC$2:$AC$805,S3)</f>
        <v>0</v>
      </c>
      <c r="T14" s="275">
        <f>SUMIFS([1]مرداد!$AF$2:$AF$805,[1]مرداد!$O$2:$O$805,7202,[1]مرداد!$D$2:$D$805,"*",[1]مرداد!$AC$2:$AC$805,T3)-SUMIFS([1]مرداد!$AF$2:$AF$805,[1]مرداد!$O$2:$O$805,7202,[1]مرداد!$D$2:$D$805,$F$12,[1]مرداد!$AC$2:$AC$805,T3)</f>
        <v>0</v>
      </c>
      <c r="U14" s="783">
        <f>SUMIFS([1]مرداد!$AF$2:$AF$805,[1]مرداد!$O$2:$O$805,7202,[1]مرداد!$D$2:$D$805,"*",[1]مرداد!$AC$2:$AC$805,U3)-SUMIFS([1]مرداد!$AF$2:$AF$805,[1]مرداد!$O$2:$O$805,7202,[1]مرداد!$D$2:$D$805,$F$12,[1]مرداد!$AC$2:$AC$805,U3)</f>
        <v>0</v>
      </c>
      <c r="V14" s="274">
        <f>SUMIFS([1]مرداد!$AH$2:$AH$805,[1]مرداد!$O$2:$O$805,7202,[1]مرداد!$D$2:$D$805,$F$14,[1]مرداد!$AC$2:$AC$805,V3)</f>
        <v>0</v>
      </c>
      <c r="W14" s="275">
        <f>SUMIFS([1]مرداد!$AH$2:$AH$805,[1]مرداد!$O$2:$O$805,7202,[1]مرداد!$D$2:$D$805,$F$14,[1]مرداد!$AC$2:$AC$805,W3)</f>
        <v>0</v>
      </c>
      <c r="X14" s="275">
        <f>SUMIFS([1]مرداد!$AH$2:$AH$805,[1]مرداد!$O$2:$O$805,7202,[1]مرداد!$D$2:$D$805,$F$14,[1]مرداد!$AC$2:$AC$805,X3)</f>
        <v>0</v>
      </c>
      <c r="Y14" s="275">
        <f>SUMIFS([1]مرداد!$AH$2:$AH$805,[1]مرداد!$O$2:$O$805,7202,[1]مرداد!$D$2:$D$805,$F$14,[1]مرداد!$AC$2:$AC$805,Y3)</f>
        <v>0</v>
      </c>
      <c r="Z14" s="275">
        <f>SUMIFS([1]مرداد!$AH$2:$AH$805,[1]مرداد!$O$2:$O$805,7202,[1]مرداد!$D$2:$D$805,$F$14,[1]مرداد!$AC$2:$AC$805,Z3)</f>
        <v>0</v>
      </c>
      <c r="AA14" s="275">
        <f>SUMIFS([1]مرداد!$AH$2:$AH$805,[1]مرداد!$O$2:$O$805,7202,[1]مرداد!$D$2:$D$805,$F$14,[1]مرداد!$AC$2:$AC$805,AA3)</f>
        <v>0</v>
      </c>
      <c r="AB14" s="758">
        <f>SUMIFS([1]مرداد!$AH$2:$AH$805,[1]مرداد!$O$2:$O$805,7202,[1]مرداد!$D$2:$D$805,$F$14,[1]مرداد!$AC$2:$AC$805,AB3)</f>
        <v>0</v>
      </c>
    </row>
    <row r="15" spans="1:28" ht="33.75" customHeight="1" x14ac:dyDescent="0.25">
      <c r="A15" s="985">
        <v>6</v>
      </c>
      <c r="B15" s="974" t="s">
        <v>18</v>
      </c>
      <c r="C15" s="932">
        <v>7203</v>
      </c>
      <c r="D15" s="932">
        <v>62.5</v>
      </c>
      <c r="E15" s="932" t="s">
        <v>15</v>
      </c>
      <c r="F15" s="20" t="s">
        <v>191</v>
      </c>
      <c r="G15" s="739">
        <f t="shared" ref="G15" si="3">SUM(O15:T15)</f>
        <v>11</v>
      </c>
      <c r="H15" s="46">
        <f t="shared" si="1"/>
        <v>0</v>
      </c>
      <c r="I15" s="739">
        <f t="shared" si="2"/>
        <v>0</v>
      </c>
      <c r="J15" s="739">
        <v>0</v>
      </c>
      <c r="K15" s="739">
        <v>0</v>
      </c>
      <c r="L15" s="739">
        <v>0</v>
      </c>
      <c r="M15" s="739"/>
      <c r="N15" s="756"/>
      <c r="O15" s="356">
        <f>SUMIFS([1]مرداد!$AF$2:$AF$805,[1]مرداد!$O$2:$O$805,7203,[1]مرداد!$D$2:$D$805,$F$15,[1]مرداد!$AC$2:$AC$805,O3)</f>
        <v>0</v>
      </c>
      <c r="P15" s="356">
        <f>SUMIFS([1]مرداد!$AF$2:$AF$805,[1]مرداد!$O$2:$O$805,7203,[1]مرداد!$D$2:$D$805,$F$15,[1]مرداد!$AC$2:$AC$805,P3)</f>
        <v>11</v>
      </c>
      <c r="Q15" s="356">
        <f>SUMIFS([1]مرداد!$AF$2:$AF$805,[1]مرداد!$O$2:$O$805,7203,[1]مرداد!$D$2:$D$805,$F$15,[1]مرداد!$AC$2:$AC$805,Q3)</f>
        <v>0</v>
      </c>
      <c r="R15" s="356">
        <f>SUMIFS([1]مرداد!$AF$2:$AF$805,[1]مرداد!$O$2:$O$805,7203,[1]مرداد!$D$2:$D$805,$F$15,[1]مرداد!$AC$2:$AC$805,R3)</f>
        <v>0</v>
      </c>
      <c r="S15" s="356">
        <f>SUMIFS([1]مرداد!$AF$2:$AF$805,[1]مرداد!$O$2:$O$805,7203,[1]مرداد!$D$2:$D$805,$F$15,[1]مرداد!$AC$2:$AC$805,S3)</f>
        <v>0</v>
      </c>
      <c r="T15" s="356">
        <f>SUMIFS([1]مرداد!$AF$2:$AF$805,[1]مرداد!$O$2:$O$805,7203,[1]مرداد!$D$2:$D$805,$F$15,[1]مرداد!$AC$2:$AC$805,T3)</f>
        <v>0</v>
      </c>
      <c r="U15" s="757">
        <f>SUMIFS([1]مرداد!$AF$2:$AF$805,[1]مرداد!$O$2:$O$805,7203,[1]مرداد!$D$2:$D$805,$F$15,[1]مرداد!$AC$2:$AC$805,U3)</f>
        <v>0</v>
      </c>
      <c r="V15" s="165">
        <f>SUMIFS([1]مرداد!$AH$2:$AH$805,[1]مرداد!$O$2:$O$805,7203,[1]مرداد!$D$2:$D$805,$F$15,[1]مرداد!$AC$2:$AC$805,V3)</f>
        <v>0</v>
      </c>
      <c r="W15" s="292">
        <f>SUMIFS([1]مرداد!$AH$2:$AH$805,[1]مرداد!$O$2:$O$805,7203,[1]مرداد!$D$2:$D$805,$F$15,[1]مرداد!$AC$2:$AC$805,W3)</f>
        <v>0</v>
      </c>
      <c r="X15" s="292">
        <f>SUMIFS([1]مرداد!$AH$2:$AH$805,[1]مرداد!$O$2:$O$805,7203,[1]مرداد!$D$2:$D$805,$F$15,[1]مرداد!$AC$2:$AC$805,X3)</f>
        <v>0</v>
      </c>
      <c r="Y15" s="292">
        <f>SUMIFS([1]مرداد!$AH$2:$AH$805,[1]مرداد!$O$2:$O$805,7203,[1]مرداد!$D$2:$D$805,$F$15,[1]مرداد!$AC$2:$AC$805,Y3)</f>
        <v>0</v>
      </c>
      <c r="Z15" s="292">
        <f>SUMIFS([1]مرداد!$AH$2:$AH$805,[1]مرداد!$O$2:$O$805,7203,[1]مرداد!$D$2:$D$805,$F$15,[1]مرداد!$AC$2:$AC$805,Z3)</f>
        <v>0</v>
      </c>
      <c r="AA15" s="292">
        <f>SUMIFS([1]مرداد!$AH$2:$AH$805,[1]مرداد!$O$2:$O$805,7203,[1]مرداد!$D$2:$D$805,$F$15,[1]مرداد!$AC$2:$AC$805,AA3)</f>
        <v>0</v>
      </c>
      <c r="AB15" s="357">
        <f>SUMIFS([1]مرداد!$AH$2:$AH$805,[1]مرداد!$O$2:$O$805,7203,[1]مرداد!$D$2:$D$805,$F$15,[1]مرداد!$AC$2:$AC$805,AB3)</f>
        <v>0</v>
      </c>
    </row>
    <row r="16" spans="1:28" ht="33.75" customHeight="1" thickBot="1" x14ac:dyDescent="0.3">
      <c r="A16" s="987"/>
      <c r="B16" s="976"/>
      <c r="C16" s="934"/>
      <c r="D16" s="934"/>
      <c r="E16" s="934"/>
      <c r="F16" s="745" t="s">
        <v>45</v>
      </c>
      <c r="G16" s="6">
        <f t="shared" si="0"/>
        <v>29.5</v>
      </c>
      <c r="H16" s="761">
        <f t="shared" si="1"/>
        <v>0</v>
      </c>
      <c r="I16" s="1">
        <f t="shared" si="2"/>
        <v>0</v>
      </c>
      <c r="J16" s="6">
        <v>0</v>
      </c>
      <c r="K16" s="6">
        <v>0</v>
      </c>
      <c r="L16" s="6">
        <v>0</v>
      </c>
      <c r="M16" s="6">
        <f>(G16+H16+I16+J16+K16)-D15</f>
        <v>-33</v>
      </c>
      <c r="N16" s="737"/>
      <c r="O16" s="353">
        <f>SUMIFS([1]مرداد!$AF$2:$AF$805,[1]مرداد!$O$2:$O$805,7203,[1]مرداد!$D$2:$D$805,$F$16,[1]مرداد!$AC$2:$AC$805,O3)</f>
        <v>0</v>
      </c>
      <c r="P16" s="353">
        <f>SUMIFS([1]مرداد!$AF$2:$AF$805,[1]مرداد!$O$2:$O$805,7203,[1]مرداد!$D$2:$D$805,$F$16,[1]مرداد!$AC$2:$AC$805,P3)</f>
        <v>0</v>
      </c>
      <c r="Q16" s="353">
        <f>SUMIFS([1]مرداد!$AF$2:$AF$805,[1]مرداد!$O$2:$O$805,7203,[1]مرداد!$D$2:$D$805,$F$16,[1]مرداد!$AC$2:$AC$805,Q3)</f>
        <v>11</v>
      </c>
      <c r="R16" s="353">
        <f>SUMIFS([1]مرداد!$AF$2:$AF$805,[1]مرداد!$O$2:$O$805,7203,[1]مرداد!$D$2:$D$805,$F$16,[1]مرداد!$AC$2:$AC$805,R3)</f>
        <v>0</v>
      </c>
      <c r="S16" s="353">
        <f>SUMIFS([1]مرداد!$AF$2:$AF$805,[1]مرداد!$O$2:$O$805,7203,[1]مرداد!$D$2:$D$805,$F$16,[1]مرداد!$AC$2:$AC$805,S3)</f>
        <v>11</v>
      </c>
      <c r="T16" s="353">
        <f>SUMIFS([1]مرداد!$AF$2:$AF$805,[1]مرداد!$O$2:$O$805,7203,[1]مرداد!$D$2:$D$805,$F$16,[1]مرداد!$AC$2:$AC$805,T3)</f>
        <v>7.5</v>
      </c>
      <c r="U16" s="746">
        <f>SUMIFS([1]مرداد!$AF$2:$AF$805,[1]مرداد!$O$2:$O$805,7203,[1]مرداد!$D$2:$D$805,$F$16,[1]مرداد!$AC$2:$AC$805,U3)</f>
        <v>0</v>
      </c>
      <c r="V16" s="184">
        <f>SUMIFS([1]مرداد!$AH$2:$AH$805,[1]مرداد!$O$2:$O$805,7203,[1]مرداد!$D$2:$D$805,$F$16,[1]مرداد!$AC$2:$AC$805,V3)</f>
        <v>0</v>
      </c>
      <c r="W16" s="577">
        <f>SUMIFS([1]مرداد!$AH$2:$AH$805,[1]مرداد!$O$2:$O$805,7203,[1]مرداد!$D$2:$D$805,$F$16,[1]مرداد!$AC$2:$AC$805,W3)</f>
        <v>0</v>
      </c>
      <c r="X16" s="577">
        <f>SUMIFS([1]مرداد!$AH$2:$AH$805,[1]مرداد!$O$2:$O$805,7203,[1]مرداد!$D$2:$D$805,$F$16,[1]مرداد!$AC$2:$AC$805,X3)</f>
        <v>0</v>
      </c>
      <c r="Y16" s="577">
        <f>SUMIFS([1]مرداد!$AH$2:$AH$805,[1]مرداد!$O$2:$O$805,7203,[1]مرداد!$D$2:$D$805,$F$16,[1]مرداد!$AC$2:$AC$805,Y3)</f>
        <v>0</v>
      </c>
      <c r="Z16" s="577">
        <f>SUMIFS([1]مرداد!$AH$2:$AH$805,[1]مرداد!$O$2:$O$805,7203,[1]مرداد!$D$2:$D$805,$F$16,[1]مرداد!$AC$2:$AC$805,Z3)</f>
        <v>0</v>
      </c>
      <c r="AA16" s="577">
        <f>SUMIFS([1]مرداد!$AH$2:$AH$805,[1]مرداد!$O$2:$O$805,7203,[1]مرداد!$D$2:$D$805,$F$16,[1]مرداد!$AC$2:$AC$805,AA3)</f>
        <v>0</v>
      </c>
      <c r="AB16" s="788">
        <f>SUMIFS([1]مرداد!$AH$2:$AH$805,[1]مرداد!$O$2:$O$805,7203,[1]مرداد!$D$2:$D$805,$F$16,[1]مرداد!$AC$2:$AC$805,AB3)</f>
        <v>0</v>
      </c>
    </row>
    <row r="17" spans="1:28" ht="33.75" customHeight="1" thickBot="1" x14ac:dyDescent="0.3">
      <c r="A17" s="733">
        <v>7</v>
      </c>
      <c r="B17" s="12" t="s">
        <v>18</v>
      </c>
      <c r="C17" s="13">
        <v>7204</v>
      </c>
      <c r="D17" s="13">
        <v>62.5</v>
      </c>
      <c r="E17" s="13" t="s">
        <v>15</v>
      </c>
      <c r="F17" s="16" t="s">
        <v>144</v>
      </c>
      <c r="G17" s="14">
        <f t="shared" si="0"/>
        <v>56.333333333333336</v>
      </c>
      <c r="H17" s="48">
        <f t="shared" si="1"/>
        <v>0</v>
      </c>
      <c r="I17" s="739">
        <f t="shared" si="2"/>
        <v>6.166666666666667</v>
      </c>
      <c r="J17" s="14">
        <v>0</v>
      </c>
      <c r="K17" s="14">
        <v>0</v>
      </c>
      <c r="L17" s="14">
        <v>0</v>
      </c>
      <c r="M17" s="14">
        <f>SUM(G17:J17)-62</f>
        <v>0.5</v>
      </c>
      <c r="N17" s="61" t="str">
        <f>IF(I17&gt;0,"②","")</f>
        <v>②</v>
      </c>
      <c r="O17" s="295">
        <f>SUMIFS([1]مرداد!$AF$2:$AF$805,[1]مرداد!$O$2:$O$805,7204,[1]مرداد!$D$2:$D$805,$F$17,[1]مرداد!$AC$2:$AC$805,O3)</f>
        <v>11</v>
      </c>
      <c r="P17" s="295">
        <f>SUMIFS([1]مرداد!$AF$2:$AF$805,[1]مرداد!$O$2:$O$805,7204,[1]مرداد!$D$2:$D$805,$F$17,[1]مرداد!$AC$2:$AC$805,P3)</f>
        <v>9</v>
      </c>
      <c r="Q17" s="295">
        <f>SUMIFS([1]مرداد!$AF$2:$AF$805,[1]مرداد!$O$2:$O$805,7204,[1]مرداد!$D$2:$D$805,$F$17,[1]مرداد!$AC$2:$AC$805,Q3)</f>
        <v>8.5</v>
      </c>
      <c r="R17" s="295">
        <f>SUMIFS([1]مرداد!$AF$2:$AF$805,[1]مرداد!$O$2:$O$805,7204,[1]مرداد!$D$2:$D$805,$F$17,[1]مرداد!$AC$2:$AC$805,R3)</f>
        <v>9.3333333333333339</v>
      </c>
      <c r="S17" s="295">
        <f>SUMIFS([1]مرداد!$AF$2:$AF$805,[1]مرداد!$O$2:$O$805,7204,[1]مرداد!$D$2:$D$805,$F$17,[1]مرداد!$AC$2:$AC$805,S3)</f>
        <v>11</v>
      </c>
      <c r="T17" s="295">
        <f>SUMIFS([1]مرداد!$AF$2:$AF$805,[1]مرداد!$O$2:$O$805,7204,[1]مرداد!$D$2:$D$805,$F$17,[1]مرداد!$AC$2:$AC$805,T3)</f>
        <v>7.5</v>
      </c>
      <c r="U17" s="787">
        <f>SUMIFS([1]مرداد!$AF$2:$AF$805,[1]مرداد!$O$2:$O$805,7204,[1]مرداد!$D$2:$D$805,$F$17,[1]مرداد!$AC$2:$AC$805,U3)</f>
        <v>0</v>
      </c>
      <c r="V17" s="180">
        <f>SUMIFS([1]مرداد!$AH$2:$AH$805,[1]مرداد!$O$2:$O$805,7204,[1]مرداد!$D$2:$D$805,$F$17,[1]مرداد!$AC$2:$AC$805,V3)</f>
        <v>0</v>
      </c>
      <c r="W17" s="185">
        <f>SUMIFS([1]مرداد!$AH$2:$AH$805,[1]مرداد!$O$2:$O$805,7204,[1]مرداد!$D$2:$D$805,$F$17,[1]مرداد!$AC$2:$AC$805,W3)</f>
        <v>2</v>
      </c>
      <c r="X17" s="185">
        <f>SUMIFS([1]مرداد!$AH$2:$AH$805,[1]مرداد!$O$2:$O$805,7204,[1]مرداد!$D$2:$D$805,$F$17,[1]مرداد!$AC$2:$AC$805,X3)</f>
        <v>2.5</v>
      </c>
      <c r="Y17" s="185">
        <f>SUMIFS([1]مرداد!$AH$2:$AH$805,[1]مرداد!$O$2:$O$805,7204,[1]مرداد!$D$2:$D$805,$F$17,[1]مرداد!$AC$2:$AC$805,Y3)</f>
        <v>1.6666666666666667</v>
      </c>
      <c r="Z17" s="185">
        <f>SUMIFS([1]مرداد!$AH$2:$AH$805,[1]مرداد!$O$2:$O$805,7204,[1]مرداد!$D$2:$D$805,$F$17,[1]مرداد!$AC$2:$AC$805,Z3)</f>
        <v>0</v>
      </c>
      <c r="AA17" s="185">
        <f>SUMIFS([1]مرداد!$AH$2:$AH$805,[1]مرداد!$O$2:$O$805,7204,[1]مرداد!$D$2:$D$805,$F$17,[1]مرداد!$AC$2:$AC$805,AA3)</f>
        <v>0</v>
      </c>
      <c r="AB17" s="790">
        <f>SUMIFS([1]مرداد!$AH$2:$AH$805,[1]مرداد!$O$2:$O$805,7204,[1]مرداد!$D$2:$D$805,$F$17,[1]مرداد!$AC$2:$AC$805,AB3)</f>
        <v>0</v>
      </c>
    </row>
    <row r="18" spans="1:28" ht="33.75" customHeight="1" thickBot="1" x14ac:dyDescent="0.3">
      <c r="A18" s="45">
        <v>8</v>
      </c>
      <c r="B18" s="12" t="s">
        <v>21</v>
      </c>
      <c r="C18" s="13">
        <v>7301</v>
      </c>
      <c r="D18" s="13">
        <v>62.5</v>
      </c>
      <c r="E18" s="13" t="s">
        <v>15</v>
      </c>
      <c r="F18" s="19" t="s">
        <v>22</v>
      </c>
      <c r="G18" s="14">
        <f t="shared" si="0"/>
        <v>57</v>
      </c>
      <c r="H18" s="48">
        <f t="shared" si="1"/>
        <v>0</v>
      </c>
      <c r="I18" s="739">
        <f t="shared" si="2"/>
        <v>0</v>
      </c>
      <c r="J18" s="14">
        <v>0</v>
      </c>
      <c r="K18" s="14">
        <v>0</v>
      </c>
      <c r="L18" s="14">
        <v>0</v>
      </c>
      <c r="M18" s="14">
        <f>SUM(G18:L18)-D18</f>
        <v>-5.5</v>
      </c>
      <c r="N18" s="15"/>
      <c r="O18" s="176">
        <f>SUMIFS([1]مرداد!$AF$2:$AF$805,[1]مرداد!$O$2:$O$805,7301,[1]مرداد!$D$2:$D$805,$F$18,[1]مرداد!$AC$2:$AC$805,O3)</f>
        <v>11</v>
      </c>
      <c r="P18" s="177">
        <f>SUMIFS([1]مرداد!$AF$2:$AF$805,[1]مرداد!$O$2:$O$805,7301,[1]مرداد!$D$2:$D$805,$F$18,[1]مرداد!$AC$2:$AC$805,P3)</f>
        <v>5.5</v>
      </c>
      <c r="Q18" s="177">
        <f>SUMIFS([1]مرداد!$AF$2:$AF$805,[1]مرداد!$O$2:$O$805,7301,[1]مرداد!$D$2:$D$805,$F$18,[1]مرداد!$AC$2:$AC$805,Q3)</f>
        <v>11</v>
      </c>
      <c r="R18" s="177">
        <f>SUMIFS([1]مرداد!$AF$2:$AF$805,[1]مرداد!$O$2:$O$805,7301,[1]مرداد!$D$2:$D$805,$F$18,[1]مرداد!$AC$2:$AC$805,R3)</f>
        <v>11</v>
      </c>
      <c r="S18" s="177">
        <f>SUMIFS([1]مرداد!$AF$2:$AF$805,[1]مرداد!$O$2:$O$805,7301,[1]مرداد!$D$2:$D$805,$F$18,[1]مرداد!$AC$2:$AC$805,S3)</f>
        <v>11</v>
      </c>
      <c r="T18" s="177">
        <f>SUMIFS([1]مرداد!$AF$2:$AF$805,[1]مرداد!$O$2:$O$805,7301,[1]مرداد!$D$2:$D$805,$F$18,[1]مرداد!$AC$2:$AC$805,T3)</f>
        <v>7.5</v>
      </c>
      <c r="U18" s="789">
        <f>SUMIFS([1]مرداد!$AF$2:$AF$805,[1]مرداد!$O$2:$O$805,7301,[1]مرداد!$D$2:$D$805,$F$18,[1]مرداد!$AC$2:$AC$805,U3)</f>
        <v>0</v>
      </c>
      <c r="V18" s="176">
        <f>SUMIFS([1]مرداد!$AH$2:$AH$805,[1]مرداد!$O$2:$O$805,7301,[1]مرداد!$D$2:$D$805,$F$18,[1]مرداد!$AC$2:$AC$805,V3)</f>
        <v>0</v>
      </c>
      <c r="W18" s="177">
        <f>SUMIFS([1]مرداد!$AH$2:$AH$805,[1]مرداد!$O$2:$O$805,7301,[1]مرداد!$D$2:$D$805,$F$18,[1]مرداد!$AC$2:$AC$805,W3)</f>
        <v>0</v>
      </c>
      <c r="X18" s="177">
        <f>SUMIFS([1]مرداد!$AH$2:$AH$805,[1]مرداد!$O$2:$O$805,7301,[1]مرداد!$D$2:$D$805,$F$18,[1]مرداد!$AC$2:$AC$805,X3)</f>
        <v>0</v>
      </c>
      <c r="Y18" s="177">
        <f>SUMIFS([1]مرداد!$AH$2:$AH$805,[1]مرداد!$O$2:$O$805,7301,[1]مرداد!$D$2:$D$805,$F$18,[1]مرداد!$AC$2:$AC$805,Y3)</f>
        <v>0</v>
      </c>
      <c r="Z18" s="177">
        <f>SUMIFS([1]مرداد!$AH$2:$AH$805,[1]مرداد!$O$2:$O$805,7301,[1]مرداد!$D$2:$D$805,$F$18,[1]مرداد!$AC$2:$AC$805,Z3)</f>
        <v>0</v>
      </c>
      <c r="AA18" s="177">
        <f>SUMIFS([1]مرداد!$AH$2:$AH$805,[1]مرداد!$O$2:$O$805,7301,[1]مرداد!$D$2:$D$805,$F$18,[1]مرداد!$AC$2:$AC$805,AA3)</f>
        <v>0</v>
      </c>
      <c r="AB18" s="178">
        <f>SUMIFS([1]مرداد!$AH$2:$AH$805,[1]مرداد!$O$2:$O$805,7301,[1]مرداد!$D$2:$D$805,$F$18,[1]مرداد!$AC$2:$AC$805,AB3)</f>
        <v>0</v>
      </c>
    </row>
    <row r="19" spans="1:28" ht="33.75" customHeight="1" x14ac:dyDescent="0.25">
      <c r="A19" s="731"/>
      <c r="B19" s="729"/>
      <c r="C19" s="740"/>
      <c r="D19" s="708"/>
      <c r="E19" s="933" t="s">
        <v>15</v>
      </c>
      <c r="F19" s="27"/>
      <c r="G19" s="1">
        <f t="shared" si="0"/>
        <v>0</v>
      </c>
      <c r="H19" s="49">
        <f t="shared" si="1"/>
        <v>0</v>
      </c>
      <c r="I19" s="739">
        <f t="shared" si="2"/>
        <v>0</v>
      </c>
      <c r="J19" s="1">
        <v>0</v>
      </c>
      <c r="K19" s="1">
        <v>0</v>
      </c>
      <c r="L19" s="1">
        <v>0</v>
      </c>
      <c r="M19" s="4"/>
      <c r="N19" s="928" t="str">
        <f>IF((SUM(I19:I21))&gt;0,"②","")</f>
        <v>②</v>
      </c>
      <c r="O19" s="356">
        <f>SUMIFS([1]تیر!$AF$2:$AF$805,[1]تیر!$O$2:$O$805,7302,[1]تیر!$D$2:$D$805,$F$19,[1]تیر!$AC$2:$AC$805,O3)</f>
        <v>0</v>
      </c>
      <c r="P19" s="174">
        <f>SUMIFS([1]تیر!$AF$2:$AF$805,[1]تیر!$O$2:$O$805,7302,[1]تیر!$D$2:$D$805,$F$19,[1]تیر!$AC$2:$AC$805,P3)</f>
        <v>0</v>
      </c>
      <c r="Q19" s="174">
        <f>SUMIFS([1]تیر!$AF$2:$AF$805,[1]تیر!$O$2:$O$805,7302,[1]تیر!$D$2:$D$805,$F$19,[1]تیر!$AC$2:$AC$805,Q3)</f>
        <v>0</v>
      </c>
      <c r="R19" s="174">
        <f>SUMIFS([1]تیر!$AF$2:$AF$805,[1]تیر!$O$2:$O$805,7302,[1]تیر!$D$2:$D$805,$F$19,[1]تیر!$AC$2:$AC$805,R3)</f>
        <v>0</v>
      </c>
      <c r="S19" s="174">
        <f>SUMIFS([1]تیر!$AF$2:$AF$805,[1]تیر!$O$2:$O$805,7302,[1]تیر!$D$2:$D$805,$F$19,[1]تیر!$AC$2:$AC$805,S3)</f>
        <v>0</v>
      </c>
      <c r="T19" s="174">
        <f>SUMIFS([1]تیر!$AF$2:$AF$805,[1]تیر!$O$2:$O$805,7302,[1]تیر!$D$2:$D$805,$F$19,[1]تیر!$AC$2:$AC$805,T3)</f>
        <v>0</v>
      </c>
      <c r="U19" s="791">
        <f>SUMIFS([1]تیر!$AF$2:$AF$805,[1]تیر!$O$2:$O$805,7302,[1]تیر!$D$2:$D$805,$F$19,[1]تیر!$AC$2:$AC$805,U3)</f>
        <v>0</v>
      </c>
      <c r="V19" s="165">
        <f>SUMIFS([1]مرداد!$AH$2:$AH$805,[1]مرداد!$O$2:$O$805,7302,[1]مرداد!$D$2:$D$805,$F$19,[1]مرداد!$AC$2:$AC$805,V3)</f>
        <v>0</v>
      </c>
      <c r="W19" s="292">
        <f>SUMIFS([1]مرداد!$AH$2:$AH$805,[1]مرداد!$O$2:$O$805,7302,[1]مرداد!$D$2:$D$805,$F$19,[1]مرداد!$AC$2:$AC$805,W3)</f>
        <v>0</v>
      </c>
      <c r="X19" s="292">
        <f>SUMIFS([1]مرداد!$AH$2:$AH$805,[1]مرداد!$O$2:$O$805,7302,[1]مرداد!$D$2:$D$805,$F$19,[1]مرداد!$AC$2:$AC$805,X3)</f>
        <v>0</v>
      </c>
      <c r="Y19" s="292">
        <f>SUMIFS([1]مرداد!$AH$2:$AH$805,[1]مرداد!$O$2:$O$805,7302,[1]مرداد!$D$2:$D$805,$F$19,[1]مرداد!$AC$2:$AC$805,Y3)</f>
        <v>0</v>
      </c>
      <c r="Z19" s="292">
        <f>SUMIFS([1]مرداد!$AH$2:$AH$805,[1]مرداد!$O$2:$O$805,7302,[1]مرداد!$D$2:$D$805,$F$19,[1]مرداد!$AC$2:$AC$805,Z3)</f>
        <v>0</v>
      </c>
      <c r="AA19" s="292">
        <f>SUMIFS([1]مرداد!$AH$2:$AH$805,[1]مرداد!$O$2:$O$805,7302,[1]مرداد!$D$2:$D$805,$F$19,[1]مرداد!$AC$2:$AC$805,AA3)</f>
        <v>0</v>
      </c>
      <c r="AB19" s="357">
        <f>SUMIFS([1]مرداد!$AH$2:$AH$805,[1]مرداد!$O$2:$O$805,7302,[1]مرداد!$D$2:$D$805,$F$19,[1]مرداد!$AC$2:$AC$805,AB3)</f>
        <v>0</v>
      </c>
    </row>
    <row r="20" spans="1:28" ht="33.75" customHeight="1" x14ac:dyDescent="0.25">
      <c r="A20" s="732">
        <v>9</v>
      </c>
      <c r="B20" s="722" t="s">
        <v>21</v>
      </c>
      <c r="C20" s="588">
        <v>7302</v>
      </c>
      <c r="D20" s="708">
        <v>62.5</v>
      </c>
      <c r="E20" s="1003"/>
      <c r="F20" s="27" t="s">
        <v>17</v>
      </c>
      <c r="G20" s="3">
        <f t="shared" si="0"/>
        <v>44.5</v>
      </c>
      <c r="H20" s="47">
        <f t="shared" si="1"/>
        <v>0</v>
      </c>
      <c r="I20" s="3">
        <f t="shared" si="2"/>
        <v>4</v>
      </c>
      <c r="J20" s="3">
        <v>0</v>
      </c>
      <c r="K20" s="3">
        <v>0</v>
      </c>
      <c r="L20" s="3">
        <v>0</v>
      </c>
      <c r="M20" s="4">
        <f>SUM(G19:L21)-D20</f>
        <v>-14</v>
      </c>
      <c r="N20" s="929"/>
      <c r="O20" s="293">
        <f>SUMIFS([1]مرداد!$AF$2:$AF$805,[1]مرداد!$O$2:$O$805,7302,[1]مرداد!$D$2:$D$805,$F$20,[1]مرداد!$AC$2:$AC$805,O3)</f>
        <v>0</v>
      </c>
      <c r="P20" s="293">
        <f>SUMIFS([1]مرداد!$AF$2:$AF$805,[1]مرداد!$O$2:$O$805,7302,[1]مرداد!$D$2:$D$805,$F$20,[1]مرداد!$AC$2:$AC$805,P3)</f>
        <v>7.5</v>
      </c>
      <c r="Q20" s="293">
        <f>SUMIFS([1]مرداد!$AF$2:$AF$805,[1]مرداد!$O$2:$O$805,7302,[1]مرداد!$D$2:$D$805,$F$20,[1]مرداد!$AC$2:$AC$805,Q3)</f>
        <v>11</v>
      </c>
      <c r="R20" s="293">
        <f>SUMIFS([1]مرداد!$AF$2:$AF$805,[1]مرداد!$O$2:$O$805,7302,[1]مرداد!$D$2:$D$805,$F$20,[1]مرداد!$AC$2:$AC$805,R3)</f>
        <v>9</v>
      </c>
      <c r="S20" s="293">
        <f>SUMIFS([1]مرداد!$AF$2:$AF$805,[1]مرداد!$O$2:$O$805,7302,[1]مرداد!$D$2:$D$805,$F$20,[1]مرداد!$AC$2:$AC$805,S3)</f>
        <v>9</v>
      </c>
      <c r="T20" s="293">
        <f>SUMIFS([1]مرداد!$AF$2:$AF$805,[1]مرداد!$O$2:$O$805,7302,[1]مرداد!$D$2:$D$805,$F$20,[1]مرداد!$AC$2:$AC$805,T3)</f>
        <v>8</v>
      </c>
      <c r="U20" s="792">
        <f>SUMIFS([1]مرداد!$AF$2:$AF$805,[1]مرداد!$O$2:$O$805,7302,[1]مرداد!$D$2:$D$805,$F$20,[1]مرداد!$AC$2:$AC$805,U3)</f>
        <v>0</v>
      </c>
      <c r="V20" s="166">
        <f>SUMIFS([1]مرداد!$AH$2:$AH$805,[1]مرداد!$O$2:$O$805,7302,[1]مرداد!$D$2:$D$805,$F$20,[1]مرداد!$AC$2:$AC$805,V3)</f>
        <v>0</v>
      </c>
      <c r="W20" s="293">
        <f>SUMIFS([1]مرداد!$AH$2:$AH$805,[1]مرداد!$O$2:$O$805,7302,[1]مرداد!$D$2:$D$805,$F$20,[1]مرداد!$AC$2:$AC$805,W3)</f>
        <v>0</v>
      </c>
      <c r="X20" s="293">
        <f>SUMIFS([1]مرداد!$AH$2:$AH$805,[1]مرداد!$O$2:$O$805,7302,[1]مرداد!$D$2:$D$805,$F$20,[1]مرداد!$AC$2:$AC$805,X3)</f>
        <v>0</v>
      </c>
      <c r="Y20" s="293">
        <f>SUMIFS([1]مرداد!$AH$2:$AH$805,[1]مرداد!$O$2:$O$805,7302,[1]مرداد!$D$2:$D$805,$F$20,[1]مرداد!$AC$2:$AC$805,Y3)</f>
        <v>2</v>
      </c>
      <c r="Z20" s="293">
        <f>SUMIFS([1]مرداد!$AH$2:$AH$805,[1]مرداد!$O$2:$O$805,7302,[1]مرداد!$D$2:$D$805,$F$20,[1]مرداد!$AC$2:$AC$805,Z3)</f>
        <v>2</v>
      </c>
      <c r="AA20" s="293">
        <f>SUMIFS([1]مرداد!$AH$2:$AH$805,[1]مرداد!$O$2:$O$805,7302,[1]مرداد!$D$2:$D$805,$F$20,[1]مرداد!$AC$2:$AC$805,AA3)</f>
        <v>0</v>
      </c>
      <c r="AB20" s="361">
        <f>SUMIFS([1]مرداد!$AH$2:$AH$805,[1]مرداد!$O$2:$O$805,7302,[1]مرداد!$D$2:$D$805,$F$20,[1]مرداد!$AC$2:$AC$805,AB3)</f>
        <v>0</v>
      </c>
    </row>
    <row r="21" spans="1:28" ht="33.75" customHeight="1" thickBot="1" x14ac:dyDescent="0.3">
      <c r="A21" s="733"/>
      <c r="B21" s="729"/>
      <c r="C21" s="740"/>
      <c r="D21" s="708"/>
      <c r="E21" s="933"/>
      <c r="F21" s="24"/>
      <c r="G21" s="4">
        <f t="shared" si="0"/>
        <v>0</v>
      </c>
      <c r="H21" s="765">
        <f t="shared" si="1"/>
        <v>0</v>
      </c>
      <c r="I21" s="1">
        <f t="shared" si="2"/>
        <v>0</v>
      </c>
      <c r="J21" s="25">
        <v>0</v>
      </c>
      <c r="K21" s="4">
        <v>0</v>
      </c>
      <c r="L21" s="4">
        <v>0</v>
      </c>
      <c r="M21" s="4"/>
      <c r="N21" s="929"/>
      <c r="O21" s="352">
        <f>SUMIFS([1]اردیبهشت!$AD$2:$AD$805,[1]اردیبهشت!$N$2:$N$805,$C$20,[1]اردیبهشت!$D$2:$D$805,$F$20,[1]اردیبهشت!$AA$2:$AA$805,O4)</f>
        <v>0</v>
      </c>
      <c r="P21" s="175">
        <f>SUMIFS([1]اردیبهشت!$AD$2:$AD$805,[1]اردیبهشت!$N$2:$N$805,$C$20,[1]اردیبهشت!$D$2:$D$805,$F$20,[1]اردیبهشت!$AA$2:$AA$805,P4)</f>
        <v>0</v>
      </c>
      <c r="Q21" s="175">
        <f>SUMIFS([1]اردیبهشت!$AD$2:$AD$805,[1]اردیبهشت!$N$2:$N$805,$C$20,[1]اردیبهشت!$D$2:$D$805,$F$20,[1]اردیبهشت!$AA$2:$AA$805,Q4)</f>
        <v>0</v>
      </c>
      <c r="R21" s="175">
        <f>SUMIFS([1]اردیبهشت!$AD$2:$AD$805,[1]اردیبهشت!$N$2:$N$805,$C$20,[1]اردیبهشت!$D$2:$D$805,$F$20,[1]اردیبهشت!$AA$2:$AA$805,R4)</f>
        <v>0</v>
      </c>
      <c r="S21" s="175">
        <f>SUMIFS([1]اردیبهشت!$AD$2:$AD$805,[1]اردیبهشت!$N$2:$N$805,$C$20,[1]اردیبهشت!$D$2:$D$805,$F$20,[1]اردیبهشت!$AA$2:$AA$805,S4)</f>
        <v>0</v>
      </c>
      <c r="T21" s="175">
        <f>SUMIFS([1]اردیبهشت!$AD$2:$AD$805,[1]اردیبهشت!$N$2:$N$805,$C$20,[1]اردیبهشت!$D$2:$D$805,$F$20,[1]اردیبهشت!$AA$2:$AA$805,T4)</f>
        <v>0</v>
      </c>
      <c r="U21" s="793">
        <f>SUMIFS([1]خرداد!$AF$2:$AF$700,[1]خرداد!$O$2:$O$700,7101,[1]خرداد!$D$2:$D$700,$F$4,[1]خرداد!$AC$2:$AC$700,U20)</f>
        <v>0</v>
      </c>
      <c r="V21" s="171">
        <f>SUMIFS([1]مرداد!$AH$2:$AH$805,[1]مرداد!$O$2:$O$805,7302,[1]مرداد!$D$2:$D$805,$F$21,[1]مرداد!$AC$2:$AC$805,V3)</f>
        <v>0</v>
      </c>
      <c r="W21" s="294">
        <f>SUMIFS([1]مرداد!$AH$2:$AH$805,[1]مرداد!$O$2:$O$805,7302,[1]مرداد!$D$2:$D$805,$F$21,[1]مرداد!$AC$2:$AC$805,W3)</f>
        <v>0</v>
      </c>
      <c r="X21" s="294">
        <f>SUMIFS([1]مرداد!$AH$2:$AH$805,[1]مرداد!$O$2:$O$805,7302,[1]مرداد!$D$2:$D$805,$F$21,[1]مرداد!$AC$2:$AC$805,X3)</f>
        <v>0</v>
      </c>
      <c r="Y21" s="294">
        <f>SUMIFS([1]مرداد!$AH$2:$AH$805,[1]مرداد!$O$2:$O$805,7302,[1]مرداد!$D$2:$D$805,$F$21,[1]مرداد!$AC$2:$AC$805,Y3)</f>
        <v>0</v>
      </c>
      <c r="Z21" s="294">
        <f>SUMIFS([1]مرداد!$AH$2:$AH$805,[1]مرداد!$O$2:$O$805,7302,[1]مرداد!$D$2:$D$805,$F$21,[1]مرداد!$AC$2:$AC$805,Z3)</f>
        <v>0</v>
      </c>
      <c r="AA21" s="294">
        <f>SUMIFS([1]مرداد!$AH$2:$AH$805,[1]مرداد!$O$2:$O$805,7302,[1]مرداد!$D$2:$D$805,$F$21,[1]مرداد!$AC$2:$AC$805,AA3)</f>
        <v>0</v>
      </c>
      <c r="AB21" s="776">
        <f>SUMIFS([1]مرداد!$AH$2:$AH$805,[1]مرداد!$O$2:$O$805,7302,[1]مرداد!$D$2:$D$805,$F$21,[1]مرداد!$AC$2:$AC$805,AB3)</f>
        <v>0</v>
      </c>
    </row>
    <row r="22" spans="1:28" ht="33.75" customHeight="1" thickBot="1" x14ac:dyDescent="0.3">
      <c r="A22" s="147">
        <v>10</v>
      </c>
      <c r="B22" s="207" t="s">
        <v>21</v>
      </c>
      <c r="C22" s="129">
        <v>7303</v>
      </c>
      <c r="D22" s="129">
        <v>44</v>
      </c>
      <c r="E22" s="129" t="s">
        <v>19</v>
      </c>
      <c r="F22" s="16" t="s">
        <v>17</v>
      </c>
      <c r="G22" s="209">
        <f t="shared" si="0"/>
        <v>9</v>
      </c>
      <c r="H22" s="48">
        <f t="shared" si="1"/>
        <v>0</v>
      </c>
      <c r="I22" s="739">
        <f t="shared" si="2"/>
        <v>0</v>
      </c>
      <c r="J22" s="209">
        <v>0</v>
      </c>
      <c r="K22" s="209">
        <v>0</v>
      </c>
      <c r="L22" s="209">
        <v>0</v>
      </c>
      <c r="M22" s="209">
        <f>SUM(G22:L22)-44</f>
        <v>-35</v>
      </c>
      <c r="N22" s="313" t="s">
        <v>40</v>
      </c>
      <c r="O22" s="297">
        <f>SUMIFS([1]مرداد!$AF$2:$AF$805,[1]مرداد!$O$2:$O$805,7303,[1]مرداد!$D$2:$D$805,$F$22,[1]مرداد!$AC$2:$AC$805,O3)</f>
        <v>0</v>
      </c>
      <c r="P22" s="297">
        <f>SUMIFS([1]مرداد!$AF$2:$AF$805,[1]مرداد!$O$2:$O$805,7303,[1]مرداد!$D$2:$D$805,$F$22,[1]مرداد!$AC$2:$AC$805,P3)</f>
        <v>9</v>
      </c>
      <c r="Q22" s="297">
        <f>SUMIFS([1]مرداد!$AF$2:$AF$805,[1]مرداد!$O$2:$O$805,7303,[1]مرداد!$D$2:$D$805,$F$22,[1]مرداد!$AC$2:$AC$805,Q3)</f>
        <v>0</v>
      </c>
      <c r="R22" s="297">
        <f>SUMIFS([1]مرداد!$AF$2:$AF$805,[1]مرداد!$O$2:$O$805,7303,[1]مرداد!$D$2:$D$805,$F$22,[1]مرداد!$AC$2:$AC$805,R3)</f>
        <v>0</v>
      </c>
      <c r="S22" s="297">
        <f>SUMIFS([1]مرداد!$AF$2:$AF$805,[1]مرداد!$O$2:$O$805,7303,[1]مرداد!$D$2:$D$805,$F$22,[1]مرداد!$AC$2:$AC$805,S3)</f>
        <v>0</v>
      </c>
      <c r="T22" s="297">
        <f>SUMIFS([1]مرداد!$AF$2:$AF$805,[1]مرداد!$O$2:$O$805,7303,[1]مرداد!$D$2:$D$805,$F$22,[1]مرداد!$AC$2:$AC$805,T3)</f>
        <v>0</v>
      </c>
      <c r="U22" s="360">
        <f>SUMIFS([1]مرداد!$AF$2:$AF$805,[1]مرداد!$O$2:$O$805,7303,[1]مرداد!$D$2:$D$805,$F$22,[1]مرداد!$AC$2:$AC$805,U3)</f>
        <v>0</v>
      </c>
      <c r="V22" s="181">
        <f>SUMIFS([1]مرداد!$AH$2:$AH$805,[1]مرداد!$O$2:$O$805,7303,[1]مرداد!$D$2:$D$805,$F$22,[1]مرداد!$AC$2:$AC$805,V3)</f>
        <v>0</v>
      </c>
      <c r="W22" s="297">
        <f>SUMIFS([1]مرداد!$AH$2:$AH$805,[1]مرداد!$O$2:$O$805,7303,[1]مرداد!$D$2:$D$805,$F$22,[1]مرداد!$AC$2:$AC$805,W3)</f>
        <v>0</v>
      </c>
      <c r="X22" s="297">
        <f>SUMIFS([1]مرداد!$AH$2:$AH$805,[1]مرداد!$O$2:$O$805,7303,[1]مرداد!$D$2:$D$805,$F$22,[1]مرداد!$AC$2:$AC$805,X3)</f>
        <v>0</v>
      </c>
      <c r="Y22" s="297">
        <f>SUMIFS([1]مرداد!$AH$2:$AH$805,[1]مرداد!$O$2:$O$805,7303,[1]مرداد!$D$2:$D$805,$F$22,[1]مرداد!$AC$2:$AC$805,Y3)</f>
        <v>0</v>
      </c>
      <c r="Z22" s="297">
        <f>SUMIFS([1]مرداد!$AH$2:$AH$805,[1]مرداد!$O$2:$O$805,7303,[1]مرداد!$D$2:$D$805,$F$22,[1]مرداد!$AC$2:$AC$805,Z3)</f>
        <v>0</v>
      </c>
      <c r="AA22" s="297">
        <f>SUMIFS([1]مرداد!$AH$2:$AH$805,[1]مرداد!$O$2:$O$805,7303,[1]مرداد!$D$2:$D$805,$F$22,[1]مرداد!$AC$2:$AC$805,AA3)</f>
        <v>0</v>
      </c>
      <c r="AB22" s="360">
        <f>SUMIFS([1]مرداد!$AH$2:$AH$805,[1]مرداد!$O$2:$O$805,7303,[1]مرداد!$D$2:$D$805,$F$22,[1]مرداد!$AC$2:$AC$805,AB3)</f>
        <v>0</v>
      </c>
    </row>
    <row r="23" spans="1:28" ht="33.75" customHeight="1" x14ac:dyDescent="0.25">
      <c r="A23" s="731"/>
      <c r="B23" s="728"/>
      <c r="C23" s="42"/>
      <c r="D23" s="707"/>
      <c r="E23" s="932" t="s">
        <v>15</v>
      </c>
      <c r="F23" s="574" t="s">
        <v>17</v>
      </c>
      <c r="G23" s="739">
        <f t="shared" si="0"/>
        <v>5</v>
      </c>
      <c r="H23" s="46">
        <f t="shared" si="1"/>
        <v>0</v>
      </c>
      <c r="I23" s="739">
        <f t="shared" si="2"/>
        <v>0</v>
      </c>
      <c r="J23" s="739">
        <v>0</v>
      </c>
      <c r="K23" s="739">
        <v>0</v>
      </c>
      <c r="L23" s="739">
        <v>0</v>
      </c>
      <c r="M23" s="21"/>
      <c r="N23" s="1004" t="s">
        <v>180</v>
      </c>
      <c r="O23" s="292">
        <f>SUMIFS([1]مرداد!$AF$2:$AF$805,[1]مرداد!$O$2:$O$805,7401,[1]مرداد!$D$2:$D$805,$F$23,[1]مرداد!$AC$2:$AC$805,O3)</f>
        <v>5</v>
      </c>
      <c r="P23" s="292">
        <f>SUMIFS([1]مرداد!$AF$2:$AF$805,[1]مرداد!$O$2:$O$805,7401,[1]مرداد!$D$2:$D$805,$F$23,[1]مرداد!$AC$2:$AC$805,P3)</f>
        <v>0</v>
      </c>
      <c r="Q23" s="292">
        <f>SUMIFS([1]مرداد!$AF$2:$AF$805,[1]مرداد!$O$2:$O$805,7401,[1]مرداد!$D$2:$D$805,$F$23,[1]مرداد!$AC$2:$AC$805,Q3)</f>
        <v>0</v>
      </c>
      <c r="R23" s="292">
        <f>SUMIFS([1]مرداد!$AF$2:$AF$805,[1]مرداد!$O$2:$O$805,7401,[1]مرداد!$D$2:$D$805,$F$23,[1]مرداد!$AC$2:$AC$805,R3)</f>
        <v>0</v>
      </c>
      <c r="S23" s="292">
        <f>SUMIFS([1]مرداد!$AF$2:$AF$805,[1]مرداد!$O$2:$O$805,7401,[1]مرداد!$D$2:$D$805,$F$23,[1]مرداد!$AC$2:$AC$805,S3)</f>
        <v>0</v>
      </c>
      <c r="T23" s="292">
        <f>SUMIFS([1]مرداد!$AF$2:$AF$805,[1]مرداد!$O$2:$O$805,7401,[1]مرداد!$D$2:$D$805,$F$23,[1]مرداد!$AC$2:$AC$805,T3)</f>
        <v>0</v>
      </c>
      <c r="U23" s="357">
        <f>SUMIFS([1]مرداد!$AF$2:$AF$805,[1]مرداد!$O$2:$O$805,7401,[1]مرداد!$D$2:$D$805,$F$23,[1]مرداد!$AC$2:$AC$805,U3)</f>
        <v>0</v>
      </c>
      <c r="V23" s="165">
        <f>SUMIFS([1]مرداد!$AH$2:$AH$805,[1]مرداد!$O$2:$O$805,7401,[1]مرداد!$D$2:$D$805,$F$23,[1]مرداد!$AC$2:$AC$805,V3)</f>
        <v>0</v>
      </c>
      <c r="W23" s="292">
        <f>SUMIFS([1]مرداد!$AH$2:$AH$805,[1]مرداد!$O$2:$O$805,7401,[1]مرداد!$D$2:$D$805,$F$23,[1]مرداد!$AC$2:$AC$805,W3)</f>
        <v>0</v>
      </c>
      <c r="X23" s="292">
        <f>SUMIFS([1]مرداد!$AH$2:$AH$805,[1]مرداد!$O$2:$O$805,7401,[1]مرداد!$D$2:$D$805,$F$23,[1]مرداد!$AC$2:$AC$805,X3)</f>
        <v>0</v>
      </c>
      <c r="Y23" s="292">
        <f>SUMIFS([1]مرداد!$AH$2:$AH$805,[1]مرداد!$O$2:$O$805,7401,[1]مرداد!$D$2:$D$805,$F$23,[1]مرداد!$AC$2:$AC$805,Y3)</f>
        <v>0</v>
      </c>
      <c r="Z23" s="292">
        <f>SUMIFS([1]مرداد!$AH$2:$AH$805,[1]مرداد!$O$2:$O$805,7401,[1]مرداد!$D$2:$D$805,$F$23,[1]مرداد!$AC$2:$AC$805,Z3)</f>
        <v>0</v>
      </c>
      <c r="AA23" s="292">
        <f>SUMIFS([1]مرداد!$AH$2:$AH$805,[1]مرداد!$O$2:$O$805,7401,[1]مرداد!$D$2:$D$805,$F$23,[1]مرداد!$AC$2:$AC$805,AA3)</f>
        <v>0</v>
      </c>
      <c r="AB23" s="357">
        <f>SUMIFS([1]مرداد!$AH$2:$AH$805,[1]مرداد!$O$2:$O$805,7401,[1]مرداد!$D$2:$D$805,$F$23,[1]مرداد!$AC$2:$AC$805,AB3)</f>
        <v>0</v>
      </c>
    </row>
    <row r="24" spans="1:28" ht="33.75" customHeight="1" x14ac:dyDescent="0.25">
      <c r="A24" s="732">
        <v>11</v>
      </c>
      <c r="B24" s="722" t="s">
        <v>24</v>
      </c>
      <c r="C24" s="708">
        <v>7401</v>
      </c>
      <c r="D24" s="708">
        <v>62.5</v>
      </c>
      <c r="E24" s="1003"/>
      <c r="F24" s="22" t="s">
        <v>16</v>
      </c>
      <c r="G24" s="3">
        <f t="shared" si="0"/>
        <v>7</v>
      </c>
      <c r="H24" s="47">
        <f t="shared" si="1"/>
        <v>0</v>
      </c>
      <c r="I24" s="3">
        <f t="shared" si="2"/>
        <v>2</v>
      </c>
      <c r="J24" s="3">
        <v>0</v>
      </c>
      <c r="K24" s="3">
        <v>0</v>
      </c>
      <c r="L24" s="205">
        <v>0</v>
      </c>
      <c r="M24" s="4">
        <f>SUM(G23:L25)-D24</f>
        <v>-48.5</v>
      </c>
      <c r="N24" s="1005"/>
      <c r="O24" s="293">
        <f>SUMIFS([1]مرداد!$AF$2:$AF$805,[1]مرداد!$O$2:$O$805,7401,[1]مرداد!$D$2:$D$805,$F$24,[1]مرداد!$AC$2:$AC$805,O3)</f>
        <v>3</v>
      </c>
      <c r="P24" s="293">
        <f>SUMIFS([1]مرداد!$AF$2:$AF$805,[1]مرداد!$O$2:$O$805,7401,[1]مرداد!$D$2:$D$805,$F$24,[1]مرداد!$AC$2:$AC$805,P3)</f>
        <v>0</v>
      </c>
      <c r="Q24" s="293">
        <f>SUMIFS([1]مرداد!$AF$2:$AF$805,[1]مرداد!$O$2:$O$805,7401,[1]مرداد!$D$2:$D$805,$F$24,[1]مرداد!$AC$2:$AC$805,Q3)</f>
        <v>1</v>
      </c>
      <c r="R24" s="293">
        <f>SUMIFS([1]مرداد!$AF$2:$AF$805,[1]مرداد!$O$2:$O$805,7401,[1]مرداد!$D$2:$D$805,$F$24,[1]مرداد!$AC$2:$AC$805,R3)</f>
        <v>3</v>
      </c>
      <c r="S24" s="293">
        <f>SUMIFS([1]مرداد!$AF$2:$AF$805,[1]مرداد!$O$2:$O$805,7401,[1]مرداد!$D$2:$D$805,$F$24,[1]مرداد!$AC$2:$AC$805,S3)</f>
        <v>0</v>
      </c>
      <c r="T24" s="293">
        <f>SUMIFS([1]مرداد!$AF$2:$AF$805,[1]مرداد!$O$2:$O$805,7401,[1]مرداد!$D$2:$D$805,$F$24,[1]مرداد!$AC$2:$AC$805,T3)</f>
        <v>0</v>
      </c>
      <c r="U24" s="361">
        <f>SUMIFS([1]مرداد!$AF$2:$AF$805,[1]مرداد!$O$2:$O$805,7401,[1]مرداد!$D$2:$D$805,$F$24,[1]مرداد!$AC$2:$AC$805,U3)</f>
        <v>0</v>
      </c>
      <c r="V24" s="166">
        <f>SUMIFS([1]مرداد!$AH$2:$AH$805,[1]مرداد!$O$2:$O$805,7401,[1]مرداد!$D$2:$D$805,$F$24,[1]مرداد!$AC$2:$AC$805,V3)</f>
        <v>0</v>
      </c>
      <c r="W24" s="293">
        <f>SUMIFS([1]مرداد!$AH$2:$AH$805,[1]مرداد!$O$2:$O$805,7401,[1]مرداد!$D$2:$D$805,$F$24,[1]مرداد!$AC$2:$AC$805,W3)</f>
        <v>0</v>
      </c>
      <c r="X24" s="293">
        <f>SUMIFS([1]مرداد!$AH$2:$AH$805,[1]مرداد!$O$2:$O$805,7401,[1]مرداد!$D$2:$D$805,$F$24,[1]مرداد!$AC$2:$AC$805,X3)</f>
        <v>0</v>
      </c>
      <c r="Y24" s="293">
        <f>SUMIFS([1]مرداد!$AH$2:$AH$805,[1]مرداد!$O$2:$O$805,7401,[1]مرداد!$D$2:$D$805,$F$24,[1]مرداد!$AC$2:$AC$805,Y3)</f>
        <v>2</v>
      </c>
      <c r="Z24" s="293">
        <f>SUMIFS([1]مرداد!$AH$2:$AH$805,[1]مرداد!$O$2:$O$805,7401,[1]مرداد!$D$2:$D$805,$F$24,[1]مرداد!$AC$2:$AC$805,Z3)</f>
        <v>0</v>
      </c>
      <c r="AA24" s="293">
        <f>SUMIFS([1]مرداد!$AH$2:$AH$805,[1]مرداد!$O$2:$O$805,7401,[1]مرداد!$D$2:$D$805,$F$24,[1]مرداد!$AC$2:$AC$805,AA3)</f>
        <v>0</v>
      </c>
      <c r="AB24" s="361">
        <f>SUMIFS([1]مرداد!$AH$2:$AH$805,[1]مرداد!$O$2:$O$805,7401,[1]مرداد!$D$2:$D$805,$F$24,[1]مرداد!$AC$2:$AC$805,AB3)</f>
        <v>0</v>
      </c>
    </row>
    <row r="25" spans="1:28" ht="33.75" customHeight="1" thickBot="1" x14ac:dyDescent="0.3">
      <c r="A25" s="733"/>
      <c r="B25" s="730"/>
      <c r="C25" s="43"/>
      <c r="D25" s="709"/>
      <c r="E25" s="934"/>
      <c r="F25" s="5"/>
      <c r="G25" s="6">
        <f t="shared" si="0"/>
        <v>0</v>
      </c>
      <c r="H25" s="761">
        <f t="shared" si="1"/>
        <v>0</v>
      </c>
      <c r="I25" s="1">
        <f t="shared" si="2"/>
        <v>0</v>
      </c>
      <c r="J25" s="7">
        <v>0</v>
      </c>
      <c r="K25" s="6">
        <v>0</v>
      </c>
      <c r="L25" s="6">
        <v>0</v>
      </c>
      <c r="M25" s="6"/>
      <c r="N25" s="1006"/>
      <c r="O25" s="294">
        <f>SUMIFS([1]تیر!$AF$2:$AF$805,[1]تیر!$O$2:$O$805,7401,[1]تیر!$D$2:$D$805,$F$25,[1]تیر!$AC$2:$AC$805,O3)</f>
        <v>0</v>
      </c>
      <c r="P25" s="172">
        <f>SUMIFS([1]تیر!$AF$2:$AF$805,[1]تیر!$O$2:$O$805,7401,[1]تیر!$D$2:$D$805,$F$25,[1]تیر!$AC$2:$AC$805,P3)</f>
        <v>0</v>
      </c>
      <c r="Q25" s="172">
        <f>SUMIFS([1]تیر!$AF$2:$AF$805,[1]تیر!$O$2:$O$805,7401,[1]تیر!$D$2:$D$805,$F$25,[1]تیر!$AC$2:$AC$805,Q3)</f>
        <v>0</v>
      </c>
      <c r="R25" s="172">
        <f>SUMIFS([1]تیر!$AF$2:$AF$805,[1]تیر!$O$2:$O$805,7401,[1]تیر!$D$2:$D$805,$F$25,[1]تیر!$AC$2:$AC$805,R3)</f>
        <v>0</v>
      </c>
      <c r="S25" s="172">
        <f>SUMIFS([1]تیر!$AF$2:$AF$805,[1]تیر!$O$2:$O$805,7401,[1]تیر!$D$2:$D$805,$F$25,[1]تیر!$AC$2:$AC$805,S3)</f>
        <v>0</v>
      </c>
      <c r="T25" s="172">
        <f>SUMIFS([1]تیر!$AF$2:$AF$805,[1]تیر!$O$2:$O$805,7401,[1]تیر!$D$2:$D$805,$F$25,[1]تیر!$AC$2:$AC$805,T3)</f>
        <v>0</v>
      </c>
      <c r="U25" s="109">
        <f>SUMIFS([1]تیر!$AF$2:$AF$805,[1]تیر!$O$2:$O$805,7401,[1]تیر!$D$2:$D$805,$F$25,[1]تیر!$AC$2:$AC$805,U3)</f>
        <v>0</v>
      </c>
      <c r="V25" s="171">
        <f>SUMIFS([1]مرداد!$AH$2:$AH$805,[1]مرداد!$O$2:$O$805,7401,[1]مرداد!$D$2:$D$805,$F$25,[1]مرداد!$AC$2:$AC$805,V3)</f>
        <v>0</v>
      </c>
      <c r="W25" s="294">
        <f>SUMIFS([1]مرداد!$AH$2:$AH$805,[1]مرداد!$O$2:$O$805,7401,[1]مرداد!$D$2:$D$805,$F$25,[1]مرداد!$AC$2:$AC$805,W3)</f>
        <v>0</v>
      </c>
      <c r="X25" s="294">
        <f>SUMIFS([1]مرداد!$AH$2:$AH$805,[1]مرداد!$O$2:$O$805,7401,[1]مرداد!$D$2:$D$805,$F$25,[1]مرداد!$AC$2:$AC$805,X3)</f>
        <v>0</v>
      </c>
      <c r="Y25" s="294">
        <f>SUMIFS([1]مرداد!$AH$2:$AH$805,[1]مرداد!$O$2:$O$805,7401,[1]مرداد!$D$2:$D$805,$F$25,[1]مرداد!$AC$2:$AC$805,Y3)</f>
        <v>0</v>
      </c>
      <c r="Z25" s="294">
        <f>SUMIFS([1]مرداد!$AH$2:$AH$805,[1]مرداد!$O$2:$O$805,7401,[1]مرداد!$D$2:$D$805,$F$25,[1]مرداد!$AC$2:$AC$805,Z3)</f>
        <v>0</v>
      </c>
      <c r="AA25" s="294">
        <f>SUMIFS([1]مرداد!$AH$2:$AH$805,[1]مرداد!$O$2:$O$805,7401,[1]مرداد!$D$2:$D$805,$F$25,[1]مرداد!$AC$2:$AC$805,AA3)</f>
        <v>0</v>
      </c>
      <c r="AB25" s="776">
        <f>SUMIFS([1]مرداد!$AH$2:$AH$805,[1]مرداد!$O$2:$O$805,7401,[1]مرداد!$D$2:$D$805,$F$25,[1]مرداد!$AC$2:$AC$805,AB3)</f>
        <v>0</v>
      </c>
    </row>
    <row r="26" spans="1:28" ht="33.75" hidden="1" customHeight="1" thickBot="1" x14ac:dyDescent="0.3">
      <c r="A26" s="766"/>
      <c r="B26" s="12"/>
      <c r="C26" s="13"/>
      <c r="D26" s="13"/>
      <c r="E26" s="767" t="s">
        <v>15</v>
      </c>
      <c r="F26" s="16"/>
      <c r="G26" s="14">
        <f t="shared" si="0"/>
        <v>0</v>
      </c>
      <c r="H26" s="48">
        <f t="shared" si="1"/>
        <v>0</v>
      </c>
      <c r="I26" s="739">
        <f t="shared" si="2"/>
        <v>0</v>
      </c>
      <c r="J26" s="14">
        <v>0</v>
      </c>
      <c r="K26" s="14">
        <v>0</v>
      </c>
      <c r="L26" s="14">
        <v>0</v>
      </c>
      <c r="M26" s="14"/>
      <c r="N26" s="768"/>
      <c r="O26" s="295">
        <f>SUMIFS([1]اردیبهشت!$AD$2:$AD$805,[1]اردیبهشت!$N$2:$N$805,$C$26,[1]اردیبهشت!$D$2:$D$805,$F$26,[1]اردیبهشت!$AA$2:$AA$805,O3)</f>
        <v>0</v>
      </c>
      <c r="P26" s="177">
        <f>SUMIFS([1]اردیبهشت!$AD$2:$AD$805,[1]اردیبهشت!$N$2:$N$805,$C$26,[1]اردیبهشت!$D$2:$D$805,$F$26,[1]اردیبهشت!$AA$2:$AA$805,P3)</f>
        <v>0</v>
      </c>
      <c r="Q26" s="177">
        <f>SUMIFS([1]اردیبهشت!$AD$2:$AD$805,[1]اردیبهشت!$N$2:$N$805,$C$26,[1]اردیبهشت!$D$2:$D$805,$F$26,[1]اردیبهشت!$AA$2:$AA$805,Q3)</f>
        <v>0</v>
      </c>
      <c r="R26" s="177">
        <f>SUMIFS([1]اردیبهشت!$AD$2:$AD$805,[1]اردیبهشت!$N$2:$N$805,$C$26,[1]اردیبهشت!$D$2:$D$805,$F$26,[1]اردیبهشت!$AA$2:$AA$805,R3)</f>
        <v>0</v>
      </c>
      <c r="S26" s="177">
        <f>SUMIFS([1]اردیبهشت!$AD$2:$AD$805,[1]اردیبهشت!$N$2:$N$805,$C$26,[1]اردیبهشت!$D$2:$D$805,$F$26,[1]اردیبهشت!$AA$2:$AA$805,S3)</f>
        <v>0</v>
      </c>
      <c r="T26" s="177">
        <f>SUMIFS([1]اردیبهشت!$AD$2:$AD$805,[1]اردیبهشت!$N$2:$N$805,$C$26,[1]اردیبهشت!$D$2:$D$805,$F$26,[1]اردیبهشت!$AA$2:$AA$805,T3)</f>
        <v>0</v>
      </c>
      <c r="U26" s="113">
        <f>SUMIFS([1]خرداد!$AF$2:$AF$700,[1]خرداد!$O$2:$O$700,7101,[1]خرداد!$D$2:$D$700,$F$4,[1]خرداد!$AC$2:$AC$700,U25)</f>
        <v>0</v>
      </c>
      <c r="V26" s="295">
        <f>SUMIFS([1]اردیبهشت!$AD$2:$AD$805,[1]اردیبهشت!$N$2:$N$805,$C$26,[1]اردیبهشت!$D$2:$D$805,$F$26,[1]اردیبهشت!$AA$2:$AA$805,V3)</f>
        <v>0</v>
      </c>
      <c r="W26" s="177">
        <f>SUMIFS([1]اردیبهشت!$AD$2:$AD$805,[1]اردیبهشت!$N$2:$N$805,$C$26,[1]اردیبهشت!$D$2:$D$805,$F$26,[1]اردیبهشت!$AA$2:$AA$805,W3)</f>
        <v>0</v>
      </c>
      <c r="X26" s="177">
        <f>SUMIFS([1]اردیبهشت!$AD$2:$AD$805,[1]اردیبهشت!$N$2:$N$805,$C$26,[1]اردیبهشت!$D$2:$D$805,$F$26,[1]اردیبهشت!$AA$2:$AA$805,X3)</f>
        <v>0</v>
      </c>
      <c r="Y26" s="177">
        <f>SUMIFS([1]اردیبهشت!$AD$2:$AD$805,[1]اردیبهشت!$N$2:$N$805,$C$26,[1]اردیبهشت!$D$2:$D$805,$F$26,[1]اردیبهشت!$AA$2:$AA$805,Y3)</f>
        <v>0</v>
      </c>
      <c r="Z26" s="177">
        <f>SUMIFS([1]اردیبهشت!$AD$2:$AD$805,[1]اردیبهشت!$N$2:$N$805,$C$26,[1]اردیبهشت!$D$2:$D$805,$F$26,[1]اردیبهشت!$AA$2:$AA$805,Z3)</f>
        <v>0</v>
      </c>
      <c r="AA26" s="177">
        <f>SUMIFS([1]اردیبهشت!$AD$2:$AD$805,[1]اردیبهشت!$N$2:$N$805,$C$26,[1]اردیبهشت!$D$2:$D$805,$F$26,[1]اردیبهشت!$AA$2:$AA$805,AA3)</f>
        <v>0</v>
      </c>
      <c r="AB26" s="113">
        <f>SUMIFS([1]خرداد!$AF$2:$AF$700,[1]خرداد!$O$2:$O$700,7101,[1]خرداد!$D$2:$D$700,$F$4,[1]خرداد!$AC$2:$AC$700,AB25)</f>
        <v>0</v>
      </c>
    </row>
    <row r="27" spans="1:28" ht="33.75" customHeight="1" thickBot="1" x14ac:dyDescent="0.3">
      <c r="A27" s="12">
        <v>12</v>
      </c>
      <c r="B27" s="13" t="s">
        <v>25</v>
      </c>
      <c r="C27" s="13">
        <v>7501</v>
      </c>
      <c r="D27" s="13">
        <v>62.5</v>
      </c>
      <c r="E27" s="13" t="s">
        <v>15</v>
      </c>
      <c r="F27" s="16" t="s">
        <v>36</v>
      </c>
      <c r="G27" s="14">
        <f t="shared" si="0"/>
        <v>55</v>
      </c>
      <c r="H27" s="48">
        <f t="shared" si="1"/>
        <v>0</v>
      </c>
      <c r="I27" s="14">
        <f t="shared" si="2"/>
        <v>0</v>
      </c>
      <c r="J27" s="14">
        <v>0</v>
      </c>
      <c r="K27" s="14">
        <v>0</v>
      </c>
      <c r="L27" s="14">
        <v>0</v>
      </c>
      <c r="M27" s="14">
        <f>SUM(G26:L28)-D27</f>
        <v>-7.5</v>
      </c>
      <c r="N27" s="61"/>
      <c r="O27" s="353">
        <f>SUMIFS([1]مرداد!$AF$2:$AF$805,[1]مرداد!$O$2:$O$805,7501,[1]مرداد!$D$2:$D$805,$F$27,[1]مرداد!$AC$2:$AC$805,O3)</f>
        <v>11</v>
      </c>
      <c r="P27" s="747">
        <f>SUMIFS([1]مرداد!$AF$2:$AF$805,[1]مرداد!$O$2:$O$805,7501,[1]مرداد!$D$2:$D$805,$F$27,[1]مرداد!$AC$2:$AC$805,P3)</f>
        <v>11</v>
      </c>
      <c r="Q27" s="747">
        <f>SUMIFS([1]مرداد!$AF$2:$AF$805,[1]مرداد!$O$2:$O$805,7501,[1]مرداد!$D$2:$D$805,$F$27,[1]مرداد!$AC$2:$AC$805,Q3)</f>
        <v>11</v>
      </c>
      <c r="R27" s="747">
        <f>SUMIFS([1]مرداد!$AF$2:$AF$805,[1]مرداد!$O$2:$O$805,7501,[1]مرداد!$D$2:$D$805,$F$27,[1]مرداد!$AC$2:$AC$805,R3)</f>
        <v>11</v>
      </c>
      <c r="S27" s="747">
        <f>SUMIFS([1]مرداد!$AF$2:$AF$805,[1]مرداد!$O$2:$O$805,7501,[1]مرداد!$D$2:$D$805,$F$27,[1]مرداد!$AC$2:$AC$805,S3)</f>
        <v>11</v>
      </c>
      <c r="T27" s="747">
        <f>SUMIFS([1]مرداد!$AF$2:$AF$805,[1]مرداد!$O$2:$O$805,7501,[1]مرداد!$D$2:$D$805,$F$27,[1]مرداد!$AC$2:$AC$805,T3)</f>
        <v>0</v>
      </c>
      <c r="U27" s="764">
        <f>SUMIFS([1]مرداد!$AF$2:$AF$805,[1]مرداد!$O$2:$O$805,7501,[1]مرداد!$D$2:$D$805,$F$27,[1]مرداد!$AC$2:$AC$805,U3)</f>
        <v>0</v>
      </c>
      <c r="V27" s="176">
        <f>SUMIFS([1]مرداد!$AH$2:$AH$805,[1]مرداد!$O$2:$O$805,7501,[1]مرداد!$D$2:$D$805,$F$27,[1]مرداد!$AC$2:$AC$805,V3)</f>
        <v>0</v>
      </c>
      <c r="W27" s="295">
        <f>SUMIFS([1]مرداد!$AH$2:$AH$805,[1]مرداد!$O$2:$O$805,7501,[1]مرداد!$D$2:$D$805,$F$27,[1]مرداد!$AC$2:$AC$805,W3)</f>
        <v>0</v>
      </c>
      <c r="X27" s="295">
        <f>SUMIFS([1]مرداد!$AH$2:$AH$805,[1]مرداد!$O$2:$O$805,7501,[1]مرداد!$D$2:$D$805,$F$27,[1]مرداد!$AC$2:$AC$805,X3)</f>
        <v>0</v>
      </c>
      <c r="Y27" s="295">
        <f>SUMIFS([1]مرداد!$AH$2:$AH$805,[1]مرداد!$O$2:$O$805,7501,[1]مرداد!$D$2:$D$805,$F$27,[1]مرداد!$AC$2:$AC$805,Y3)</f>
        <v>0</v>
      </c>
      <c r="Z27" s="295">
        <f>SUMIFS([1]مرداد!$AH$2:$AH$805,[1]مرداد!$O$2:$O$805,7501,[1]مرداد!$D$2:$D$805,$F$27,[1]مرداد!$AC$2:$AC$805,Z3)</f>
        <v>0</v>
      </c>
      <c r="AA27" s="295">
        <f>SUMIFS([1]مرداد!$AH$2:$AH$805,[1]مرداد!$O$2:$O$805,7501,[1]مرداد!$D$2:$D$805,$F$27,[1]مرداد!$AC$2:$AC$805,AA3)</f>
        <v>0</v>
      </c>
      <c r="AB27" s="744">
        <f>SUMIFS([1]مرداد!$AH$2:$AH$805,[1]مرداد!$O$2:$O$805,7501,[1]مرداد!$D$2:$D$805,$F$27,[1]مرداد!$AC$2:$AC$805,AB3)</f>
        <v>0</v>
      </c>
    </row>
    <row r="28" spans="1:28" ht="33.75" hidden="1" customHeight="1" thickBot="1" x14ac:dyDescent="0.3">
      <c r="A28" s="730"/>
      <c r="B28" s="708"/>
      <c r="C28" s="708"/>
      <c r="D28" s="708"/>
      <c r="E28" s="750"/>
      <c r="F28" s="66"/>
      <c r="G28" s="4">
        <f t="shared" si="0"/>
        <v>0</v>
      </c>
      <c r="H28" s="67">
        <f t="shared" si="1"/>
        <v>0</v>
      </c>
      <c r="I28" s="1">
        <f t="shared" si="2"/>
        <v>0</v>
      </c>
      <c r="J28" s="4">
        <v>0</v>
      </c>
      <c r="K28" s="4">
        <v>0</v>
      </c>
      <c r="L28" s="4">
        <v>0</v>
      </c>
      <c r="M28" s="4"/>
      <c r="N28" s="705"/>
      <c r="O28" s="577">
        <f>SUMIFS([1]تیر!$AF$2:$AF$805,[1]تیر!$O$2:$O$805,7501,[1]تیر!$D$2:$D$805,$F$28,[1]تیر!$AC$2:$AC$805,O3)</f>
        <v>0</v>
      </c>
      <c r="P28" s="202">
        <f>SUMIFS([1]تیر!$AF$2:$AF$805,[1]تیر!$O$2:$O$805,7501,[1]تیر!$D$2:$D$805,$F$28,[1]تیر!$AC$2:$AC$805,P3)</f>
        <v>0</v>
      </c>
      <c r="Q28" s="202">
        <f>SUMIFS([1]تیر!$AF$2:$AF$805,[1]تیر!$O$2:$O$805,7501,[1]تیر!$D$2:$D$805,$F$28,[1]تیر!$AC$2:$AC$805,Q3)</f>
        <v>0</v>
      </c>
      <c r="R28" s="202">
        <f>SUMIFS([1]تیر!$AF$2:$AF$805,[1]تیر!$O$2:$O$805,7501,[1]تیر!$D$2:$D$805,$F$28,[1]تیر!$AC$2:$AC$805,R3)</f>
        <v>0</v>
      </c>
      <c r="S28" s="202">
        <f>SUMIFS([1]تیر!$AF$2:$AF$805,[1]تیر!$O$2:$O$805,7501,[1]تیر!$D$2:$D$805,$F$28,[1]تیر!$AC$2:$AC$805,S3)</f>
        <v>0</v>
      </c>
      <c r="T28" s="202">
        <f>SUMIFS([1]تیر!$AF$2:$AF$805,[1]تیر!$O$2:$O$805,7501,[1]تیر!$D$2:$D$805,$F$28,[1]تیر!$AC$2:$AC$805,T3)</f>
        <v>0</v>
      </c>
      <c r="U28" s="120">
        <f>SUMIFS([1]تیر!$AF$2:$AF$805,[1]تیر!$O$2:$O$805,7501,[1]تیر!$D$2:$D$805,$F$28,[1]تیر!$AC$2:$AC$805,U3)</f>
        <v>0</v>
      </c>
      <c r="V28" s="577">
        <f>SUMIFS([1]مرداد!$AH$2:$AH$805,[1]مرداد!$O$2:$O$805,7302,[1]مرداد!$D$2:$D$805,$F$21,[1]مرداد!$AC$2:$AC$805,V3)</f>
        <v>0</v>
      </c>
      <c r="W28" s="202">
        <f>SUMIFS([1]تیر!$AF$2:$AF$805,[1]تیر!$O$2:$O$805,7501,[1]تیر!$D$2:$D$805,$F$28,[1]تیر!$AC$2:$AC$805,W3)</f>
        <v>0</v>
      </c>
      <c r="X28" s="202">
        <f>SUMIFS([1]تیر!$AF$2:$AF$805,[1]تیر!$O$2:$O$805,7501,[1]تیر!$D$2:$D$805,$F$28,[1]تیر!$AC$2:$AC$805,X3)</f>
        <v>0</v>
      </c>
      <c r="Y28" s="202">
        <f>SUMIFS([1]تیر!$AF$2:$AF$805,[1]تیر!$O$2:$O$805,7501,[1]تیر!$D$2:$D$805,$F$28,[1]تیر!$AC$2:$AC$805,Y3)</f>
        <v>0</v>
      </c>
      <c r="Z28" s="202">
        <f>SUMIFS([1]تیر!$AF$2:$AF$805,[1]تیر!$O$2:$O$805,7501,[1]تیر!$D$2:$D$805,$F$28,[1]تیر!$AC$2:$AC$805,Z3)</f>
        <v>0</v>
      </c>
      <c r="AA28" s="202">
        <f>SUMIFS([1]تیر!$AF$2:$AF$805,[1]تیر!$O$2:$O$805,7501,[1]تیر!$D$2:$D$805,$F$28,[1]تیر!$AC$2:$AC$805,AA3)</f>
        <v>0</v>
      </c>
      <c r="AB28" s="120">
        <f>SUMIFS([1]تیر!$AF$2:$AF$805,[1]تیر!$O$2:$O$805,7501,[1]تیر!$D$2:$D$805,$F$28,[1]تیر!$AC$2:$AC$805,AB3)</f>
        <v>0</v>
      </c>
    </row>
    <row r="29" spans="1:28" ht="33.75" hidden="1" customHeight="1" thickBot="1" x14ac:dyDescent="0.3">
      <c r="A29" s="732"/>
      <c r="B29" s="12"/>
      <c r="C29" s="13"/>
      <c r="D29" s="13"/>
      <c r="E29" s="767"/>
      <c r="F29" s="16"/>
      <c r="G29" s="14">
        <f t="shared" si="0"/>
        <v>0</v>
      </c>
      <c r="H29" s="48">
        <f t="shared" si="1"/>
        <v>0</v>
      </c>
      <c r="I29" s="739">
        <f t="shared" si="2"/>
        <v>0</v>
      </c>
      <c r="J29" s="209">
        <v>0</v>
      </c>
      <c r="K29" s="209">
        <v>0</v>
      </c>
      <c r="L29" s="209">
        <v>0</v>
      </c>
      <c r="M29" s="14"/>
      <c r="N29" s="18"/>
      <c r="O29" s="295">
        <f>SUMIFS([1]تیر!$AF$2:$AF$805,[1]تیر!$O$2:$O$805,7502,[1]تیر!$D$2:$D$805,$F$29,[1]تیر!$AC$2:$AC$805,O3)</f>
        <v>0</v>
      </c>
      <c r="P29" s="177">
        <f>SUMIFS([1]تیر!$AF$2:$AF$805,[1]تیر!$O$2:$O$805,7502,[1]تیر!$D$2:$D$805,$F$29,[1]تیر!$AC$2:$AC$805,P3)</f>
        <v>0</v>
      </c>
      <c r="Q29" s="177">
        <f>SUMIFS([1]تیر!$AF$2:$AF$805,[1]تیر!$O$2:$O$805,7502,[1]تیر!$D$2:$D$805,$F$29,[1]تیر!$AC$2:$AC$805,Q3)</f>
        <v>0</v>
      </c>
      <c r="R29" s="177">
        <f>SUMIFS([1]تیر!$AF$2:$AF$805,[1]تیر!$O$2:$O$805,7502,[1]تیر!$D$2:$D$805,$F$29,[1]تیر!$AC$2:$AC$805,R3)</f>
        <v>0</v>
      </c>
      <c r="S29" s="177">
        <f>SUMIFS([1]تیر!$AF$2:$AF$805,[1]تیر!$O$2:$O$805,7502,[1]تیر!$D$2:$D$805,$F$29,[1]تیر!$AC$2:$AC$805,S3)</f>
        <v>0</v>
      </c>
      <c r="T29" s="177">
        <f>SUMIFS([1]مرداد!$AF$2:$AF$805,[1]مرداد!$O$2:$O$805,7502,[1]مرداد!$D$2:$D$805,F29,[1]مرداد!$AC$2:$AC$805,$T$3)</f>
        <v>0</v>
      </c>
      <c r="U29" s="113">
        <f>SUMIFS([1]تیر!$AF$2:$AF$805,[1]تیر!$O$2:$O$805,7502,[1]تیر!$D$2:$D$805,$F$29,[1]تیر!$AC$2:$AC$805,U3)</f>
        <v>0</v>
      </c>
      <c r="V29" s="295">
        <f>SUMIFS([1]تیر!$AF$2:$AF$805,[1]تیر!$O$2:$O$805,7502,[1]تیر!$D$2:$D$805,$F$29,[1]تیر!$AC$2:$AC$805,V3)</f>
        <v>0</v>
      </c>
      <c r="W29" s="177">
        <f>SUMIFS([1]تیر!$AF$2:$AF$805,[1]تیر!$O$2:$O$805,7502,[1]تیر!$D$2:$D$805,$F$29,[1]تیر!$AC$2:$AC$805,W3)</f>
        <v>0</v>
      </c>
      <c r="X29" s="177">
        <f>SUMIFS([1]تیر!$AF$2:$AF$805,[1]تیر!$O$2:$O$805,7502,[1]تیر!$D$2:$D$805,$F$29,[1]تیر!$AC$2:$AC$805,X3)</f>
        <v>0</v>
      </c>
      <c r="Y29" s="177">
        <f>SUMIFS([1]تیر!$AF$2:$AF$805,[1]تیر!$O$2:$O$805,7502,[1]تیر!$D$2:$D$805,$F$29,[1]تیر!$AC$2:$AC$805,Y3)</f>
        <v>0</v>
      </c>
      <c r="Z29" s="177">
        <f>SUMIFS([1]تیر!$AF$2:$AF$805,[1]تیر!$O$2:$O$805,7502,[1]تیر!$D$2:$D$805,$F$29,[1]تیر!$AC$2:$AC$805,Z3)</f>
        <v>0</v>
      </c>
      <c r="AA29" s="177">
        <f>SUMIFS([1]مرداد!$AF$2:$AF$805,[1]مرداد!$O$2:$O$805,7502,[1]مرداد!$D$2:$D$805,M29,[1]مرداد!$AC$2:$AC$805,$T$3)</f>
        <v>0</v>
      </c>
      <c r="AB29" s="113">
        <f>SUMIFS([1]تیر!$AF$2:$AF$805,[1]تیر!$O$2:$O$805,7502,[1]تیر!$D$2:$D$805,$F$29,[1]تیر!$AC$2:$AC$805,AB3)</f>
        <v>0</v>
      </c>
    </row>
    <row r="30" spans="1:28" ht="33.75" customHeight="1" thickBot="1" x14ac:dyDescent="0.3">
      <c r="A30" s="45">
        <v>13</v>
      </c>
      <c r="B30" s="984" t="s">
        <v>25</v>
      </c>
      <c r="C30" s="936">
        <v>7502</v>
      </c>
      <c r="D30" s="933">
        <v>62.5</v>
      </c>
      <c r="E30" s="936" t="s">
        <v>15</v>
      </c>
      <c r="F30" s="27" t="s">
        <v>36</v>
      </c>
      <c r="G30" s="1">
        <f t="shared" si="0"/>
        <v>56.5</v>
      </c>
      <c r="H30" s="49">
        <f t="shared" si="1"/>
        <v>0</v>
      </c>
      <c r="I30" s="739">
        <f t="shared" si="2"/>
        <v>0</v>
      </c>
      <c r="J30" s="1">
        <v>0</v>
      </c>
      <c r="K30" s="1">
        <v>0</v>
      </c>
      <c r="L30" s="1">
        <v>0</v>
      </c>
      <c r="M30" s="1">
        <f>SUM(G29:L31)-D30</f>
        <v>-6</v>
      </c>
      <c r="N30" s="988" t="s">
        <v>42</v>
      </c>
      <c r="O30" s="353">
        <f>SUMIFS([1]مرداد!$AF$2:$AF$805,[1]مرداد!$O$2:$O$805,7502,[1]مرداد!$D$2:$D$805,$F$30,[1]مرداد!$AC$2:$AC$805,O3)</f>
        <v>11</v>
      </c>
      <c r="P30" s="353">
        <f>SUMIFS([1]مرداد!$AF$2:$AF$805,[1]مرداد!$O$2:$O$805,7502,[1]مرداد!$D$2:$D$805,$F$30,[1]مرداد!$AC$2:$AC$805,P3)</f>
        <v>11</v>
      </c>
      <c r="Q30" s="353">
        <f>SUMIFS([1]مرداد!$AF$2:$AF$805,[1]مرداد!$O$2:$O$805,7502,[1]مرداد!$D$2:$D$805,$F$30,[1]مرداد!$AC$2:$AC$805,Q3)</f>
        <v>5</v>
      </c>
      <c r="R30" s="353">
        <f>SUMIFS([1]مرداد!$AF$2:$AF$805,[1]مرداد!$O$2:$O$805,7502,[1]مرداد!$D$2:$D$805,$F$30,[1]مرداد!$AC$2:$AC$805,R3)</f>
        <v>11</v>
      </c>
      <c r="S30" s="353">
        <f>SUMIFS([1]مرداد!$AF$2:$AF$805,[1]مرداد!$O$2:$O$805,7502,[1]مرداد!$D$2:$D$805,$F$30,[1]مرداد!$AC$2:$AC$805,S3)</f>
        <v>11</v>
      </c>
      <c r="T30" s="353">
        <f>SUMIFS([1]مرداد!$AF$2:$AF$805,[1]مرداد!$O$2:$O$805,7502,[1]مرداد!$D$2:$D$805,$F$30,[1]مرداد!$AC$2:$AC$805,T3)</f>
        <v>7.5</v>
      </c>
      <c r="U30" s="746">
        <f>SUMIFS([1]مرداد!$AF$2:$AF$805,[1]مرداد!$O$2:$O$805,7502,[1]مرداد!$D$2:$D$805,$F$30,[1]مرداد!$AC$2:$AC$805,U3)</f>
        <v>0</v>
      </c>
      <c r="V30" s="353">
        <f>SUMIFS([1]مرداد!$AH$2:$AH$805,[1]مرداد!$O$2:$O$805,7502,[1]مرداد!$D$2:$D$805,$F$30,[1]مرداد!$AC$2:$AC$805,V3)</f>
        <v>0</v>
      </c>
      <c r="W30" s="353">
        <f>SUMIFS([1]مرداد!$AH$2:$AH$805,[1]مرداد!$O$2:$O$805,7502,[1]مرداد!$D$2:$D$805,$F$30,[1]مرداد!$AC$2:$AC$805,W3)</f>
        <v>0</v>
      </c>
      <c r="X30" s="353">
        <f>SUMIFS([1]مرداد!$AH$2:$AH$805,[1]مرداد!$O$2:$O$805,7502,[1]مرداد!$D$2:$D$805,$F$30,[1]مرداد!$AC$2:$AC$805,X3)</f>
        <v>0</v>
      </c>
      <c r="Y30" s="353">
        <f>SUMIFS([1]مرداد!$AH$2:$AH$805,[1]مرداد!$O$2:$O$805,7502,[1]مرداد!$D$2:$D$805,$F$30,[1]مرداد!$AC$2:$AC$805,Y3)</f>
        <v>0</v>
      </c>
      <c r="Z30" s="353">
        <f>SUMIFS([1]مرداد!$AH$2:$AH$805,[1]مرداد!$O$2:$O$805,7502,[1]مرداد!$D$2:$D$805,$F$30,[1]مرداد!$AC$2:$AC$805,Z3)</f>
        <v>0</v>
      </c>
      <c r="AA30" s="353">
        <f>SUMIFS([1]مرداد!$AH$2:$AH$805,[1]مرداد!$O$2:$O$805,7502,[1]مرداد!$D$2:$D$805,$F$30,[1]مرداد!$AC$2:$AC$805,AA3)</f>
        <v>0</v>
      </c>
      <c r="AB30" s="353">
        <f>SUMIFS([1]مرداد!$AH$2:$AH$805,[1]مرداد!$O$2:$O$805,7502,[1]مرداد!$D$2:$D$805,$F$30,[1]مرداد!$AC$2:$AC$805,AB3)</f>
        <v>0</v>
      </c>
    </row>
    <row r="31" spans="1:28" ht="33.75" customHeight="1" thickBot="1" x14ac:dyDescent="0.3">
      <c r="A31" s="733"/>
      <c r="B31" s="984"/>
      <c r="C31" s="936"/>
      <c r="D31" s="933"/>
      <c r="E31" s="936"/>
      <c r="F31" s="66"/>
      <c r="G31" s="4">
        <f t="shared" si="0"/>
        <v>0</v>
      </c>
      <c r="H31" s="765">
        <f t="shared" si="1"/>
        <v>0</v>
      </c>
      <c r="I31" s="1">
        <f t="shared" si="2"/>
        <v>0</v>
      </c>
      <c r="J31" s="4">
        <v>0</v>
      </c>
      <c r="K31" s="4">
        <v>0</v>
      </c>
      <c r="L31" s="4">
        <v>0</v>
      </c>
      <c r="M31" s="4"/>
      <c r="N31" s="988"/>
      <c r="O31" s="577">
        <f>SUMIFS([1]مرداد!$AF$2:$AF$805,[1]مرداد!$O$2:$O$805,7502,[1]مرداد!$D$2:$D$805,$F$31,[1]مرداد!$AC$2:$AC$805,O3)</f>
        <v>0</v>
      </c>
      <c r="P31" s="577">
        <f>SUMIFS([1]مرداد!$AF$2:$AF$805,[1]مرداد!$O$2:$O$805,7502,[1]مرداد!$D$2:$D$805,$F$31,[1]مرداد!$AC$2:$AC$805,P3)</f>
        <v>0</v>
      </c>
      <c r="Q31" s="577">
        <f>SUMIFS([1]مرداد!$AF$2:$AF$805,[1]مرداد!$O$2:$O$805,7502,[1]مرداد!$D$2:$D$805,$F$31,[1]مرداد!$AC$2:$AC$805,Q3)</f>
        <v>0</v>
      </c>
      <c r="R31" s="577">
        <f>SUMIFS([1]مرداد!$AF$2:$AF$805,[1]مرداد!$O$2:$O$805,7502,[1]مرداد!$D$2:$D$805,$F$31,[1]مرداد!$AC$2:$AC$805,R3)</f>
        <v>0</v>
      </c>
      <c r="S31" s="577">
        <f>SUMIFS([1]مرداد!$AF$2:$AF$805,[1]مرداد!$O$2:$O$805,7502,[1]مرداد!$D$2:$D$805,$F$31,[1]مرداد!$AC$2:$AC$805,S3)</f>
        <v>0</v>
      </c>
      <c r="T31" s="577">
        <f>SUMIFS([1]مرداد!$AF$2:$AF$805,[1]مرداد!$O$2:$O$805,7502,[1]مرداد!$D$2:$D$805,$F$31,[1]مرداد!$AC$2:$AC$805,T3)</f>
        <v>0</v>
      </c>
      <c r="U31" s="577">
        <f>SUMIFS([1]مرداد!$AF$2:$AF$805,[1]مرداد!$O$2:$O$805,7502,[1]مرداد!$D$2:$D$805,$F$31,[1]مرداد!$AC$2:$AC$805,U3)</f>
        <v>0</v>
      </c>
      <c r="V31" s="577">
        <f>SUMIFS([1]مرداد!$AH$2:$AH$805,[1]مرداد!$O$2:$O$805,7502,[1]مرداد!$D$2:$D$805,$F$31,[1]مرداد!$AC$2:$AC$805,V3)</f>
        <v>0</v>
      </c>
      <c r="W31" s="577">
        <f>SUMIFS([1]مرداد!$AF$2:$AF$805,[1]مرداد!$O$2:$O$805,7502,[1]مرداد!$D$2:$D$805,$F$31,[1]مرداد!$AC$2:$AC$805,W3)</f>
        <v>0</v>
      </c>
      <c r="X31" s="577">
        <f>SUMIFS([1]مرداد!$AF$2:$AF$805,[1]مرداد!$O$2:$O$805,7502,[1]مرداد!$D$2:$D$805,$F$31,[1]مرداد!$AC$2:$AC$805,X3)</f>
        <v>0</v>
      </c>
      <c r="Y31" s="577">
        <f>SUMIFS([1]مرداد!$AF$2:$AF$805,[1]مرداد!$O$2:$O$805,7502,[1]مرداد!$D$2:$D$805,$F$31,[1]مرداد!$AC$2:$AC$805,Y3)</f>
        <v>0</v>
      </c>
      <c r="Z31" s="577">
        <f>SUMIFS([1]مرداد!$AF$2:$AF$805,[1]مرداد!$O$2:$O$805,7502,[1]مرداد!$D$2:$D$805,$F$31,[1]مرداد!$AC$2:$AC$805,Z3)</f>
        <v>0</v>
      </c>
      <c r="AA31" s="577">
        <f>SUMIFS([1]مرداد!$AF$2:$AF$805,[1]مرداد!$O$2:$O$805,7502,[1]مرداد!$D$2:$D$805,$F$31,[1]مرداد!$AC$2:$AC$805,AA3)</f>
        <v>0</v>
      </c>
      <c r="AB31" s="577">
        <f>SUMIFS([1]مرداد!$AF$2:$AF$805,[1]مرداد!$O$2:$O$805,7502,[1]مرداد!$D$2:$D$805,$F$31,[1]مرداد!$AC$2:$AC$805,AB3)</f>
        <v>0</v>
      </c>
    </row>
    <row r="32" spans="1:28" ht="33.75" customHeight="1" x14ac:dyDescent="0.25">
      <c r="A32" s="939">
        <v>14</v>
      </c>
      <c r="B32" s="83" t="s">
        <v>26</v>
      </c>
      <c r="C32" s="702">
        <v>7601</v>
      </c>
      <c r="D32" s="702">
        <v>72</v>
      </c>
      <c r="E32" s="914" t="s">
        <v>15</v>
      </c>
      <c r="F32" s="84" t="s">
        <v>27</v>
      </c>
      <c r="G32" s="85">
        <f t="shared" si="0"/>
        <v>67</v>
      </c>
      <c r="H32" s="46">
        <f t="shared" si="1"/>
        <v>0</v>
      </c>
      <c r="I32" s="739">
        <f t="shared" si="2"/>
        <v>0</v>
      </c>
      <c r="J32" s="85">
        <v>0</v>
      </c>
      <c r="K32" s="85">
        <v>0</v>
      </c>
      <c r="L32" s="85">
        <v>0</v>
      </c>
      <c r="M32" s="87">
        <f>(J32+J33+I33+I32+H32+H33+G33+G32+L32+K32)-D32</f>
        <v>-5</v>
      </c>
      <c r="N32" s="941" t="s">
        <v>13</v>
      </c>
      <c r="O32" s="298">
        <f>SUMIFS([1]مرداد!$AF$2:$AF$805,[1]مرداد!$O$2:$O$805,7601,[1]مرداد!$D$2:$D$805,$F$32,[1]مرداد!$AC$2:$AC$805,O3)</f>
        <v>12</v>
      </c>
      <c r="P32" s="298">
        <f>SUMIFS([1]مرداد!$AF$2:$AF$805,[1]مرداد!$O$2:$O$805,7601,[1]مرداد!$D$2:$D$805,$F$32,[1]مرداد!$AC$2:$AC$805,P3)</f>
        <v>12</v>
      </c>
      <c r="Q32" s="298">
        <f>SUMIFS([1]مرداد!$AF$2:$AF$805,[1]مرداد!$O$2:$O$805,7601,[1]مرداد!$D$2:$D$805,$F$32,[1]مرداد!$AC$2:$AC$805,Q3)</f>
        <v>12</v>
      </c>
      <c r="R32" s="298">
        <f>SUMIFS([1]مرداد!$AF$2:$AF$805,[1]مرداد!$O$2:$O$805,7601,[1]مرداد!$D$2:$D$805,$F$32,[1]مرداد!$AC$2:$AC$805,R3)</f>
        <v>11</v>
      </c>
      <c r="S32" s="298">
        <f>SUMIFS([1]مرداد!$AF$2:$AF$805,[1]مرداد!$O$2:$O$805,7601,[1]مرداد!$D$2:$D$805,$F$32,[1]مرداد!$AC$2:$AC$805,S3)</f>
        <v>12</v>
      </c>
      <c r="T32" s="298">
        <f>SUMIFS([1]مرداد!$AF$2:$AF$805,[1]مرداد!$O$2:$O$805,7601,[1]مرداد!$D$2:$D$805,$F$32,[1]مرداد!$AC$2:$AC$805,T3)</f>
        <v>8</v>
      </c>
      <c r="U32" s="463">
        <f>SUMIFS([1]مرداد!$AF$2:$AF$805,[1]مرداد!$O$2:$O$805,7601,[1]مرداد!$D$2:$D$805,$F$32,[1]مرداد!$AC$2:$AC$805,U3)</f>
        <v>0</v>
      </c>
      <c r="V32" s="187">
        <f>SUMIFS([1]مرداد!$AH$2:$AH$805,[1]مرداد!$O$2:$O$805,7601,[1]مرداد!$D$2:$D$805,$F$32,[1]مرداد!$AC$2:$AC$805,V3)</f>
        <v>0</v>
      </c>
      <c r="W32" s="298">
        <f>SUMIFS([1]مرداد!$AH$2:$AH$805,[1]مرداد!$O$2:$O$805,7601,[1]مرداد!$D$2:$D$805,$F$32,[1]مرداد!$AC$2:$AC$805,W3)</f>
        <v>0</v>
      </c>
      <c r="X32" s="298">
        <f>SUMIFS([1]مرداد!$AH$2:$AH$805,[1]مرداد!$O$2:$O$805,7601,[1]مرداد!$D$2:$D$805,$F$32,[1]مرداد!$AC$2:$AC$805,X3)</f>
        <v>0</v>
      </c>
      <c r="Y32" s="298">
        <f>SUMIFS([1]مرداد!$AH$2:$AH$805,[1]مرداد!$O$2:$O$805,7601,[1]مرداد!$D$2:$D$805,$F$32,[1]مرداد!$AC$2:$AC$805,Y3)</f>
        <v>0</v>
      </c>
      <c r="Z32" s="298">
        <f>SUMIFS([1]مرداد!$AH$2:$AH$805,[1]مرداد!$O$2:$O$805,7601,[1]مرداد!$D$2:$D$805,$F$32,[1]مرداد!$AC$2:$AC$805,Z3)</f>
        <v>0</v>
      </c>
      <c r="AA32" s="298">
        <f>SUMIFS([1]مرداد!$AH$2:$AH$805,[1]مرداد!$O$2:$O$805,7601,[1]مرداد!$D$2:$D$805,$F$32,[1]مرداد!$AC$2:$AC$805,AA3)</f>
        <v>0</v>
      </c>
      <c r="AB32" s="463">
        <f>SUMIFS([1]مرداد!$AH$2:$AH$805,[1]مرداد!$O$2:$O$805,7601,[1]مرداد!$D$2:$D$805,$F$32,[1]مرداد!$AC$2:$AC$805,AB3)</f>
        <v>0</v>
      </c>
    </row>
    <row r="33" spans="1:28" ht="33.75" customHeight="1" thickBot="1" x14ac:dyDescent="0.3">
      <c r="A33" s="940"/>
      <c r="B33" s="123"/>
      <c r="C33" s="703"/>
      <c r="D33" s="703"/>
      <c r="E33" s="915"/>
      <c r="F33" s="124"/>
      <c r="G33" s="126">
        <f t="shared" si="0"/>
        <v>0</v>
      </c>
      <c r="H33" s="761">
        <f t="shared" si="1"/>
        <v>0</v>
      </c>
      <c r="I33" s="1">
        <f t="shared" si="2"/>
        <v>0</v>
      </c>
      <c r="J33" s="125">
        <v>0</v>
      </c>
      <c r="K33" s="126">
        <v>0</v>
      </c>
      <c r="L33" s="126">
        <v>0</v>
      </c>
      <c r="M33" s="127"/>
      <c r="N33" s="917"/>
      <c r="O33" s="299">
        <f>SUMIFS([1]مرداد!$AF$2:$AF$805,[1]مرداد!$O$2:$O$805,7601,[1]مرداد!$D$2:$D$805,$F$33,[1]مرداد!$AC$2:$AC$805,O3)</f>
        <v>0</v>
      </c>
      <c r="P33" s="299">
        <f>SUMIFS([1]مرداد!$AF$2:$AF$805,[1]مرداد!$O$2:$O$805,7601,[1]مرداد!$D$2:$D$805,$F$33,[1]مرداد!$AC$2:$AC$805,P3)</f>
        <v>0</v>
      </c>
      <c r="Q33" s="299">
        <f>SUMIFS([1]مرداد!$AF$2:$AF$805,[1]مرداد!$O$2:$O$805,7601,[1]مرداد!$D$2:$D$805,$F$33,[1]مرداد!$AC$2:$AC$805,Q3)</f>
        <v>0</v>
      </c>
      <c r="R33" s="299">
        <f>SUMIFS([1]مرداد!$AF$2:$AF$805,[1]مرداد!$O$2:$O$805,7601,[1]مرداد!$D$2:$D$805,$F$33,[1]مرداد!$AC$2:$AC$805,R3)</f>
        <v>0</v>
      </c>
      <c r="S33" s="299">
        <f>SUMIFS([1]مرداد!$AF$2:$AF$805,[1]مرداد!$O$2:$O$805,7601,[1]مرداد!$D$2:$D$805,$F$33,[1]مرداد!$AC$2:$AC$805,S3)</f>
        <v>0</v>
      </c>
      <c r="T33" s="299">
        <f>SUMIFS([1]مرداد!$AF$2:$AF$805,[1]مرداد!$O$2:$O$805,7601,[1]مرداد!$D$2:$D$805,$F$33,[1]مرداد!$AC$2:$AC$805,T3)</f>
        <v>0</v>
      </c>
      <c r="U33" s="468">
        <f>SUMIFS([1]مرداد!$AF$2:$AF$805,[1]مرداد!$O$2:$O$805,7601,[1]مرداد!$D$2:$D$805,$F$33,[1]مرداد!$AC$2:$AC$805,U3)</f>
        <v>0</v>
      </c>
      <c r="V33" s="274">
        <f>SUMIFS([1]مرداد!$AH$2:$AH$805,[1]مرداد!$O$2:$O$805,7601,[1]مرداد!$D$2:$D$805,$F$33,[1]مرداد!$AC$2:$AC$805,V3)</f>
        <v>0</v>
      </c>
      <c r="W33" s="299">
        <f>SUMIFS([1]مرداد!$AH$2:$AH$805,[1]مرداد!$O$2:$O$805,7601,[1]مرداد!$D$2:$D$805,$F$33,[1]مرداد!$AC$2:$AC$805,W3)</f>
        <v>0</v>
      </c>
      <c r="X33" s="299">
        <f>SUMIFS([1]مرداد!$AH$2:$AH$805,[1]مرداد!$O$2:$O$805,7601,[1]مرداد!$D$2:$D$805,$F$33,[1]مرداد!$AC$2:$AC$805,X3)</f>
        <v>0</v>
      </c>
      <c r="Y33" s="299">
        <f>SUMIFS([1]مرداد!$AH$2:$AH$805,[1]مرداد!$O$2:$O$805,7601,[1]مرداد!$D$2:$D$805,$F$33,[1]مرداد!$AC$2:$AC$805,Y3)</f>
        <v>0</v>
      </c>
      <c r="Z33" s="299">
        <f>SUMIFS([1]مرداد!$AH$2:$AH$805,[1]مرداد!$O$2:$O$805,7601,[1]مرداد!$D$2:$D$805,$F$33,[1]مرداد!$AC$2:$AC$805,Z3)</f>
        <v>0</v>
      </c>
      <c r="AA33" s="299">
        <f>SUMIFS([1]مرداد!$AH$2:$AH$805,[1]مرداد!$O$2:$O$805,7601,[1]مرداد!$D$2:$D$805,$F$33,[1]مرداد!$AC$2:$AC$805,AA3)</f>
        <v>0</v>
      </c>
      <c r="AB33" s="468">
        <f>SUMIFS([1]مرداد!$AH$2:$AH$805,[1]مرداد!$O$2:$O$805,7601,[1]مرداد!$D$2:$D$805,$F$33,[1]مرداد!$AC$2:$AC$805,AB3)</f>
        <v>0</v>
      </c>
    </row>
    <row r="34" spans="1:28" ht="33.75" customHeight="1" x14ac:dyDescent="0.25">
      <c r="A34" s="912">
        <v>15</v>
      </c>
      <c r="B34" s="83" t="s">
        <v>26</v>
      </c>
      <c r="C34" s="702">
        <v>7602</v>
      </c>
      <c r="D34" s="702">
        <v>72</v>
      </c>
      <c r="E34" s="914" t="s">
        <v>15</v>
      </c>
      <c r="F34" s="84" t="s">
        <v>27</v>
      </c>
      <c r="G34" s="739">
        <f t="shared" si="0"/>
        <v>65</v>
      </c>
      <c r="H34" s="46">
        <f t="shared" si="1"/>
        <v>0</v>
      </c>
      <c r="I34" s="739">
        <f t="shared" si="2"/>
        <v>1</v>
      </c>
      <c r="J34" s="85">
        <v>0</v>
      </c>
      <c r="K34" s="85">
        <v>0</v>
      </c>
      <c r="L34" s="85">
        <v>0</v>
      </c>
      <c r="M34" s="87">
        <f>(J34+J35+I35+I34+H34+H35+G35+G34)-D34</f>
        <v>-6</v>
      </c>
      <c r="N34" s="916" t="s">
        <v>13</v>
      </c>
      <c r="O34" s="292">
        <f>SUMIFS([1]مرداد!$AF$2:$AF$805,[1]مرداد!$O$2:$O$805,7602,[1]مرداد!$D$2:$D$805,$F$34,[1]مرداد!$AC$2:$AC$805,O3)</f>
        <v>12</v>
      </c>
      <c r="P34" s="292">
        <f>SUMIFS([1]مرداد!$AF$2:$AF$805,[1]مرداد!$O$2:$O$805,7602,[1]مرداد!$D$2:$D$805,$F$34,[1]مرداد!$AC$2:$AC$805,P3)</f>
        <v>12</v>
      </c>
      <c r="Q34" s="292">
        <f>SUMIFS([1]مرداد!$AF$2:$AF$805,[1]مرداد!$O$2:$O$805,7602,[1]مرداد!$D$2:$D$805,$F$34,[1]مرداد!$AC$2:$AC$805,Q3)</f>
        <v>11</v>
      </c>
      <c r="R34" s="292">
        <f>SUMIFS([1]مرداد!$AF$2:$AF$805,[1]مرداد!$O$2:$O$805,7602,[1]مرداد!$D$2:$D$805,$F$34,[1]مرداد!$AC$2:$AC$805,R3)</f>
        <v>10</v>
      </c>
      <c r="S34" s="292">
        <f>SUMIFS([1]مرداد!$AF$2:$AF$805,[1]مرداد!$O$2:$O$805,7602,[1]مرداد!$D$2:$D$805,$F$34,[1]مرداد!$AC$2:$AC$805,S3)</f>
        <v>12</v>
      </c>
      <c r="T34" s="292">
        <f>SUMIFS([1]مرداد!$AF$2:$AF$805,[1]مرداد!$O$2:$O$805,7602,[1]مرداد!$D$2:$D$805,$F$34,[1]مرداد!$AC$2:$AC$805,T3)</f>
        <v>8</v>
      </c>
      <c r="U34" s="357">
        <f>SUMIFS([1]مرداد!$AF$2:$AF$805,[1]مرداد!$O$2:$O$805,7602,[1]مرداد!$D$2:$D$805,$F$34,[1]مرداد!$AC$2:$AC$805,U3)</f>
        <v>0</v>
      </c>
      <c r="V34" s="165">
        <f>SUMIFS([1]مرداد!$AH$2:$AH$805,[1]مرداد!$O$2:$O$805,7602,[1]مرداد!$D$2:$D$805,$F$34,[1]مرداد!$AC$2:$AC$805,V3)</f>
        <v>0</v>
      </c>
      <c r="W34" s="292">
        <f>SUMIFS([1]مرداد!$AH$2:$AH$805,[1]مرداد!$O$2:$O$805,7602,[1]مرداد!$D$2:$D$805,$F$34,[1]مرداد!$AC$2:$AC$805,W3)</f>
        <v>0</v>
      </c>
      <c r="X34" s="292">
        <f>SUMIFS([1]مرداد!$AH$2:$AH$805,[1]مرداد!$O$2:$O$805,7602,[1]مرداد!$D$2:$D$805,$F$34,[1]مرداد!$AC$2:$AC$805,X3)</f>
        <v>0</v>
      </c>
      <c r="Y34" s="292">
        <f>SUMIFS([1]مرداد!$AH$2:$AH$805,[1]مرداد!$O$2:$O$805,7602,[1]مرداد!$D$2:$D$805,$F$34,[1]مرداد!$AC$2:$AC$805,Y3)</f>
        <v>1</v>
      </c>
      <c r="Z34" s="292">
        <f>SUMIFS([1]مرداد!$AH$2:$AH$805,[1]مرداد!$O$2:$O$805,7602,[1]مرداد!$D$2:$D$805,$F$34,[1]مرداد!$AC$2:$AC$805,Z3)</f>
        <v>0</v>
      </c>
      <c r="AA34" s="292">
        <f>SUMIFS([1]مرداد!$AH$2:$AH$805,[1]مرداد!$O$2:$O$805,7602,[1]مرداد!$D$2:$D$805,$F$34,[1]مرداد!$AC$2:$AC$805,AA3)</f>
        <v>0</v>
      </c>
      <c r="AB34" s="357">
        <f>SUMIFS([1]مرداد!$AH$2:$AH$805,[1]مرداد!$O$2:$O$805,7602,[1]مرداد!$D$2:$D$805,$F$34,[1]مرداد!$AC$2:$AC$805,AB3)</f>
        <v>0</v>
      </c>
    </row>
    <row r="35" spans="1:28" ht="33.75" customHeight="1" thickBot="1" x14ac:dyDescent="0.3">
      <c r="A35" s="913"/>
      <c r="B35" s="123"/>
      <c r="C35" s="703"/>
      <c r="D35" s="703"/>
      <c r="E35" s="915"/>
      <c r="F35" s="124"/>
      <c r="G35" s="6">
        <f t="shared" si="0"/>
        <v>0</v>
      </c>
      <c r="H35" s="761">
        <f t="shared" si="1"/>
        <v>0</v>
      </c>
      <c r="I35" s="1">
        <f t="shared" si="2"/>
        <v>0</v>
      </c>
      <c r="J35" s="125">
        <v>0</v>
      </c>
      <c r="K35" s="126">
        <v>0</v>
      </c>
      <c r="L35" s="126">
        <v>0</v>
      </c>
      <c r="M35" s="127"/>
      <c r="N35" s="917"/>
      <c r="O35" s="294">
        <f>SUMIFS([1]اردیبهشت!$AD$2:$AD$805,[1]اردیبهشت!$N$2:$N$805,$C$34,[1]اردیبهشت!$D$2:$D$805,$F$35,[1]اردیبهشت!$AA$2:$AA$805,O3)</f>
        <v>0</v>
      </c>
      <c r="P35" s="172">
        <f>SUMIFS([1]اردیبهشت!$AD$2:$AD$600,[1]اردیبهشت!$N$2:$N$600,$C$34,[1]اردیبهشت!$D$2:$D$600,$F$35,[1]اردیبهشت!$AA$2:$AA$600,P3)</f>
        <v>0</v>
      </c>
      <c r="Q35" s="172">
        <f>SUMIFS([1]اردیبهشت!$AD$2:$AD$600,[1]اردیبهشت!$N$2:$N$600,$C$34,[1]اردیبهشت!$D$2:$D$600,$F$35,[1]اردیبهشت!$AA$2:$AA$600,Q3)</f>
        <v>0</v>
      </c>
      <c r="R35" s="172">
        <f>SUMIFS([1]اردیبهشت!$AD$2:$AD$600,[1]اردیبهشت!$N$2:$N$600,$C$34,[1]اردیبهشت!$D$2:$D$600,$F$35,[1]اردیبهشت!$AA$2:$AA$600,R3)</f>
        <v>0</v>
      </c>
      <c r="S35" s="172">
        <f>SUMIFS([1]اردیبهشت!$AD$2:$AD$600,[1]اردیبهشت!$N$2:$N$600,$C$34,[1]اردیبهشت!$D$2:$D$600,$F$35,[1]اردیبهشت!$AA$2:$AA$600,S3)</f>
        <v>0</v>
      </c>
      <c r="T35" s="172">
        <f>SUMIFS([1]اردیبهشت!$AD$2:$AD$600,[1]اردیبهشت!$N$2:$N$600,$C$34,[1]اردیبهشت!$D$2:$D$600,$F$35,[1]اردیبهشت!$AA$2:$AA$600,T3)</f>
        <v>0</v>
      </c>
      <c r="U35" s="109">
        <f>SUMIFS([1]خرداد!$AF$2:$AF$700,[1]خرداد!$O$2:$O$700,7101,[1]خرداد!$D$2:$D$700,$F$4,[1]خرداد!$AC$2:$AC$700,U34)</f>
        <v>0</v>
      </c>
      <c r="V35" s="171">
        <f>SUMIFS([1]مرداد!$AH$2:$AH$805,[1]مرداد!$O$2:$O$805,7602,[1]مرداد!$D$2:$D$805,$F$35,[1]مرداد!$AC$2:$AC$805,V3)</f>
        <v>0</v>
      </c>
      <c r="W35" s="294">
        <f>SUMIFS([1]مرداد!$AH$2:$AH$805,[1]مرداد!$O$2:$O$805,7602,[1]مرداد!$D$2:$D$805,$F$35,[1]مرداد!$AC$2:$AC$805,W3)</f>
        <v>0</v>
      </c>
      <c r="X35" s="294">
        <f>SUMIFS([1]مرداد!$AH$2:$AH$805,[1]مرداد!$O$2:$O$805,7602,[1]مرداد!$D$2:$D$805,$F$35,[1]مرداد!$AC$2:$AC$805,X3)</f>
        <v>0</v>
      </c>
      <c r="Y35" s="294">
        <f>SUMIFS([1]مرداد!$AH$2:$AH$805,[1]مرداد!$O$2:$O$805,7602,[1]مرداد!$D$2:$D$805,$F$35,[1]مرداد!$AC$2:$AC$805,Y3)</f>
        <v>0</v>
      </c>
      <c r="Z35" s="294">
        <f>SUMIFS([1]مرداد!$AH$2:$AH$805,[1]مرداد!$O$2:$O$805,7602,[1]مرداد!$D$2:$D$805,$F$35,[1]مرداد!$AC$2:$AC$805,Z3)</f>
        <v>0</v>
      </c>
      <c r="AA35" s="294">
        <f>SUMIFS([1]مرداد!$AH$2:$AH$805,[1]مرداد!$O$2:$O$805,7602,[1]مرداد!$D$2:$D$805,$F$35,[1]مرداد!$AC$2:$AC$805,AA3)</f>
        <v>0</v>
      </c>
      <c r="AB35" s="776">
        <f>SUMIFS([1]مرداد!$AH$2:$AH$805,[1]مرداد!$O$2:$O$805,7602,[1]مرداد!$D$2:$D$805,$F$35,[1]مرداد!$AC$2:$AC$805,AB3)</f>
        <v>0</v>
      </c>
    </row>
    <row r="36" spans="1:28" ht="33.75" customHeight="1" x14ac:dyDescent="0.25">
      <c r="A36" s="912">
        <v>16</v>
      </c>
      <c r="B36" s="724" t="s">
        <v>26</v>
      </c>
      <c r="C36" s="725">
        <v>7603</v>
      </c>
      <c r="D36" s="725">
        <v>72</v>
      </c>
      <c r="E36" s="970" t="s">
        <v>15</v>
      </c>
      <c r="F36" s="91" t="s">
        <v>27</v>
      </c>
      <c r="G36" s="1">
        <f t="shared" si="0"/>
        <v>0</v>
      </c>
      <c r="H36" s="49">
        <f t="shared" si="1"/>
        <v>0</v>
      </c>
      <c r="I36" s="739">
        <f t="shared" si="2"/>
        <v>0</v>
      </c>
      <c r="J36" s="1">
        <v>0</v>
      </c>
      <c r="K36" s="1">
        <v>0</v>
      </c>
      <c r="L36" s="1">
        <v>0</v>
      </c>
      <c r="M36" s="60">
        <f>(J36+J37+I37+I36+H36+H37+G37+G36+L36+L37)-D36</f>
        <v>-72</v>
      </c>
      <c r="N36" s="928" t="s">
        <v>13</v>
      </c>
      <c r="O36" s="356">
        <f>SUMIFS([1]مرداد!$AF$2:$AF$805,[1]مرداد!$O$2:$O$805,7603,[1]مرداد!$D$2:$D$805,$F$36,[1]مرداد!$AC$2:$AC$805,O3)</f>
        <v>0</v>
      </c>
      <c r="P36" s="356">
        <f>SUMIFS([1]مرداد!$AF$2:$AF$805,[1]مرداد!$O$2:$O$805,7603,[1]مرداد!$D$2:$D$805,$F$36,[1]مرداد!$AC$2:$AC$805,P3)</f>
        <v>0</v>
      </c>
      <c r="Q36" s="356">
        <f>SUMIFS([1]مرداد!$AF$2:$AF$805,[1]مرداد!$O$2:$O$805,7603,[1]مرداد!$D$2:$D$805,$F$36,[1]مرداد!$AC$2:$AC$805,Q3)</f>
        <v>0</v>
      </c>
      <c r="R36" s="356">
        <f>SUMIFS([1]مرداد!$AF$2:$AF$805,[1]مرداد!$O$2:$O$805,7603,[1]مرداد!$D$2:$D$805,$F$36,[1]مرداد!$AC$2:$AC$805,R3)</f>
        <v>0</v>
      </c>
      <c r="S36" s="356">
        <f>SUMIFS([1]مرداد!$AF$2:$AF$805,[1]مرداد!$O$2:$O$805,7603,[1]مرداد!$D$2:$D$805,$F$36,[1]مرداد!$AC$2:$AC$805,S3)</f>
        <v>0</v>
      </c>
      <c r="T36" s="356">
        <f>SUMIFS([1]مرداد!$AF$2:$AF$805,[1]مرداد!$O$2:$O$805,7603,[1]مرداد!$D$2:$D$805,$F$36,[1]مرداد!$AC$2:$AC$805,T3)</f>
        <v>0</v>
      </c>
      <c r="U36" s="798">
        <f>SUMIFS([1]مرداد!$AF$2:$AF$805,[1]مرداد!$O$2:$O$805,7603,[1]مرداد!$D$2:$D$805,$F$36,[1]مرداد!$AC$2:$AC$805,U3)</f>
        <v>0</v>
      </c>
      <c r="V36" s="165">
        <f>SUMIFS([1]مرداد!$AH$2:$AH$805,[1]مرداد!$O$2:$O$805,7603,[1]مرداد!$D$2:$D$805,$F$36,[1]مرداد!$AC$2:$AC$805,V3)</f>
        <v>0</v>
      </c>
      <c r="W36" s="292">
        <f>SUMIFS([1]مرداد!$AH$2:$AH$805,[1]مرداد!$O$2:$O$805,7603,[1]مرداد!$D$2:$D$805,$F$36,[1]مرداد!$AC$2:$AC$805,W3)</f>
        <v>0</v>
      </c>
      <c r="X36" s="292">
        <f>SUMIFS([1]مرداد!$AH$2:$AH$805,[1]مرداد!$O$2:$O$805,7603,[1]مرداد!$D$2:$D$805,$F$36,[1]مرداد!$AC$2:$AC$805,X3)</f>
        <v>0</v>
      </c>
      <c r="Y36" s="292">
        <f>SUMIFS([1]مرداد!$AH$2:$AH$805,[1]مرداد!$O$2:$O$805,7603,[1]مرداد!$D$2:$D$805,$F$36,[1]مرداد!$AC$2:$AC$805,Y3)</f>
        <v>0</v>
      </c>
      <c r="Z36" s="292">
        <f>SUMIFS([1]مرداد!$AH$2:$AH$805,[1]مرداد!$O$2:$O$805,7603,[1]مرداد!$D$2:$D$805,$F$36,[1]مرداد!$AC$2:$AC$805,Z3)</f>
        <v>0</v>
      </c>
      <c r="AA36" s="292">
        <f>SUMIFS([1]مرداد!$AH$2:$AH$805,[1]مرداد!$O$2:$O$805,7603,[1]مرداد!$D$2:$D$805,$F$36,[1]مرداد!$AC$2:$AC$805,AA3)</f>
        <v>0</v>
      </c>
      <c r="AB36" s="357">
        <f>SUMIFS([1]مرداد!$AH$2:$AH$805,[1]مرداد!$O$2:$O$805,7603,[1]مرداد!$D$2:$D$805,$F$36,[1]مرداد!$AC$2:$AC$805,AB3)</f>
        <v>0</v>
      </c>
    </row>
    <row r="37" spans="1:28" ht="33.75" customHeight="1" thickBot="1" x14ac:dyDescent="0.3">
      <c r="A37" s="942"/>
      <c r="B37" s="718"/>
      <c r="C37" s="721"/>
      <c r="D37" s="721"/>
      <c r="E37" s="966"/>
      <c r="F37" s="24"/>
      <c r="G37" s="4">
        <f t="shared" si="0"/>
        <v>0</v>
      </c>
      <c r="H37" s="765">
        <f t="shared" si="1"/>
        <v>0</v>
      </c>
      <c r="I37" s="1">
        <f t="shared" si="2"/>
        <v>0</v>
      </c>
      <c r="J37" s="25">
        <v>0</v>
      </c>
      <c r="K37" s="4">
        <v>0</v>
      </c>
      <c r="L37" s="4">
        <v>0</v>
      </c>
      <c r="M37" s="65"/>
      <c r="N37" s="950"/>
      <c r="O37" s="352">
        <f>SUMIFS([1]اردیبهشت!$AD$2:$AD$805,[1]اردیبهشت!$N$2:$N$805,$C$36,[1]اردیبهشت!$D$2:$D$805,$F$37,[1]اردیبهشت!$AA$2:$AA$805,O3)</f>
        <v>0</v>
      </c>
      <c r="P37" s="175">
        <f>SUMIFS([1]اردیبهشت!$AD$2:$AD$600,[1]اردیبهشت!$N$2:$N$600,$C$36,[1]اردیبهشت!$D$2:$D$600,$F$37,[1]اردیبهشت!$AA$2:$AA$600,P3)</f>
        <v>0</v>
      </c>
      <c r="Q37" s="175">
        <f>SUMIFS([1]اردیبهشت!$AD$2:$AD$600,[1]اردیبهشت!$N$2:$N$600,$C$36,[1]اردیبهشت!$D$2:$D$600,$F$37,[1]اردیبهشت!$AA$2:$AA$600,Q3)</f>
        <v>0</v>
      </c>
      <c r="R37" s="175">
        <f>SUMIFS([1]اردیبهشت!$AD$2:$AD$600,[1]اردیبهشت!$N$2:$N$600,$C$36,[1]اردیبهشت!$D$2:$D$600,$F$37,[1]اردیبهشت!$AA$2:$AA$600,R3)</f>
        <v>0</v>
      </c>
      <c r="S37" s="175">
        <f>SUMIFS([1]اردیبهشت!$AD$2:$AD$600,[1]اردیبهشت!$N$2:$N$600,$C$36,[1]اردیبهشت!$D$2:$D$600,$F$37,[1]اردیبهشت!$AA$2:$AA$600,S3)</f>
        <v>0</v>
      </c>
      <c r="T37" s="175">
        <f>SUMIFS([1]اردیبهشت!$AD$2:$AD$600,[1]اردیبهشت!$N$2:$N$600,$C$36,[1]اردیبهشت!$D$2:$D$600,$F$37,[1]اردیبهشت!$AA$2:$AA$600,T3)</f>
        <v>0</v>
      </c>
      <c r="U37" s="793">
        <f>SUMIFS([1]خرداد!$AF$2:$AF$700,[1]خرداد!$O$2:$O$700,7101,[1]خرداد!$D$2:$D$700,$F$4,[1]خرداد!$AC$2:$AC$700,U36)</f>
        <v>0</v>
      </c>
      <c r="V37" s="171">
        <f>SUMIFS([1]مرداد!$AH$2:$AH$805,[1]مرداد!$O$2:$O$805,7603,[1]مرداد!$D$2:$D$805,$F$37,[1]مرداد!$AC$2:$AC$805,V3)</f>
        <v>0</v>
      </c>
      <c r="W37" s="294">
        <f>SUMIFS([1]مرداد!$AH$2:$AH$805,[1]مرداد!$O$2:$O$805,7603,[1]مرداد!$D$2:$D$805,$F$37,[1]مرداد!$AC$2:$AC$805,W3)</f>
        <v>0</v>
      </c>
      <c r="X37" s="294">
        <f>SUMIFS([1]مرداد!$AH$2:$AH$805,[1]مرداد!$O$2:$O$805,7603,[1]مرداد!$D$2:$D$805,$F$37,[1]مرداد!$AC$2:$AC$805,X3)</f>
        <v>0</v>
      </c>
      <c r="Y37" s="294">
        <f>SUMIFS([1]مرداد!$AH$2:$AH$805,[1]مرداد!$O$2:$O$805,7603,[1]مرداد!$D$2:$D$805,$F$37,[1]مرداد!$AC$2:$AC$805,Y3)</f>
        <v>0</v>
      </c>
      <c r="Z37" s="294">
        <f>SUMIFS([1]مرداد!$AH$2:$AH$805,[1]مرداد!$O$2:$O$805,7603,[1]مرداد!$D$2:$D$805,$F$37,[1]مرداد!$AC$2:$AC$805,Z3)</f>
        <v>0</v>
      </c>
      <c r="AA37" s="294">
        <f>SUMIFS([1]مرداد!$AH$2:$AH$805,[1]مرداد!$O$2:$O$805,7603,[1]مرداد!$D$2:$D$805,$F$37,[1]مرداد!$AC$2:$AC$805,AA3)</f>
        <v>0</v>
      </c>
      <c r="AB37" s="776">
        <f>SUMIFS([1]مرداد!$AH$2:$AH$805,[1]مرداد!$O$2:$O$805,7603,[1]مرداد!$D$2:$D$805,$F$37,[1]مرداد!$AC$2:$AC$805,AB3)</f>
        <v>0</v>
      </c>
    </row>
    <row r="38" spans="1:28" ht="33.75" customHeight="1" x14ac:dyDescent="0.25">
      <c r="A38" s="912">
        <v>17</v>
      </c>
      <c r="B38" s="726" t="s">
        <v>26</v>
      </c>
      <c r="C38" s="771">
        <v>7604</v>
      </c>
      <c r="D38" s="702">
        <v>72</v>
      </c>
      <c r="E38" s="914" t="s">
        <v>15</v>
      </c>
      <c r="F38" s="84" t="s">
        <v>27</v>
      </c>
      <c r="G38" s="85">
        <f>SUM(O38:T38)</f>
        <v>54</v>
      </c>
      <c r="H38" s="46">
        <f t="shared" si="1"/>
        <v>0</v>
      </c>
      <c r="I38" s="739">
        <f t="shared" si="2"/>
        <v>0</v>
      </c>
      <c r="J38" s="85">
        <v>0</v>
      </c>
      <c r="K38" s="85">
        <v>0</v>
      </c>
      <c r="L38" s="85">
        <v>0</v>
      </c>
      <c r="M38" s="87"/>
      <c r="N38" s="955"/>
      <c r="O38" s="187">
        <f>SUMIFS([1]مرداد!$AF$2:$AF$805,[1]مرداد!$O$2:$O$805,7604,[1]مرداد!$D$2:$D$805,$F$38,[1]مرداد!$AC$2:$AC$805,O3)</f>
        <v>12</v>
      </c>
      <c r="P38" s="298">
        <f>SUMIFS([1]مرداد!$AF$2:$AF$805,[1]مرداد!$O$2:$O$805,7604,[1]مرداد!$D$2:$D$805,$F$38,[1]مرداد!$AC$2:$AC$805,P3)</f>
        <v>12</v>
      </c>
      <c r="Q38" s="298">
        <f>SUMIFS([1]مرداد!$AF$2:$AF$805,[1]مرداد!$O$2:$O$805,7604,[1]مرداد!$D$2:$D$805,$F$38,[1]مرداد!$AC$2:$AC$805,Q3)</f>
        <v>12</v>
      </c>
      <c r="R38" s="298">
        <f>SUMIFS([1]مرداد!$AF$2:$AF$805,[1]مرداد!$O$2:$O$805,7604,[1]مرداد!$D$2:$D$805,$F$38,[1]مرداد!$AC$2:$AC$805,R3)</f>
        <v>4</v>
      </c>
      <c r="S38" s="298">
        <f>SUMIFS([1]مرداد!$AF$2:$AF$805,[1]مرداد!$O$2:$O$805,7604,[1]مرداد!$D$2:$D$805,$F$38,[1]مرداد!$AC$2:$AC$805,S3)</f>
        <v>6</v>
      </c>
      <c r="T38" s="298">
        <f>SUMIFS([1]مرداد!$AF$2:$AF$805,[1]مرداد!$O$2:$O$805,7604,[1]مرداد!$D$2:$D$805,$F$38,[1]مرداد!$AC$2:$AC$805,T3)</f>
        <v>8</v>
      </c>
      <c r="U38" s="794">
        <f>SUMIFS([1]مرداد!$AF$2:$AF$805,[1]مرداد!$O$2:$O$805,7604,[1]مرداد!$D$2:$D$805,$F$38,[1]مرداد!$AC$2:$AC$805,U3)</f>
        <v>0</v>
      </c>
      <c r="V38" s="187">
        <f>SUMIFS([1]مرداد!$AH$2:$AH$805,[1]مرداد!$O$2:$O$805,7604,[1]مرداد!$D$2:$D$805,$F$38,[1]مرداد!$AC$2:$AC$805,V3)</f>
        <v>0</v>
      </c>
      <c r="W38" s="188">
        <f>SUMIFS([1]مرداد!$AH$2:$AH$805,[1]مرداد!$O$2:$O$805,7604,[1]مرداد!$D$2:$D$805,$F$38,[1]مرداد!$AC$2:$AC$805,W3)</f>
        <v>0</v>
      </c>
      <c r="X38" s="188">
        <f>SUMIFS([1]مرداد!$AH$2:$AH$805,[1]مرداد!$O$2:$O$805,7604,[1]مرداد!$D$2:$D$805,$F$38,[1]مرداد!$AC$2:$AC$805,X3)</f>
        <v>0</v>
      </c>
      <c r="Y38" s="188">
        <f>SUMIFS([1]مرداد!$AH$2:$AH$805,[1]مرداد!$O$2:$O$805,7604,[1]مرداد!$D$2:$D$805,$F$38,[1]مرداد!$AC$2:$AC$805,Y3)</f>
        <v>0</v>
      </c>
      <c r="Z38" s="188">
        <f>SUMIFS([1]مرداد!$AH$2:$AH$805,[1]مرداد!$O$2:$O$805,7604,[1]مرداد!$D$2:$D$805,$F$38,[1]مرداد!$AC$2:$AC$805,Z3)</f>
        <v>0</v>
      </c>
      <c r="AA38" s="188">
        <f>SUMIFS([1]مرداد!$AH$2:$AH$805,[1]مرداد!$O$2:$O$805,7604,[1]مرداد!$D$2:$D$805,$F$38,[1]مرداد!$AC$2:$AC$805,AA3)</f>
        <v>0</v>
      </c>
      <c r="AB38" s="189">
        <f>SUMIFS([1]مرداد!$AH$2:$AH$805,[1]مرداد!$O$2:$O$805,7604,[1]مرداد!$D$2:$D$805,$F$38,[1]مرداد!$AC$2:$AC$805,AB3)</f>
        <v>0</v>
      </c>
    </row>
    <row r="39" spans="1:28" ht="41.25" customHeight="1" thickBot="1" x14ac:dyDescent="0.3">
      <c r="A39" s="913"/>
      <c r="B39" s="727"/>
      <c r="C39" s="772"/>
      <c r="D39" s="703"/>
      <c r="E39" s="915"/>
      <c r="F39" s="124"/>
      <c r="G39" s="126">
        <f t="shared" si="0"/>
        <v>0</v>
      </c>
      <c r="H39" s="761">
        <f t="shared" si="1"/>
        <v>0</v>
      </c>
      <c r="I39" s="1">
        <f t="shared" si="2"/>
        <v>0</v>
      </c>
      <c r="J39" s="125">
        <v>0</v>
      </c>
      <c r="K39" s="126">
        <v>0</v>
      </c>
      <c r="L39" s="126">
        <v>0</v>
      </c>
      <c r="M39" s="154"/>
      <c r="N39" s="917"/>
      <c r="O39" s="274"/>
      <c r="P39" s="275"/>
      <c r="Q39" s="275"/>
      <c r="R39" s="275"/>
      <c r="S39" s="275"/>
      <c r="T39" s="275"/>
      <c r="U39" s="795"/>
      <c r="V39" s="274">
        <f>SUMIFS([1]مرداد!$AH$2:$AH$805,[1]مرداد!$O$2:$O$805,7604,[1]مرداد!$D$2:$D$805,$F$39,[1]مرداد!$AC$2:$AC$805,V3)</f>
        <v>0</v>
      </c>
      <c r="W39" s="275">
        <f>SUMIFS([1]مرداد!$AH$2:$AH$805,[1]مرداد!$O$2:$O$805,7604,[1]مرداد!$D$2:$D$805,$F$39,[1]مرداد!$AC$2:$AC$805,W3)</f>
        <v>0</v>
      </c>
      <c r="X39" s="275">
        <f>SUMIFS([1]مرداد!$AH$2:$AH$805,[1]مرداد!$O$2:$O$805,7604,[1]مرداد!$D$2:$D$805,$F$39,[1]مرداد!$AC$2:$AC$805,X3)</f>
        <v>0</v>
      </c>
      <c r="Y39" s="275">
        <f>SUMIFS([1]مرداد!$AH$2:$AH$805,[1]مرداد!$O$2:$O$805,7604,[1]مرداد!$D$2:$D$805,$F$39,[1]مرداد!$AC$2:$AC$805,Y3)</f>
        <v>0</v>
      </c>
      <c r="Z39" s="275">
        <f>SUMIFS([1]مرداد!$AH$2:$AH$805,[1]مرداد!$O$2:$O$805,7604,[1]مرداد!$D$2:$D$805,$F$39,[1]مرداد!$AC$2:$AC$805,Z3)</f>
        <v>0</v>
      </c>
      <c r="AA39" s="275">
        <f>SUMIFS([1]مرداد!$AH$2:$AH$805,[1]مرداد!$O$2:$O$805,7604,[1]مرداد!$D$2:$D$805,$F$39,[1]مرداد!$AC$2:$AC$805,AA3)</f>
        <v>0</v>
      </c>
      <c r="AB39" s="758">
        <f>SUMIFS([1]مرداد!$AH$2:$AH$805,[1]مرداد!$O$2:$O$805,7604,[1]مرداد!$D$2:$D$805,$F$39,[1]مرداد!$AC$2:$AC$805,AB3)</f>
        <v>0</v>
      </c>
    </row>
    <row r="40" spans="1:28" ht="33.75" customHeight="1" x14ac:dyDescent="0.25">
      <c r="A40" s="954">
        <v>18</v>
      </c>
      <c r="B40" s="769" t="s">
        <v>26</v>
      </c>
      <c r="C40" s="723">
        <v>7605</v>
      </c>
      <c r="D40" s="723">
        <v>72</v>
      </c>
      <c r="E40" s="968" t="s">
        <v>15</v>
      </c>
      <c r="F40" s="91" t="s">
        <v>27</v>
      </c>
      <c r="G40" s="93">
        <f t="shared" si="0"/>
        <v>67</v>
      </c>
      <c r="H40" s="49">
        <f t="shared" si="1"/>
        <v>0</v>
      </c>
      <c r="I40" s="739">
        <f t="shared" si="2"/>
        <v>0</v>
      </c>
      <c r="J40" s="93">
        <v>0</v>
      </c>
      <c r="K40" s="93">
        <v>0</v>
      </c>
      <c r="L40" s="314">
        <v>0</v>
      </c>
      <c r="M40" s="94">
        <f>(G40+H40+I40+J40+K40+L40)-D40</f>
        <v>-5</v>
      </c>
      <c r="N40" s="971" t="s">
        <v>13</v>
      </c>
      <c r="O40" s="770">
        <f>SUMIFS([1]مرداد!$AF$2:$AF$805,[1]مرداد!$O$2:$O$805,7605,[1]مرداد!$D$2:$D$805,$F$40,[1]مرداد!$AC$2:$AC$805,O3)</f>
        <v>12</v>
      </c>
      <c r="P40" s="770">
        <f>SUMIFS([1]مرداد!$AF$2:$AF$805,[1]مرداد!$O$2:$O$805,7605,[1]مرداد!$D$2:$D$805,$F$40,[1]مرداد!$AC$2:$AC$805,P3)</f>
        <v>12</v>
      </c>
      <c r="Q40" s="770">
        <f>SUMIFS([1]مرداد!$AF$2:$AF$805,[1]مرداد!$O$2:$O$805,7605,[1]مرداد!$D$2:$D$805,$F$40,[1]مرداد!$AC$2:$AC$805,Q3)</f>
        <v>12</v>
      </c>
      <c r="R40" s="770">
        <f>SUMIFS([1]مرداد!$AF$2:$AF$805,[1]مرداد!$O$2:$O$805,7605,[1]مرداد!$D$2:$D$805,$F$40,[1]مرداد!$AC$2:$AC$805,R3)</f>
        <v>11</v>
      </c>
      <c r="S40" s="770">
        <f>SUMIFS([1]مرداد!$AF$2:$AF$805,[1]مرداد!$O$2:$O$805,7605,[1]مرداد!$D$2:$D$805,$F$40,[1]مرداد!$AC$2:$AC$805,S3)</f>
        <v>12</v>
      </c>
      <c r="T40" s="770">
        <f>SUMIFS([1]مرداد!$AF$2:$AF$805,[1]مرداد!$O$2:$O$805,7605,[1]مرداد!$D$2:$D$805,$F$40,[1]مرداد!$AC$2:$AC$805,T3)</f>
        <v>8</v>
      </c>
      <c r="U40" s="796">
        <f>SUMIFS([1]مرداد!$AF$2:$AF$805,[1]مرداد!$O$2:$O$805,7605,[1]مرداد!$D$2:$D$805,$F$40,[1]مرداد!$AC$2:$AC$805,U3)</f>
        <v>0</v>
      </c>
      <c r="V40" s="187">
        <f>SUMIFS([1]مرداد!$AH$2:$AH$805,[1]مرداد!$O$2:$O$805,7605,[1]مرداد!$D$2:$D$805,$F$40,[1]مرداد!$AC$2:$AC$805,V3)</f>
        <v>0</v>
      </c>
      <c r="W40" s="298">
        <f>SUMIFS([1]مرداد!$AH$2:$AH$805,[1]مرداد!$O$2:$O$805,7605,[1]مرداد!$D$2:$D$805,$F$40,[1]مرداد!$AC$2:$AC$805,W3)</f>
        <v>0</v>
      </c>
      <c r="X40" s="298">
        <f>SUMIFS([1]مرداد!$AH$2:$AH$805,[1]مرداد!$O$2:$O$805,7605,[1]مرداد!$D$2:$D$805,$F$40,[1]مرداد!$AC$2:$AC$805,X3)</f>
        <v>0</v>
      </c>
      <c r="Y40" s="298">
        <f>SUMIFS([1]مرداد!$AH$2:$AH$805,[1]مرداد!$O$2:$O$805,7605,[1]مرداد!$D$2:$D$805,$F$40,[1]مرداد!$AC$2:$AC$805,Y3)</f>
        <v>0</v>
      </c>
      <c r="Z40" s="298">
        <f>SUMIFS([1]مرداد!$AH$2:$AH$805,[1]مرداد!$O$2:$O$805,7605,[1]مرداد!$D$2:$D$805,$F$40,[1]مرداد!$AC$2:$AC$805,Z3)</f>
        <v>0</v>
      </c>
      <c r="AA40" s="298">
        <f>SUMIFS([1]مرداد!$AH$2:$AH$805,[1]مرداد!$O$2:$O$805,7605,[1]مرداد!$D$2:$D$805,$F$40,[1]مرداد!$AC$2:$AC$805,AA3)</f>
        <v>0</v>
      </c>
      <c r="AB40" s="463">
        <f>SUMIFS([1]مرداد!$AH$2:$AH$805,[1]مرداد!$O$2:$O$805,7605,[1]مرداد!$D$2:$D$805,$F$40,[1]مرداد!$AC$2:$AC$805,AB3)</f>
        <v>0</v>
      </c>
    </row>
    <row r="41" spans="1:28" ht="33.75" customHeight="1" thickBot="1" x14ac:dyDescent="0.3">
      <c r="A41" s="942"/>
      <c r="B41" s="589"/>
      <c r="C41" s="738"/>
      <c r="D41" s="738"/>
      <c r="E41" s="997"/>
      <c r="F41" s="461"/>
      <c r="G41" s="89">
        <f t="shared" si="0"/>
        <v>0</v>
      </c>
      <c r="H41" s="765">
        <f t="shared" si="1"/>
        <v>0</v>
      </c>
      <c r="I41" s="1">
        <f t="shared" si="2"/>
        <v>0</v>
      </c>
      <c r="J41" s="462">
        <v>0</v>
      </c>
      <c r="K41" s="89">
        <v>0</v>
      </c>
      <c r="L41" s="89">
        <v>0</v>
      </c>
      <c r="M41" s="94"/>
      <c r="N41" s="998"/>
      <c r="O41" s="584">
        <f>SUMIFS([1]اردیبهشت!$AD$2:$AD$805,[1]اردیبهشت!$N$2:$N$805,$C$40,[1]اردیبهشت!$D$2:$D$805,$F$41,[1]اردیبهشت!$AA$2:$AA$805,O3)</f>
        <v>0</v>
      </c>
      <c r="P41" s="191">
        <f>SUMIFS([1]اردیبهشت!$AD$2:$AD$600,[1]اردیبهشت!$N$2:$N$600,$C$40,[1]اردیبهشت!$D$2:$D$600,$F$41,[1]اردیبهشت!$AA$2:$AA$600,P3)</f>
        <v>0</v>
      </c>
      <c r="Q41" s="191">
        <f>SUMIFS([1]اردیبهشت!$AD$2:$AD$600,[1]اردیبهشت!$N$2:$N$600,$C$40,[1]اردیبهشت!$D$2:$D$600,$F$41,[1]اردیبهشت!$AA$2:$AA$600,Q3)</f>
        <v>0</v>
      </c>
      <c r="R41" s="191">
        <f>SUMIFS([1]اردیبهشت!$AD$2:$AD$600,[1]اردیبهشت!$N$2:$N$600,$C$40,[1]اردیبهشت!$D$2:$D$600,$F$41,[1]اردیبهشت!$AA$2:$AA$600,R3)</f>
        <v>0</v>
      </c>
      <c r="S41" s="191">
        <f>SUMIFS([1]اردیبهشت!$AD$2:$AD$600,[1]اردیبهشت!$N$2:$N$600,$C$40,[1]اردیبهشت!$D$2:$D$600,$F$41,[1]اردیبهشت!$AA$2:$AA$600,S3)</f>
        <v>0</v>
      </c>
      <c r="T41" s="191">
        <f>SUMIFS([1]اردیبهشت!$AD$2:$AD$600,[1]اردیبهشت!$N$2:$N$600,$C$40,[1]اردیبهشت!$D$2:$D$600,$F$41,[1]اردیبهشت!$AA$2:$AA$600,T3)</f>
        <v>0</v>
      </c>
      <c r="U41" s="797">
        <f>SUMIFS([1]اردیبهشت!$AD$2:$AD$600,[1]اردیبهشت!$N$2:$N$600,$C$40,[1]اردیبهشت!$D$2:$D$600,$F$41,[1]اردیبهشت!$AA$2:$AA$600,U3)</f>
        <v>0</v>
      </c>
      <c r="V41" s="190">
        <f>SUMIFS([1]مرداد!$AH$2:$AH$805,[1]مرداد!$O$2:$O$805,7605,[1]مرداد!$D$2:$D$805,$F$41,[1]مرداد!$AC$2:$AC$805,V3)</f>
        <v>0</v>
      </c>
      <c r="W41" s="584">
        <f>SUMIFS([1]مرداد!$AH$2:$AH$805,[1]مرداد!$O$2:$O$805,7605,[1]مرداد!$D$2:$D$805,$F$41,[1]مرداد!$AC$2:$AC$805,W3)</f>
        <v>0</v>
      </c>
      <c r="X41" s="584">
        <f>SUMIFS([1]مرداد!$AH$2:$AH$805,[1]مرداد!$O$2:$O$805,7605,[1]مرداد!$D$2:$D$805,$F$41,[1]مرداد!$AC$2:$AC$805,X3)</f>
        <v>0</v>
      </c>
      <c r="Y41" s="584">
        <f>SUMIFS([1]مرداد!$AH$2:$AH$805,[1]مرداد!$O$2:$O$805,7605,[1]مرداد!$D$2:$D$805,$F$41,[1]مرداد!$AC$2:$AC$805,Y3)</f>
        <v>0</v>
      </c>
      <c r="Z41" s="584">
        <f>SUMIFS([1]مرداد!$AH$2:$AH$805,[1]مرداد!$O$2:$O$805,7605,[1]مرداد!$D$2:$D$805,$F$41,[1]مرداد!$AC$2:$AC$805,Z3)</f>
        <v>0</v>
      </c>
      <c r="AA41" s="584">
        <f>SUMIFS([1]مرداد!$AH$2:$AH$805,[1]مرداد!$O$2:$O$805,7605,[1]مرداد!$D$2:$D$805,$F$41,[1]مرداد!$AC$2:$AC$805,AA3)</f>
        <v>0</v>
      </c>
      <c r="AB41" s="801">
        <f>SUMIFS([1]مرداد!$AH$2:$AH$805,[1]مرداد!$O$2:$O$805,7605,[1]مرداد!$D$2:$D$805,$F$41,[1]مرداد!$AC$2:$AC$805,AB3)</f>
        <v>0</v>
      </c>
    </row>
    <row r="42" spans="1:28" ht="33.75" customHeight="1" x14ac:dyDescent="0.25">
      <c r="A42" s="731"/>
      <c r="B42" s="716"/>
      <c r="C42" s="710"/>
      <c r="D42" s="710"/>
      <c r="E42" s="932" t="s">
        <v>15</v>
      </c>
      <c r="F42" s="84" t="s">
        <v>27</v>
      </c>
      <c r="G42" s="739">
        <f t="shared" si="0"/>
        <v>8</v>
      </c>
      <c r="H42" s="46">
        <f t="shared" si="1"/>
        <v>0</v>
      </c>
      <c r="I42" s="739">
        <f t="shared" si="2"/>
        <v>0</v>
      </c>
      <c r="J42" s="739">
        <v>0</v>
      </c>
      <c r="K42" s="739">
        <v>0</v>
      </c>
      <c r="L42" s="739">
        <v>0</v>
      </c>
      <c r="M42" s="28"/>
      <c r="N42" s="945" t="s">
        <v>183</v>
      </c>
      <c r="O42" s="292">
        <f>SUMIFS([1]مرداد!$AF$2:$AF$805,[1]مرداد!$O$2:$O$805,7701,[1]مرداد!$D$2:$D$805,$F$42,[1]مرداد!$AC$2:$AC$805,O3)</f>
        <v>0</v>
      </c>
      <c r="P42" s="292">
        <f>SUMIFS([1]مرداد!$AF$2:$AF$805,[1]مرداد!$O$2:$O$805,7701,[1]مرداد!$D$2:$D$805,$F$42,[1]مرداد!$AC$2:$AC$805,P3)</f>
        <v>0</v>
      </c>
      <c r="Q42" s="292">
        <f>SUMIFS([1]مرداد!$AF$2:$AF$805,[1]مرداد!$O$2:$O$805,7701,[1]مرداد!$D$2:$D$805,$F$42,[1]مرداد!$AC$2:$AC$805,Q3)</f>
        <v>0</v>
      </c>
      <c r="R42" s="292">
        <f>SUMIFS([1]مرداد!$AF$2:$AF$805,[1]مرداد!$O$2:$O$805,7701,[1]مرداد!$D$2:$D$805,$F$42,[1]مرداد!$AC$2:$AC$805,R3)</f>
        <v>0</v>
      </c>
      <c r="S42" s="292">
        <f>SUMIFS([1]مرداد!$AF$2:$AF$805,[1]مرداد!$O$2:$O$805,7701,[1]مرداد!$D$2:$D$805,$F$42,[1]مرداد!$AC$2:$AC$805,S3)</f>
        <v>0</v>
      </c>
      <c r="T42" s="292">
        <f>SUMIFS([1]مرداد!$AF$2:$AF$805,[1]مرداد!$O$2:$O$805,7701,[1]مرداد!$D$2:$D$805,$F$42,[1]مرداد!$AC$2:$AC$805,T3)</f>
        <v>8</v>
      </c>
      <c r="U42" s="799">
        <f>SUMIFS([1]مرداد!$AF$2:$AF$805,[1]مرداد!$O$2:$O$805,7701,[1]مرداد!$D$2:$D$805,$F$42,[1]مرداد!$AC$2:$AC$805,U3)</f>
        <v>0</v>
      </c>
      <c r="V42" s="165">
        <f>SUMIFS([1]مرداد!$AH$2:$AH$805,[1]مرداد!$O$2:$O$805,7701,[1]مرداد!$D$2:$D$805,$F$42,[1]مرداد!$AC$2:$AC$805,V3)</f>
        <v>0</v>
      </c>
      <c r="W42" s="169">
        <f>SUMIFS([1]مرداد!$AH$2:$AH$805,[1]مرداد!$O$2:$O$805,7701,[1]مرداد!$D$2:$D$805,$F$42,[1]مرداد!$AC$2:$AC$805,W3)</f>
        <v>0</v>
      </c>
      <c r="X42" s="169">
        <f>SUMIFS([1]مرداد!$AH$2:$AH$805,[1]مرداد!$O$2:$O$805,7701,[1]مرداد!$D$2:$D$805,$F$42,[1]مرداد!$AC$2:$AC$805,X3)</f>
        <v>0</v>
      </c>
      <c r="Y42" s="169">
        <f>SUMIFS([1]مرداد!$AH$2:$AH$805,[1]مرداد!$O$2:$O$805,7701,[1]مرداد!$D$2:$D$805,$F$42,[1]مرداد!$AC$2:$AC$805,Y3)</f>
        <v>0</v>
      </c>
      <c r="Z42" s="169">
        <f>SUMIFS([1]مرداد!$AH$2:$AH$805,[1]مرداد!$O$2:$O$805,7701,[1]مرداد!$D$2:$D$805,$F$42,[1]مرداد!$AC$2:$AC$805,Z3)</f>
        <v>0</v>
      </c>
      <c r="AA42" s="169">
        <f>SUMIFS([1]مرداد!$AH$2:$AH$805,[1]مرداد!$O$2:$O$805,7701,[1]مرداد!$D$2:$D$805,$F$42,[1]مرداد!$AC$2:$AC$805,AA3)</f>
        <v>0</v>
      </c>
      <c r="AB42" s="170">
        <f>SUMIFS([1]مرداد!$AH$2:$AH$805,[1]مرداد!$O$2:$O$805,7701,[1]مرداد!$D$2:$D$805,$F$42,[1]مرداد!$AC$2:$AC$805,AB3)</f>
        <v>0</v>
      </c>
    </row>
    <row r="43" spans="1:28" ht="39" customHeight="1" x14ac:dyDescent="0.25">
      <c r="A43" s="732">
        <v>19</v>
      </c>
      <c r="B43" s="717" t="s">
        <v>30</v>
      </c>
      <c r="C43" s="720">
        <v>7701</v>
      </c>
      <c r="D43" s="720">
        <v>62.5</v>
      </c>
      <c r="E43" s="933"/>
      <c r="F43" s="29"/>
      <c r="G43" s="3">
        <f t="shared" si="0"/>
        <v>0</v>
      </c>
      <c r="H43" s="47">
        <f t="shared" si="1"/>
        <v>0</v>
      </c>
      <c r="I43" s="3">
        <f t="shared" si="2"/>
        <v>0</v>
      </c>
      <c r="J43" s="25">
        <v>0</v>
      </c>
      <c r="K43" s="25">
        <v>0</v>
      </c>
      <c r="L43" s="70">
        <v>0</v>
      </c>
      <c r="M43" s="4">
        <f>(J42+J43+J44+I44+I43+I42+H42+H43+H44+G44+G43+G42)-D43</f>
        <v>-54.5</v>
      </c>
      <c r="N43" s="956"/>
      <c r="O43" s="293">
        <f>SUMIFS([1]اردیبهشت!$AD$2:$AD$805,[1]اردیبهشت!$N$2:$N$805,$C$43,[1]اردیبهشت!$D$2:$D$805,$F$43,[1]اردیبهشت!$AA$2:$AA$805,O3)</f>
        <v>0</v>
      </c>
      <c r="P43" s="168">
        <f>SUMIFS([1]اردیبهشت!$AD$2:$AD$805,[1]اردیبهشت!$N$2:$N$805,$C$43,[1]اردیبهشت!$D$2:$D$805,$F$43,[1]اردیبهشت!$AA$2:$AA$805,P3)</f>
        <v>0</v>
      </c>
      <c r="Q43" s="168">
        <f>SUMIFS([1]اردیبهشت!$AD$2:$AD$805,[1]اردیبهشت!$N$2:$N$805,$C$43,[1]اردیبهشت!$D$2:$D$805,$F$43,[1]اردیبهشت!$AA$2:$AA$805,Q3)</f>
        <v>0</v>
      </c>
      <c r="R43" s="168">
        <f>SUMIFS([1]اردیبهشت!$AD$2:$AD$805,[1]اردیبهشت!$N$2:$N$805,$C$43,[1]اردیبهشت!$D$2:$D$805,$F$43,[1]اردیبهشت!$AA$2:$AA$805,R3)</f>
        <v>0</v>
      </c>
      <c r="S43" s="168">
        <f>SUMIFS([1]اردیبهشت!$AD$2:$AD$805,[1]اردیبهشت!$N$2:$N$805,$C$43,[1]اردیبهشت!$D$2:$D$805,$F$43,[1]اردیبهشت!$AA$2:$AA$805,S3)</f>
        <v>0</v>
      </c>
      <c r="T43" s="168">
        <f>SUMIFS([1]اردیبهشت!$AD$2:$AD$805,[1]اردیبهشت!$N$2:$N$805,$C$43,[1]اردیبهشت!$D$2:$D$805,$F$43,[1]اردیبهشت!$AA$2:$AA$805,T3)</f>
        <v>0</v>
      </c>
      <c r="U43" s="800">
        <f>SUMIFS([1]اردیبهشت!$AD$2:$AD$600,[1]اردیبهشت!$N$2:$N$600,$C$43,[1]اردیبهشت!$D$2:$D$600,$F$43,[1]اردیبهشت!$AA$2:$AA$600,U3)</f>
        <v>0</v>
      </c>
      <c r="V43" s="166">
        <f>SUMIFS([1]مرداد!$AH$2:$AH$805,[1]مرداد!$O$2:$O$805,7701,[1]مرداد!$D$2:$D$805,$F$43,[1]مرداد!$AC$2:$AC$805,V3)</f>
        <v>0</v>
      </c>
      <c r="W43" s="168">
        <f>SUMIFS([1]مرداد!$AH$2:$AH$805,[1]مرداد!$O$2:$O$805,7701,[1]مرداد!$D$2:$D$805,$F$43,[1]مرداد!$AC$2:$AC$805,W3)</f>
        <v>0</v>
      </c>
      <c r="X43" s="168">
        <f>SUMIFS([1]مرداد!$AH$2:$AH$805,[1]مرداد!$O$2:$O$805,7701,[1]مرداد!$D$2:$D$805,$F$43,[1]مرداد!$AC$2:$AC$805,X3)</f>
        <v>0</v>
      </c>
      <c r="Y43" s="168">
        <f>SUMIFS([1]مرداد!$AH$2:$AH$805,[1]مرداد!$O$2:$O$805,7701,[1]مرداد!$D$2:$D$805,$F$43,[1]مرداد!$AC$2:$AC$805,Y3)</f>
        <v>0</v>
      </c>
      <c r="Z43" s="168">
        <f>SUMIFS([1]مرداد!$AH$2:$AH$805,[1]مرداد!$O$2:$O$805,7701,[1]مرداد!$D$2:$D$805,$F$43,[1]مرداد!$AC$2:$AC$805,Z3)</f>
        <v>0</v>
      </c>
      <c r="AA43" s="168">
        <f>SUMIFS([1]مرداد!$AH$2:$AH$805,[1]مرداد!$O$2:$O$805,7701,[1]مرداد!$D$2:$D$805,$F$43,[1]مرداد!$AC$2:$AC$805,AA3)</f>
        <v>0</v>
      </c>
      <c r="AB43" s="424">
        <f>SUMIFS([1]مرداد!$AH$2:$AH$805,[1]مرداد!$O$2:$O$805,7701,[1]مرداد!$D$2:$D$805,$F$43,[1]مرداد!$AC$2:$AC$805,AB3)</f>
        <v>0</v>
      </c>
    </row>
    <row r="44" spans="1:28" ht="40.5" customHeight="1" thickBot="1" x14ac:dyDescent="0.3">
      <c r="A44" s="732"/>
      <c r="B44" s="719"/>
      <c r="C44" s="711"/>
      <c r="D44" s="711"/>
      <c r="E44" s="934"/>
      <c r="F44" s="30"/>
      <c r="G44" s="6">
        <f t="shared" si="0"/>
        <v>0</v>
      </c>
      <c r="H44" s="761">
        <f t="shared" si="1"/>
        <v>0</v>
      </c>
      <c r="I44" s="1">
        <f t="shared" si="2"/>
        <v>0</v>
      </c>
      <c r="J44" s="7">
        <v>0</v>
      </c>
      <c r="K44" s="7">
        <v>0</v>
      </c>
      <c r="L44" s="7">
        <v>0</v>
      </c>
      <c r="M44" s="8"/>
      <c r="N44" s="946"/>
      <c r="O44" s="294">
        <f>SUMIFS([1]اردیبهشت!$AD$2:$AD$805,[1]اردیبهشت!$N$2:$N$805,$C$43,[1]اردیبهشت!$D$2:$D$805,$F$44,[1]اردیبهشت!$AA$2:$AA$805,O3)</f>
        <v>0</v>
      </c>
      <c r="P44" s="172">
        <f>SUMIFS([1]اردیبهشت!$AD$2:$AD$805,[1]اردیبهشت!$N$2:$N$805,$C$43,[1]اردیبهشت!$D$2:$D$805,$F$44,[1]اردیبهشت!$AA$2:$AA$805,P3)</f>
        <v>0</v>
      </c>
      <c r="Q44" s="172">
        <f>SUMIFS([1]اردیبهشت!$AD$2:$AD$805,[1]اردیبهشت!$N$2:$N$805,$C$43,[1]اردیبهشت!$D$2:$D$805,$F$44,[1]اردیبهشت!$AA$2:$AA$805,Q3)</f>
        <v>0</v>
      </c>
      <c r="R44" s="172">
        <f>SUMIFS([1]اردیبهشت!$AD$2:$AD$805,[1]اردیبهشت!$N$2:$N$805,$C$43,[1]اردیبهشت!$D$2:$D$805,$F$44,[1]اردیبهشت!$AA$2:$AA$805,R3)</f>
        <v>0</v>
      </c>
      <c r="S44" s="172">
        <f>SUMIFS([1]اردیبهشت!$AD$2:$AD$805,[1]اردیبهشت!$N$2:$N$805,$C$43,[1]اردیبهشت!$D$2:$D$805,$F$44,[1]اردیبهشت!$AA$2:$AA$805,S3)</f>
        <v>0</v>
      </c>
      <c r="T44" s="172">
        <f>SUMIFS([1]اردیبهشت!$AD$2:$AD$805,[1]اردیبهشت!$N$2:$N$805,$C$43,[1]اردیبهشت!$D$2:$D$805,$F$44,[1]اردیبهشت!$AA$2:$AA$805,T3)</f>
        <v>0</v>
      </c>
      <c r="U44" s="802">
        <f>SUMIFS([1]اردیبهشت!$AD$2:$AD$600,[1]اردیبهشت!$N$2:$N$600,$C$43,[1]اردیبهشت!$D$2:$D$600,$F$44,[1]اردیبهشت!$AA$2:$AA$600,U3)</f>
        <v>0</v>
      </c>
      <c r="V44" s="763">
        <f>SUMIFS([1]مرداد!$AH$2:$AH$805,[1]مرداد!$O$2:$O$805,7701,[1]مرداد!$D$2:$D$805,$F$44,[1]مرداد!$AC$2:$AC$805,V3)</f>
        <v>0</v>
      </c>
      <c r="W44" s="353">
        <f>SUMIFS([1]مرداد!$AH$2:$AH$805,[1]مرداد!$O$2:$O$805,7701,[1]مرداد!$D$2:$D$805,$F$44,[1]مرداد!$AC$2:$AC$805,W3)</f>
        <v>0</v>
      </c>
      <c r="X44" s="353">
        <f>SUMIFS([1]مرداد!$AH$2:$AH$805,[1]مرداد!$O$2:$O$805,7701,[1]مرداد!$D$2:$D$805,$F$44,[1]مرداد!$AC$2:$AC$805,X3)</f>
        <v>0</v>
      </c>
      <c r="Y44" s="353">
        <f>SUMIFS([1]مرداد!$AH$2:$AH$805,[1]مرداد!$O$2:$O$805,7701,[1]مرداد!$D$2:$D$805,$F$44,[1]مرداد!$AC$2:$AC$805,Y3)</f>
        <v>0</v>
      </c>
      <c r="Z44" s="353">
        <f>SUMIFS([1]مرداد!$AH$2:$AH$805,[1]مرداد!$O$2:$O$805,7701,[1]مرداد!$D$2:$D$805,$F$44,[1]مرداد!$AC$2:$AC$805,Z3)</f>
        <v>0</v>
      </c>
      <c r="AA44" s="353">
        <f>SUMIFS([1]مرداد!$AH$2:$AH$805,[1]مرداد!$O$2:$O$805,7701,[1]مرداد!$D$2:$D$805,$F$44,[1]مرداد!$AC$2:$AC$805,AA3)</f>
        <v>0</v>
      </c>
      <c r="AB44" s="746">
        <f>SUMIFS([1]مرداد!$AH$2:$AH$805,[1]مرداد!$O$2:$O$805,7701,[1]مرداد!$D$2:$D$805,$F$44,[1]مرداد!$AC$2:$AC$805,AB3)</f>
        <v>0</v>
      </c>
    </row>
    <row r="45" spans="1:28" ht="42.75" customHeight="1" thickBot="1" x14ac:dyDescent="0.3">
      <c r="A45" s="45">
        <v>20</v>
      </c>
      <c r="B45" s="729" t="s">
        <v>63</v>
      </c>
      <c r="C45" s="708">
        <v>8001</v>
      </c>
      <c r="D45" s="708">
        <v>62.5</v>
      </c>
      <c r="E45" s="708" t="s">
        <v>15</v>
      </c>
      <c r="F45" s="54" t="s">
        <v>54</v>
      </c>
      <c r="G45" s="4">
        <f t="shared" si="0"/>
        <v>2</v>
      </c>
      <c r="H45" s="67">
        <f t="shared" si="1"/>
        <v>0</v>
      </c>
      <c r="I45" s="739">
        <f t="shared" si="2"/>
        <v>0</v>
      </c>
      <c r="J45" s="4">
        <v>0</v>
      </c>
      <c r="K45" s="4">
        <v>0</v>
      </c>
      <c r="L45" s="4">
        <v>0</v>
      </c>
      <c r="M45" s="4">
        <f>SUM(G45:J45)-62</f>
        <v>-60</v>
      </c>
      <c r="N45" s="734" t="s">
        <v>31</v>
      </c>
      <c r="O45" s="580">
        <f>SUMIFS([1]مرداد!$AF$2:$AF$805,[1]مرداد!$O$2:$O$805,8001,[1]مرداد!$D$2:$D$805,"*",[1]مرداد!$AC$2:$AC$805,O3)</f>
        <v>2</v>
      </c>
      <c r="P45" s="580">
        <f>SUMIFS([1]مرداد!$AF$2:$AF$805,[1]مرداد!$O$2:$O$805,8001,[1]مرداد!$D$2:$D$805,"*",[1]مرداد!$AC$2:$AC$805,P3)</f>
        <v>0</v>
      </c>
      <c r="Q45" s="580">
        <f>SUMIFS([1]مرداد!$AF$2:$AF$805,[1]مرداد!$O$2:$O$805,8001,[1]مرداد!$D$2:$D$805,"*",[1]مرداد!$AC$2:$AC$805,Q3)</f>
        <v>0</v>
      </c>
      <c r="R45" s="580">
        <f>SUMIFS([1]مرداد!$AF$2:$AF$805,[1]مرداد!$O$2:$O$805,8001,[1]مرداد!$D$2:$D$805,"*",[1]مرداد!$AC$2:$AC$805,R3)</f>
        <v>0</v>
      </c>
      <c r="S45" s="580">
        <f>SUMIFS([1]مرداد!$AF$2:$AF$805,[1]مرداد!$O$2:$O$805,8001,[1]مرداد!$D$2:$D$805,"*",[1]مرداد!$AC$2:$AC$805,S3)</f>
        <v>0</v>
      </c>
      <c r="T45" s="580">
        <f>SUMIFS([1]مرداد!$AF$2:$AF$805,[1]مرداد!$O$2:$O$805,8001,[1]مرداد!$D$2:$D$805,"*",[1]مرداد!$AC$2:$AC$805,T3)</f>
        <v>0</v>
      </c>
      <c r="U45" s="804">
        <f>SUMIFS([1]مرداد!$AF$2:$AF$805,[1]مرداد!$O$2:$O$805,8001,[1]مرداد!$D$2:$D$805,"*",[1]مرداد!$AC$2:$AC$805,U3)</f>
        <v>0</v>
      </c>
      <c r="V45" s="181">
        <f>SUMIFS([1]مرداد!$AH$2:$AH$805,[1]مرداد!$O$2:$O$805,8001,[1]مرداد!$D$2:$D$805,$F$45,[1]مرداد!$AC$2:$AC$805,V3)</f>
        <v>0</v>
      </c>
      <c r="W45" s="297">
        <f>SUMIFS([1]مرداد!$AH$2:$AH$805,[1]مرداد!$O$2:$O$805,8001,[1]مرداد!$D$2:$D$805,$F$45,[1]مرداد!$AC$2:$AC$805,W3)</f>
        <v>0</v>
      </c>
      <c r="X45" s="297">
        <f>SUMIFS([1]مرداد!$AH$2:$AH$805,[1]مرداد!$O$2:$O$805,8001,[1]مرداد!$D$2:$D$805,$F$45,[1]مرداد!$AC$2:$AC$805,X3)</f>
        <v>0</v>
      </c>
      <c r="Y45" s="297">
        <f>SUMIFS([1]مرداد!$AH$2:$AH$805,[1]مرداد!$O$2:$O$805,8001,[1]مرداد!$D$2:$D$805,$F$45,[1]مرداد!$AC$2:$AC$805,Y3)</f>
        <v>0</v>
      </c>
      <c r="Z45" s="297">
        <f>SUMIFS([1]مرداد!$AH$2:$AH$805,[1]مرداد!$O$2:$O$805,8001,[1]مرداد!$D$2:$D$805,$F$45,[1]مرداد!$AC$2:$AC$805,Z3)</f>
        <v>0</v>
      </c>
      <c r="AA45" s="297">
        <f>SUMIFS([1]مرداد!$AH$2:$AH$805,[1]مرداد!$O$2:$O$805,8001,[1]مرداد!$D$2:$D$805,$F$45,[1]مرداد!$AC$2:$AC$805,AA3)</f>
        <v>0</v>
      </c>
      <c r="AB45" s="360">
        <f>SUMIFS([1]مرداد!$AH$2:$AH$805,[1]مرداد!$O$2:$O$805,8001,[1]مرداد!$D$2:$D$805,$F$45,[1]مرداد!$AC$2:$AC$805,AB3)</f>
        <v>0</v>
      </c>
    </row>
    <row r="46" spans="1:28" ht="39" customHeight="1" thickBot="1" x14ac:dyDescent="0.3">
      <c r="A46" s="45">
        <v>21</v>
      </c>
      <c r="B46" s="12" t="s">
        <v>32</v>
      </c>
      <c r="C46" s="13">
        <v>8002</v>
      </c>
      <c r="D46" s="13">
        <v>44</v>
      </c>
      <c r="E46" s="13" t="s">
        <v>15</v>
      </c>
      <c r="F46" s="31" t="s">
        <v>55</v>
      </c>
      <c r="G46" s="14">
        <f t="shared" si="0"/>
        <v>28.166666666666668</v>
      </c>
      <c r="H46" s="48">
        <f t="shared" si="1"/>
        <v>0</v>
      </c>
      <c r="I46" s="1">
        <f t="shared" si="2"/>
        <v>37.833333333333336</v>
      </c>
      <c r="J46" s="14">
        <v>0</v>
      </c>
      <c r="K46" s="14">
        <v>0</v>
      </c>
      <c r="L46" s="14">
        <v>0</v>
      </c>
      <c r="M46" s="14">
        <f>SUM(G46:L46)-(D46)</f>
        <v>22</v>
      </c>
      <c r="N46" s="17" t="s">
        <v>40</v>
      </c>
      <c r="O46" s="297">
        <f>SUMIFS([1]مرداد!$AF$2:$AF$805,[1]مرداد!$O$2:$O$805,8002,[1]مرداد!$D$2:$D$805,$F$46,[1]مرداد!$AC$2:$AC$805,O3)</f>
        <v>11</v>
      </c>
      <c r="P46" s="297">
        <f>SUMIFS([1]مرداد!$AF$2:$AF$805,[1]مرداد!$O$2:$O$805,8002,[1]مرداد!$D$2:$D$805,$F$46,[1]مرداد!$AC$2:$AC$805,P3)</f>
        <v>11</v>
      </c>
      <c r="Q46" s="297">
        <f>SUMIFS([1]مرداد!$AF$2:$AF$805,[1]مرداد!$O$2:$O$805,8002,[1]مرداد!$D$2:$D$805,$F$46,[1]مرداد!$AC$2:$AC$805,Q3)</f>
        <v>6.166666666666667</v>
      </c>
      <c r="R46" s="297">
        <f>SUMIFS([1]مرداد!$AF$2:$AF$805,[1]مرداد!$O$2:$O$805,8002,[1]مرداد!$D$2:$D$805,$F$46,[1]مرداد!$AC$2:$AC$805,R3)</f>
        <v>0</v>
      </c>
      <c r="S46" s="297">
        <f>SUMIFS([1]مرداد!$AF$2:$AF$805,[1]مرداد!$O$2:$O$805,8002,[1]مرداد!$D$2:$D$805,$F$46,[1]مرداد!$AC$2:$AC$805,S3)</f>
        <v>0</v>
      </c>
      <c r="T46" s="297">
        <f>SUMIFS([1]مرداد!$AF$2:$AF$805,[1]مرداد!$O$2:$O$805,8002,[1]مرداد!$D$2:$D$805,$F$46,[1]مرداد!$AC$2:$AC$805,T3)</f>
        <v>0</v>
      </c>
      <c r="U46" s="803">
        <f>SUMIFS([1]مرداد!$AF$2:$AF$805,[1]مرداد!$O$2:$O$805,8002,[1]مرداد!$D$2:$D$805,$F$46,[1]مرداد!$AC$2:$AC$805,U3)</f>
        <v>0</v>
      </c>
      <c r="V46" s="181">
        <f>SUMIFS([1]مرداد!$AH$2:$AH$805,[1]مرداد!$O$2:$O$805,8002,[1]مرداد!$D$2:$D$805,$F$46,[1]مرداد!$AC$2:$AC$805,V3)</f>
        <v>0</v>
      </c>
      <c r="W46" s="297">
        <f>SUMIFS([1]مرداد!$AH$2:$AH$805,[1]مرداد!$O$2:$O$805,8002,[1]مرداد!$D$2:$D$805,$F$46,[1]مرداد!$AC$2:$AC$805,W3)</f>
        <v>0</v>
      </c>
      <c r="X46" s="297">
        <f>SUMIFS([1]مرداد!$AH$2:$AH$805,[1]مرداد!$O$2:$O$805,8002,[1]مرداد!$D$2:$D$805,$F$46,[1]مرداد!$AC$2:$AC$805,X3)</f>
        <v>37.833333333333336</v>
      </c>
      <c r="Y46" s="297">
        <f>SUMIFS([1]مرداد!$AH$2:$AH$805,[1]مرداد!$O$2:$O$805,8002,[1]مرداد!$D$2:$D$805,$F$46,[1]مرداد!$AC$2:$AC$805,Y3)</f>
        <v>0</v>
      </c>
      <c r="Z46" s="297">
        <f>SUMIFS([1]مرداد!$AH$2:$AH$805,[1]مرداد!$O$2:$O$805,8002,[1]مرداد!$D$2:$D$805,$F$46,[1]مرداد!$AC$2:$AC$805,Z3)</f>
        <v>0</v>
      </c>
      <c r="AA46" s="297">
        <f>SUMIFS([1]مرداد!$AH$2:$AH$805,[1]مرداد!$O$2:$O$805,8002,[1]مرداد!$D$2:$D$805,$F$46,[1]مرداد!$AC$2:$AC$805,AA3)</f>
        <v>0</v>
      </c>
      <c r="AB46" s="360">
        <f>SUMIFS([1]مرداد!$AH$2:$AH$805,[1]مرداد!$O$2:$O$805,8002,[1]مرداد!$D$2:$D$805,$F$46,[1]مرداد!$AC$2:$AC$805,AB3)</f>
        <v>0</v>
      </c>
    </row>
    <row r="47" spans="1:28" ht="33.75" customHeight="1" x14ac:dyDescent="0.25">
      <c r="A47" s="957">
        <v>22</v>
      </c>
      <c r="B47" s="974" t="s">
        <v>33</v>
      </c>
      <c r="C47" s="943" t="s">
        <v>33</v>
      </c>
      <c r="D47" s="932">
        <v>62.5</v>
      </c>
      <c r="E47" s="1002">
        <f>G47+G48+G49+G50</f>
        <v>54.5</v>
      </c>
      <c r="F47" s="32" t="s">
        <v>16</v>
      </c>
      <c r="G47" s="739">
        <f t="shared" si="0"/>
        <v>17.5</v>
      </c>
      <c r="H47" s="46">
        <f t="shared" si="1"/>
        <v>5.5</v>
      </c>
      <c r="I47" s="739">
        <f t="shared" si="2"/>
        <v>0</v>
      </c>
      <c r="J47" s="739">
        <v>0</v>
      </c>
      <c r="K47" s="739">
        <v>0</v>
      </c>
      <c r="L47" s="739">
        <v>0</v>
      </c>
      <c r="M47" s="739">
        <f>(SUM(G47:L47))-D47</f>
        <v>-39.5</v>
      </c>
      <c r="N47" s="33"/>
      <c r="O47" s="292">
        <f>SUMIFS([1]مرداد!$AF$2:$AF$805,[1]مرداد!$O$2:$O$805,"مونتاژ",[1]مرداد!$D$2:$D$805,$F$47,[1]مرداد!$AC$2:$AC$805,O3)</f>
        <v>7</v>
      </c>
      <c r="P47" s="292">
        <f>SUMIFS([1]مرداد!$AF$2:$AF$805,[1]مرداد!$O$2:$O$805,"مونتاژ",[1]مرداد!$D$2:$D$805,$F$47,[1]مرداد!$AC$2:$AC$805,P3)</f>
        <v>3.5</v>
      </c>
      <c r="Q47" s="292">
        <f>SUMIFS([1]مرداد!$AF$2:$AF$805,[1]مرداد!$O$2:$O$805,"مونتاژ",[1]مرداد!$D$2:$D$805,$F$47,[1]مرداد!$AC$2:$AC$805,Q3)</f>
        <v>0</v>
      </c>
      <c r="R47" s="292">
        <f>SUMIFS([1]مرداد!$AF$2:$AF$805,[1]مرداد!$O$2:$O$805,"مونتاژ",[1]مرداد!$D$2:$D$805,$F$47,[1]مرداد!$AC$2:$AC$805,R3)</f>
        <v>2</v>
      </c>
      <c r="S47" s="292">
        <f>SUMIFS([1]مرداد!$AF$2:$AF$805,[1]مرداد!$O$2:$O$805,"مونتاژ",[1]مرداد!$D$2:$D$805,$F$47,[1]مرداد!$AC$2:$AC$805,S3)</f>
        <v>1</v>
      </c>
      <c r="T47" s="292">
        <f>SUMIFS([1]مرداد!$AF$2:$AF$805,[1]مرداد!$O$2:$O$805,"مونتاژ",[1]مرداد!$D$2:$D$805,$F$47,[1]مرداد!$AC$2:$AC$805,T3)</f>
        <v>4</v>
      </c>
      <c r="U47" s="357">
        <f>SUMIFS([1]مرداد!$AF$2:$AF$805,[1]مرداد!$O$2:$O$805,"مونتاژ",[1]مرداد!$D$2:$D$805,$F$47,[1]مرداد!$AC$2:$AC$805,U3)</f>
        <v>5.5</v>
      </c>
      <c r="V47" s="165" cm="1">
        <f t="array" ref="V47">SUMIFS([1]مرداد!$AH$2:$AH$805,[1]مرداد!$O$2:$O$805,مونتاژ,[1]مرداد!$D$2:$D$805,$F$47,[1]مرداد!$AC$2:$AC$805,V3)</f>
        <v>0</v>
      </c>
      <c r="W47" s="292" cm="1">
        <f t="array" ref="W47">SUMIFS([1]مرداد!$AH$2:$AH$805,[1]مرداد!$O$2:$O$805,مونتاژ,[1]مرداد!$D$2:$D$805,$F$47,[1]مرداد!$AC$2:$AC$805,W3)</f>
        <v>0</v>
      </c>
      <c r="X47" s="292" cm="1">
        <f t="array" ref="X47">SUMIFS([1]مرداد!$AH$2:$AH$805,[1]مرداد!$O$2:$O$805,مونتاژ,[1]مرداد!$D$2:$D$805,$F$47,[1]مرداد!$AC$2:$AC$805,X3)</f>
        <v>0</v>
      </c>
      <c r="Y47" s="292" cm="1">
        <f t="array" ref="Y47">SUMIFS([1]مرداد!$AH$2:$AH$805,[1]مرداد!$O$2:$O$805,مونتاژ,[1]مرداد!$D$2:$D$805,$F$47,[1]مرداد!$AC$2:$AC$805,Y3)</f>
        <v>0</v>
      </c>
      <c r="Z47" s="292" cm="1">
        <f t="array" ref="Z47">SUMIFS([1]مرداد!$AH$2:$AH$805,[1]مرداد!$O$2:$O$805,مونتاژ,[1]مرداد!$D$2:$D$805,$F$47,[1]مرداد!$AC$2:$AC$805,Z3)</f>
        <v>0</v>
      </c>
      <c r="AA47" s="292" cm="1">
        <f t="array" ref="AA47">SUMIFS([1]مرداد!$AH$2:$AH$805,[1]مرداد!$O$2:$O$805,مونتاژ,[1]مرداد!$D$2:$D$805,$F$47,[1]مرداد!$AC$2:$AC$805,AA3)</f>
        <v>0</v>
      </c>
      <c r="AB47" s="357" cm="1">
        <f t="array" ref="AB47">SUMIFS([1]مرداد!$AH$2:$AH$805,[1]مرداد!$O$2:$O$805,مونتاژ,[1]مرداد!$D$2:$D$805,$F$47,[1]مرداد!$AC$2:$AC$805,AB3)</f>
        <v>0</v>
      </c>
    </row>
    <row r="48" spans="1:28" ht="33.75" customHeight="1" x14ac:dyDescent="0.25">
      <c r="A48" s="958"/>
      <c r="B48" s="975"/>
      <c r="C48" s="965"/>
      <c r="D48" s="933"/>
      <c r="E48" s="965"/>
      <c r="F48" s="29" t="s">
        <v>17</v>
      </c>
      <c r="G48" s="3">
        <f>SUM(O48:T48)</f>
        <v>3</v>
      </c>
      <c r="H48" s="47">
        <f t="shared" si="1"/>
        <v>0</v>
      </c>
      <c r="I48" s="3">
        <f t="shared" si="2"/>
        <v>0</v>
      </c>
      <c r="J48" s="3">
        <v>0</v>
      </c>
      <c r="K48" s="3">
        <v>0</v>
      </c>
      <c r="L48" s="3">
        <v>0</v>
      </c>
      <c r="M48" s="3">
        <f>(SUM(G48:L48))-D47</f>
        <v>-59.5</v>
      </c>
      <c r="N48" s="58"/>
      <c r="O48" s="293">
        <f>SUMIFS([1]مرداد!$AF$2:$AF$805,[1]مرداد!$O$2:$O$805,"مونتاژ",[1]مرداد!$D$2:$D$805,$F$48,[1]مرداد!$AC$2:$AC$805,O3)</f>
        <v>3</v>
      </c>
      <c r="P48" s="293">
        <f>SUMIFS([1]مرداد!$AF$2:$AF$805,[1]مرداد!$O$2:$O$805,"مونتاژ",[1]مرداد!$D$2:$D$805,$F$48,[1]مرداد!$AC$2:$AC$805,P3)</f>
        <v>0</v>
      </c>
      <c r="Q48" s="293">
        <f>SUMIFS([1]مرداد!$AF$2:$AF$805,[1]مرداد!$O$2:$O$805,"مونتاژ",[1]مرداد!$D$2:$D$805,$F$48,[1]مرداد!$AC$2:$AC$805,Q3)</f>
        <v>0</v>
      </c>
      <c r="R48" s="293">
        <f>SUMIFS([1]مرداد!$AF$2:$AF$805,[1]مرداد!$O$2:$O$805,"مونتاژ",[1]مرداد!$D$2:$D$805,$F$48,[1]مرداد!$AC$2:$AC$805,R3)</f>
        <v>0</v>
      </c>
      <c r="S48" s="293">
        <f>SUMIFS([1]مرداد!$AF$2:$AF$805,[1]مرداد!$O$2:$O$805,"مونتاژ",[1]مرداد!$D$2:$D$805,$F$48,[1]مرداد!$AC$2:$AC$805,S3)</f>
        <v>0</v>
      </c>
      <c r="T48" s="293">
        <f>SUMIFS([1]مرداد!$AF$2:$AF$805,[1]مرداد!$O$2:$O$805,"مونتاژ",[1]مرداد!$D$2:$D$805,$F$48,[1]مرداد!$AC$2:$AC$805,T3)</f>
        <v>0</v>
      </c>
      <c r="U48" s="361">
        <f>SUMIFS([1]مرداد!$AF$2:$AF$805,[1]مرداد!$O$2:$O$805,"مونتاژ",[1]مرداد!$D$2:$D$805,$F$48,[1]مرداد!$AC$2:$AC$805,U3)</f>
        <v>0</v>
      </c>
      <c r="V48" s="166" cm="1">
        <f t="array" ref="V48">SUMIFS([1]مرداد!$AH$2:$AH$805,[1]مرداد!$O$2:$O$805,مونتاژ,[1]مرداد!$D$2:$D$805,$F$48,[1]مرداد!$AC$2:$AC$805,V3)</f>
        <v>0</v>
      </c>
      <c r="W48" s="293" cm="1">
        <f t="array" ref="W48">SUMIFS([1]مرداد!$AH$2:$AH$805,[1]مرداد!$O$2:$O$805,مونتاژ,[1]مرداد!$D$2:$D$805,$F$48,[1]مرداد!$AC$2:$AC$805,W3)</f>
        <v>0</v>
      </c>
      <c r="X48" s="293" cm="1">
        <f t="array" ref="X48">SUMIFS([1]مرداد!$AH$2:$AH$805,[1]مرداد!$O$2:$O$805,مونتاژ,[1]مرداد!$D$2:$D$805,$F$48,[1]مرداد!$AC$2:$AC$805,X3)</f>
        <v>0</v>
      </c>
      <c r="Y48" s="293" cm="1">
        <f t="array" ref="Y48">SUMIFS([1]مرداد!$AH$2:$AH$805,[1]مرداد!$O$2:$O$805,مونتاژ,[1]مرداد!$D$2:$D$805,$F$48,[1]مرداد!$AC$2:$AC$805,Y3)</f>
        <v>0</v>
      </c>
      <c r="Z48" s="293" cm="1">
        <f t="array" ref="Z48">SUMIFS([1]مرداد!$AH$2:$AH$805,[1]مرداد!$O$2:$O$805,مونتاژ,[1]مرداد!$D$2:$D$805,$F$48,[1]مرداد!$AC$2:$AC$805,Z3)</f>
        <v>0</v>
      </c>
      <c r="AA48" s="293" cm="1">
        <f t="array" ref="AA48">SUMIFS([1]مرداد!$AH$2:$AH$805,[1]مرداد!$O$2:$O$805,مونتاژ,[1]مرداد!$D$2:$D$805,$F$48,[1]مرداد!$AC$2:$AC$805,AA3)</f>
        <v>0</v>
      </c>
      <c r="AB48" s="361" cm="1">
        <f t="array" ref="AB48">SUMIFS([1]مرداد!$AH$2:$AH$805,[1]مرداد!$O$2:$O$805,مونتاژ,[1]مرداد!$D$2:$D$805,$F$48,[1]مرداد!$AC$2:$AC$805,AB3)</f>
        <v>0</v>
      </c>
    </row>
    <row r="49" spans="1:28" ht="33.75" customHeight="1" x14ac:dyDescent="0.25">
      <c r="A49" s="959"/>
      <c r="B49" s="975"/>
      <c r="C49" s="966"/>
      <c r="D49" s="933"/>
      <c r="E49" s="966"/>
      <c r="F49" s="29" t="s">
        <v>54</v>
      </c>
      <c r="G49" s="3">
        <f t="shared" si="0"/>
        <v>24</v>
      </c>
      <c r="H49" s="47">
        <f t="shared" si="1"/>
        <v>0</v>
      </c>
      <c r="I49" s="3">
        <f t="shared" si="2"/>
        <v>0</v>
      </c>
      <c r="J49" s="3">
        <v>0</v>
      </c>
      <c r="K49" s="3">
        <v>0</v>
      </c>
      <c r="L49" s="3">
        <v>0</v>
      </c>
      <c r="M49" s="3">
        <f>(SUM(G49:L49))-62</f>
        <v>-38</v>
      </c>
      <c r="N49" s="62"/>
      <c r="O49" s="293">
        <f>SUMIFS([1]مرداد!$AF$2:$AF$805,[1]مرداد!$O$2:$O$805,"مونتاژ",[1]مرداد!$D$2:$D$805,$F$49,[1]مرداد!$AC$2:$AC$805,O3)</f>
        <v>9</v>
      </c>
      <c r="P49" s="293">
        <f>SUMIFS([1]مرداد!$AF$2:$AF$805,[1]مرداد!$O$2:$O$805,"مونتاژ",[1]مرداد!$D$2:$D$805,$F$49,[1]مرداد!$AC$2:$AC$805,P3)</f>
        <v>0</v>
      </c>
      <c r="Q49" s="293">
        <f>SUMIFS([1]مرداد!$AF$2:$AF$805,[1]مرداد!$O$2:$O$805,"مونتاژ",[1]مرداد!$D$2:$D$805,$F$49,[1]مرداد!$AC$2:$AC$805,Q3)</f>
        <v>0</v>
      </c>
      <c r="R49" s="293">
        <f>SUMIFS([1]مرداد!$AF$2:$AF$805,[1]مرداد!$O$2:$O$805,"مونتاژ",[1]مرداد!$D$2:$D$805,$F$49,[1]مرداد!$AC$2:$AC$805,R3)</f>
        <v>4</v>
      </c>
      <c r="S49" s="293">
        <f>SUMIFS([1]مرداد!$AF$2:$AF$805,[1]مرداد!$O$2:$O$805,"مونتاژ",[1]مرداد!$D$2:$D$805,$F$49,[1]مرداد!$AC$2:$AC$805,S3)</f>
        <v>9</v>
      </c>
      <c r="T49" s="293">
        <f>SUMIFS([1]مرداد!$AF$2:$AF$805,[1]مرداد!$O$2:$O$805,"مونتاژ",[1]مرداد!$D$2:$D$805,$F$49,[1]مرداد!$AC$2:$AC$805,T3)</f>
        <v>2</v>
      </c>
      <c r="U49" s="361">
        <f>SUMIFS([1]مرداد!$AF$2:$AF$805,[1]مرداد!$O$2:$O$805,"مونتاژ",[1]مرداد!$D$2:$D$805,$F$49,[1]مرداد!$AC$2:$AC$805,U3)</f>
        <v>0</v>
      </c>
      <c r="V49" s="166" cm="1">
        <f t="array" ref="V49">SUMIFS([1]مرداد!$AH$2:$AH$805,[1]مرداد!$O$2:$O$805,مونتاژ,[1]مرداد!$D$2:$D$805,$F$49,[1]مرداد!$AC$2:$AC$805,V3)</f>
        <v>0</v>
      </c>
      <c r="W49" s="293" cm="1">
        <f t="array" ref="W49">SUMIFS([1]مرداد!$AH$2:$AH$805,[1]مرداد!$O$2:$O$805,مونتاژ,[1]مرداد!$D$2:$D$805,$F$49,[1]مرداد!$AC$2:$AC$805,W3)</f>
        <v>0</v>
      </c>
      <c r="X49" s="293" cm="1">
        <f t="array" ref="X49">SUMIFS([1]مرداد!$AH$2:$AH$805,[1]مرداد!$O$2:$O$805,مونتاژ,[1]مرداد!$D$2:$D$805,$F$49,[1]مرداد!$AC$2:$AC$805,X3)</f>
        <v>0</v>
      </c>
      <c r="Y49" s="293" cm="1">
        <f t="array" ref="Y49">SUMIFS([1]مرداد!$AH$2:$AH$805,[1]مرداد!$O$2:$O$805,مونتاژ,[1]مرداد!$D$2:$D$805,$F$49,[1]مرداد!$AC$2:$AC$805,Y3)</f>
        <v>0</v>
      </c>
      <c r="Z49" s="293" cm="1">
        <f t="array" ref="Z49">SUMIFS([1]مرداد!$AH$2:$AH$805,[1]مرداد!$O$2:$O$805,مونتاژ,[1]مرداد!$D$2:$D$805,$F$49,[1]مرداد!$AC$2:$AC$805,Z3)</f>
        <v>0</v>
      </c>
      <c r="AA49" s="293" cm="1">
        <f t="array" ref="AA49">SUMIFS([1]مرداد!$AH$2:$AH$805,[1]مرداد!$O$2:$O$805,مونتاژ,[1]مرداد!$D$2:$D$805,$F$49,[1]مرداد!$AC$2:$AC$805,AA3)</f>
        <v>0</v>
      </c>
      <c r="AB49" s="361" cm="1">
        <f t="array" ref="AB49">SUMIFS([1]مرداد!$AH$2:$AH$805,[1]مرداد!$O$2:$O$805,مونتاژ,[1]مرداد!$D$2:$D$805,$F$49,[1]مرداد!$AC$2:$AC$805,AB3)</f>
        <v>0</v>
      </c>
    </row>
    <row r="50" spans="1:28" ht="33.75" customHeight="1" thickBot="1" x14ac:dyDescent="0.3">
      <c r="A50" s="960"/>
      <c r="B50" s="975"/>
      <c r="C50" s="944"/>
      <c r="D50" s="934"/>
      <c r="E50" s="944"/>
      <c r="F50" s="30" t="s">
        <v>36</v>
      </c>
      <c r="G50" s="6">
        <f t="shared" si="0"/>
        <v>10</v>
      </c>
      <c r="H50" s="47">
        <f t="shared" si="1"/>
        <v>0</v>
      </c>
      <c r="I50" s="1">
        <f t="shared" si="2"/>
        <v>0</v>
      </c>
      <c r="J50" s="7">
        <v>0</v>
      </c>
      <c r="K50" s="7">
        <v>0</v>
      </c>
      <c r="L50" s="7">
        <v>0</v>
      </c>
      <c r="M50" s="7">
        <f>SUM(G50:J50)-62</f>
        <v>-52</v>
      </c>
      <c r="N50" s="34"/>
      <c r="O50" s="352">
        <f>SUMIFS([1]مرداد!$AF$2:$AF$805,[1]مرداد!$O$2:$O$805,"مونتاژ",[1]مرداد!$D$2:$D$805,$F$50,[1]مرداد!$AC$2:$AC$805,O3)</f>
        <v>0</v>
      </c>
      <c r="P50" s="352">
        <f>SUMIFS([1]مرداد!$AF$2:$AF$805,[1]مرداد!$O$2:$O$805,"مونتاژ",[1]مرداد!$D$2:$D$805,$F$50,[1]مرداد!$AC$2:$AC$805,P3)</f>
        <v>0</v>
      </c>
      <c r="Q50" s="352">
        <f>SUMIFS([1]مرداد!$AF$2:$AF$805,[1]مرداد!$O$2:$O$805,"مونتاژ",[1]مرداد!$D$2:$D$805,$F$50,[1]مرداد!$AC$2:$AC$805,Q3)</f>
        <v>0</v>
      </c>
      <c r="R50" s="352">
        <f>SUMIFS([1]مرداد!$AF$2:$AF$805,[1]مرداد!$O$2:$O$805,"مونتاژ",[1]مرداد!$D$2:$D$805,$F$50,[1]مرداد!$AC$2:$AC$805,R3)</f>
        <v>0</v>
      </c>
      <c r="S50" s="352">
        <f>SUMIFS([1]مرداد!$AF$2:$AF$805,[1]مرداد!$O$2:$O$805,"مونتاژ",[1]مرداد!$D$2:$D$805,$F$50,[1]مرداد!$AC$2:$AC$805,S3)</f>
        <v>10</v>
      </c>
      <c r="T50" s="352">
        <f>SUMIFS([1]مرداد!$AF$2:$AF$805,[1]مرداد!$O$2:$O$805,"مونتاژ",[1]مرداد!$D$2:$D$805,$F$50,[1]مرداد!$AC$2:$AC$805,T3)</f>
        <v>0</v>
      </c>
      <c r="U50" s="775">
        <f>SUMIFS([1]مرداد!$AF$2:$AF$805,[1]مرداد!$O$2:$O$805,"مونتاژ",[1]مرداد!$D$2:$D$805,$F$50,[1]مرداد!$AC$2:$AC$805,U3)</f>
        <v>0</v>
      </c>
      <c r="V50" s="171" cm="1">
        <f t="array" ref="V50">SUMIFS([1]مرداد!$AH$2:$AH$805,[1]مرداد!$O$2:$O$805,مونتاژ,[1]مرداد!$D$2:$D$805,$F$50,[1]مرداد!$AC$2:$AC$805,V3)</f>
        <v>0</v>
      </c>
      <c r="W50" s="294" cm="1">
        <f t="array" ref="W50">SUMIFS([1]مرداد!$AH$2:$AH$805,[1]مرداد!$O$2:$O$805,مونتاژ,[1]مرداد!$D$2:$D$805,$F$50,[1]مرداد!$AC$2:$AC$805,W3)</f>
        <v>0</v>
      </c>
      <c r="X50" s="294" cm="1">
        <f t="array" ref="X50">SUMIFS([1]مرداد!$AH$2:$AH$805,[1]مرداد!$O$2:$O$805,مونتاژ,[1]مرداد!$D$2:$D$805,$F$50,[1]مرداد!$AC$2:$AC$805,X3)</f>
        <v>0</v>
      </c>
      <c r="Y50" s="294" cm="1">
        <f t="array" ref="Y50">SUMIFS([1]مرداد!$AH$2:$AH$805,[1]مرداد!$O$2:$O$805,مونتاژ,[1]مرداد!$D$2:$D$805,$F$50,[1]مرداد!$AC$2:$AC$805,Y3)</f>
        <v>0</v>
      </c>
      <c r="Z50" s="294" cm="1">
        <f t="array" ref="Z50">SUMIFS([1]مرداد!$AH$2:$AH$805,[1]مرداد!$O$2:$O$805,مونتاژ,[1]مرداد!$D$2:$D$805,$F$50,[1]مرداد!$AC$2:$AC$805,Z3)</f>
        <v>0</v>
      </c>
      <c r="AA50" s="294" cm="1">
        <f t="array" ref="AA50">SUMIFS([1]مرداد!$AH$2:$AH$805,[1]مرداد!$O$2:$O$805,مونتاژ,[1]مرداد!$D$2:$D$805,$F$50,[1]مرداد!$AC$2:$AC$805,AA3)</f>
        <v>0</v>
      </c>
      <c r="AB50" s="776" cm="1">
        <f t="array" ref="AB50">SUMIFS([1]مرداد!$AH$2:$AH$805,[1]مرداد!$O$2:$O$805,مونتاژ,[1]مرداد!$D$2:$D$805,$F$50,[1]مرداد!$AC$2:$AC$805,AB3)</f>
        <v>0</v>
      </c>
    </row>
    <row r="51" spans="1:28" ht="33.75" customHeight="1" x14ac:dyDescent="0.25">
      <c r="A51" s="967">
        <v>23</v>
      </c>
      <c r="B51" s="975"/>
      <c r="C51" s="943" t="s">
        <v>34</v>
      </c>
      <c r="D51" s="932">
        <v>62.5</v>
      </c>
      <c r="E51" s="932"/>
      <c r="F51" s="32" t="s">
        <v>16</v>
      </c>
      <c r="G51" s="739">
        <f t="shared" si="0"/>
        <v>24.5</v>
      </c>
      <c r="H51" s="47">
        <f t="shared" si="1"/>
        <v>0</v>
      </c>
      <c r="I51" s="739">
        <f t="shared" si="2"/>
        <v>0</v>
      </c>
      <c r="J51" s="739">
        <v>0</v>
      </c>
      <c r="K51" s="739">
        <v>0</v>
      </c>
      <c r="L51" s="739">
        <v>0</v>
      </c>
      <c r="M51" s="739">
        <f>SUM(G51:L51)-62</f>
        <v>-37.5</v>
      </c>
      <c r="N51" s="56"/>
      <c r="O51" s="292">
        <f>SUMIFS([1]مرداد!$AF$2:$AF$805,[1]مرداد!$O$2:$O$805,"دمونتاژ",[1]مرداد!$D$2:$D$805,$F$51,[1]مرداد!$AC$2:$AC$805,O3)</f>
        <v>0</v>
      </c>
      <c r="P51" s="292">
        <f>SUMIFS([1]مرداد!$AF$2:$AF$805,[1]مرداد!$O$2:$O$805,"دمونتاژ",[1]مرداد!$D$2:$D$805,$F$51,[1]مرداد!$AC$2:$AC$805,P3)</f>
        <v>7.5</v>
      </c>
      <c r="Q51" s="292">
        <f>SUMIFS([1]مرداد!$AF$2:$AF$805,[1]مرداد!$O$2:$O$805,"دمونتاژ",[1]مرداد!$D$2:$D$805,$F$51,[1]مرداد!$AC$2:$AC$805,Q3)</f>
        <v>8</v>
      </c>
      <c r="R51" s="292">
        <f>SUMIFS([1]مرداد!$AF$2:$AF$805,[1]مرداد!$O$2:$O$805,"دمونتاژ",[1]مرداد!$D$2:$D$805,$F$51,[1]مرداد!$AC$2:$AC$805,R3)</f>
        <v>4</v>
      </c>
      <c r="S51" s="292">
        <f>SUMIFS([1]مرداد!$AF$2:$AF$805,[1]مرداد!$O$2:$O$805,"دمونتاژ",[1]مرداد!$D$2:$D$805,$F$51,[1]مرداد!$AC$2:$AC$805,S3)</f>
        <v>0</v>
      </c>
      <c r="T51" s="292">
        <f>SUMIFS([1]مرداد!$AF$2:$AF$805,[1]مرداد!$O$2:$O$805,"دمونتاژ",[1]مرداد!$D$2:$D$805,$F$51,[1]مرداد!$AC$2:$AC$805,T3)</f>
        <v>5</v>
      </c>
      <c r="U51" s="799">
        <f>SUMIFS([1]مرداد!$AF$2:$AF$805,[1]مرداد!$O$2:$O$805,"دمونتاژ",[1]مرداد!$D$2:$D$805,$F$51,[1]مرداد!$AC$2:$AC$805,U3)</f>
        <v>0</v>
      </c>
      <c r="V51" s="165" cm="1">
        <f t="array" ref="V51">SUMIFS([1]مرداد!$AH$2:$AH$805,[1]مرداد!$O$2:$O$805,دمونتاژ,[1]مرداد!$D$2:$D$805,$F$51,[1]مرداد!$AC$2:$AC$805,V3)</f>
        <v>0</v>
      </c>
      <c r="W51" s="292" cm="1">
        <f t="array" ref="W51">SUMIFS([1]مرداد!$AH$2:$AH$805,[1]مرداد!$O$2:$O$805,دمونتاژ,[1]مرداد!$D$2:$D$805,$F$51,[1]مرداد!$AC$2:$AC$805,W3)</f>
        <v>0</v>
      </c>
      <c r="X51" s="292" cm="1">
        <f t="array" ref="X51">SUMIFS([1]مرداد!$AH$2:$AH$805,[1]مرداد!$O$2:$O$805,دمونتاژ,[1]مرداد!$D$2:$D$805,$F$51,[1]مرداد!$AC$2:$AC$805,X3)</f>
        <v>0</v>
      </c>
      <c r="Y51" s="292" cm="1">
        <f t="array" ref="Y51">SUMIFS([1]مرداد!$AH$2:$AH$805,[1]مرداد!$O$2:$O$805,دمونتاژ,[1]مرداد!$D$2:$D$805,$F$51,[1]مرداد!$AC$2:$AC$805,Y3)</f>
        <v>0</v>
      </c>
      <c r="Z51" s="292" cm="1">
        <f t="array" ref="Z51">SUMIFS([1]مرداد!$AH$2:$AH$805,[1]مرداد!$O$2:$O$805,دمونتاژ,[1]مرداد!$D$2:$D$805,$F$51,[1]مرداد!$AC$2:$AC$805,Z3)</f>
        <v>0</v>
      </c>
      <c r="AA51" s="292" cm="1">
        <f t="array" ref="AA51">SUMIFS([1]مرداد!$AH$2:$AH$805,[1]مرداد!$O$2:$O$805,دمونتاژ,[1]مرداد!$D$2:$D$805,$F$51,[1]مرداد!$AC$2:$AC$805,AA3)</f>
        <v>0</v>
      </c>
      <c r="AB51" s="357" cm="1">
        <f t="array" ref="AB51">SUMIFS([1]مرداد!$AH$2:$AH$805,[1]مرداد!$O$2:$O$805,دمونتاژ,[1]مرداد!$D$2:$D$805,$F$51,[1]مرداد!$AC$2:$AC$805,AB3)</f>
        <v>0</v>
      </c>
    </row>
    <row r="52" spans="1:28" ht="33.75" customHeight="1" x14ac:dyDescent="0.25">
      <c r="A52" s="967"/>
      <c r="B52" s="975"/>
      <c r="C52" s="965"/>
      <c r="D52" s="933"/>
      <c r="E52" s="933"/>
      <c r="F52" s="29" t="s">
        <v>55</v>
      </c>
      <c r="G52" s="3">
        <f t="shared" si="0"/>
        <v>0</v>
      </c>
      <c r="H52" s="47">
        <f t="shared" si="1"/>
        <v>0</v>
      </c>
      <c r="I52" s="3">
        <f t="shared" si="2"/>
        <v>0</v>
      </c>
      <c r="J52" s="3">
        <v>0</v>
      </c>
      <c r="K52" s="3">
        <v>0</v>
      </c>
      <c r="L52" s="3">
        <v>0</v>
      </c>
      <c r="M52" s="3">
        <f>SUM(G52:L52)-62</f>
        <v>-62</v>
      </c>
      <c r="N52" s="62"/>
      <c r="O52" s="293">
        <f>SUMIFS([1]مرداد!$AF$2:$AF$805,[1]مرداد!$O$2:$O$805,"دمونتاژ",[1]مرداد!$D$2:$D$805,$F$52,[1]مرداد!$AC$2:$AC$805,O3)</f>
        <v>0</v>
      </c>
      <c r="P52" s="293">
        <f>SUMIFS([1]مرداد!$AF$2:$AF$805,[1]مرداد!$O$2:$O$805,"دمونتاژ",[1]مرداد!$D$2:$D$805,$F$52,[1]مرداد!$AC$2:$AC$805,P3)</f>
        <v>0</v>
      </c>
      <c r="Q52" s="293">
        <f>SUMIFS([1]مرداد!$AF$2:$AF$805,[1]مرداد!$O$2:$O$805,"دمونتاژ",[1]مرداد!$D$2:$D$805,$F$52,[1]مرداد!$AC$2:$AC$805,Q3)</f>
        <v>0</v>
      </c>
      <c r="R52" s="293">
        <f>SUMIFS([1]مرداد!$AF$2:$AF$805,[1]مرداد!$O$2:$O$805,"دمونتاژ",[1]مرداد!$D$2:$D$805,$F$52,[1]مرداد!$AC$2:$AC$805,R3)</f>
        <v>0</v>
      </c>
      <c r="S52" s="293">
        <f>SUMIFS([1]مرداد!$AF$2:$AF$805,[1]مرداد!$O$2:$O$805,"دمونتاژ",[1]مرداد!$D$2:$D$805,$F$52,[1]مرداد!$AC$2:$AC$805,S3)</f>
        <v>0</v>
      </c>
      <c r="T52" s="293">
        <f>SUMIFS([1]مرداد!$AF$2:$AF$805,[1]مرداد!$O$2:$O$805,"دمونتاژ",[1]مرداد!$D$2:$D$805,$F$52,[1]مرداد!$AC$2:$AC$805,T3)</f>
        <v>0</v>
      </c>
      <c r="U52" s="792">
        <f>SUMIFS([1]مرداد!$AF$2:$AF$805,[1]مرداد!$O$2:$O$805,"دمونتاژ",[1]مرداد!$D$2:$D$805,$F$52,[1]مرداد!$AC$2:$AC$805,U3)</f>
        <v>0</v>
      </c>
      <c r="V52" s="166" cm="1">
        <f t="array" ref="V52">SUMIFS([1]مرداد!$AH$2:$AH$805,[1]مرداد!$O$2:$O$805,دمونتاژ,[1]مرداد!$D$2:$D$805,$F$52,[1]مرداد!$AC$2:$AC$805,V3)</f>
        <v>0</v>
      </c>
      <c r="W52" s="293" cm="1">
        <f t="array" ref="W52">SUMIFS([1]مرداد!$AH$2:$AH$805,[1]مرداد!$O$2:$O$805,دمونتاژ,[1]مرداد!$D$2:$D$805,$F$52,[1]مرداد!$AC$2:$AC$805,W3)</f>
        <v>0</v>
      </c>
      <c r="X52" s="293" cm="1">
        <f t="array" ref="X52">SUMIFS([1]مرداد!$AH$2:$AH$805,[1]مرداد!$O$2:$O$805,دمونتاژ,[1]مرداد!$D$2:$D$805,$F$52,[1]مرداد!$AC$2:$AC$805,X3)</f>
        <v>0</v>
      </c>
      <c r="Y52" s="293" cm="1">
        <f t="array" ref="Y52">SUMIFS([1]مرداد!$AH$2:$AH$805,[1]مرداد!$O$2:$O$805,دمونتاژ,[1]مرداد!$D$2:$D$805,$F$52,[1]مرداد!$AC$2:$AC$805,Y3)</f>
        <v>0</v>
      </c>
      <c r="Z52" s="293" cm="1">
        <f t="array" ref="Z52">SUMIFS([1]مرداد!$AH$2:$AH$805,[1]مرداد!$O$2:$O$805,دمونتاژ,[1]مرداد!$D$2:$D$805,$F$52,[1]مرداد!$AC$2:$AC$805,Z3)</f>
        <v>0</v>
      </c>
      <c r="AA52" s="293" cm="1">
        <f t="array" ref="AA52">SUMIFS([1]مرداد!$AH$2:$AH$805,[1]مرداد!$O$2:$O$805,دمونتاژ,[1]مرداد!$D$2:$D$805,$F$52,[1]مرداد!$AC$2:$AC$805,AA3)</f>
        <v>0</v>
      </c>
      <c r="AB52" s="361" cm="1">
        <f t="array" ref="AB52">SUMIFS([1]مرداد!$AH$2:$AH$805,[1]مرداد!$O$2:$O$805,دمونتاژ,[1]مرداد!$D$2:$D$805,$F$52,[1]مرداد!$AC$2:$AC$805,AB3)</f>
        <v>0</v>
      </c>
    </row>
    <row r="53" spans="1:28" ht="33.75" customHeight="1" x14ac:dyDescent="0.25">
      <c r="A53" s="967"/>
      <c r="B53" s="975"/>
      <c r="C53" s="965"/>
      <c r="D53" s="933"/>
      <c r="E53" s="933"/>
      <c r="F53" s="29" t="s">
        <v>54</v>
      </c>
      <c r="G53" s="3">
        <f t="shared" si="0"/>
        <v>27</v>
      </c>
      <c r="H53" s="47">
        <f t="shared" si="1"/>
        <v>0</v>
      </c>
      <c r="I53" s="3">
        <f t="shared" si="2"/>
        <v>0</v>
      </c>
      <c r="J53" s="3">
        <v>0</v>
      </c>
      <c r="K53" s="3">
        <v>0</v>
      </c>
      <c r="L53" s="3">
        <v>0</v>
      </c>
      <c r="M53" s="3">
        <f>SUM(G53:L53)-62</f>
        <v>-35</v>
      </c>
      <c r="N53" s="62"/>
      <c r="O53" s="293">
        <f>SUMIFS([1]مرداد!$AF$2:$AF$805,[1]مرداد!$O$2:$O$805,"دمونتاژ",[1]مرداد!$D$2:$D$805,$F$53,[1]مرداد!$AC$2:$AC$805,O3)</f>
        <v>0</v>
      </c>
      <c r="P53" s="293">
        <f>SUMIFS([1]مرداد!$AF$2:$AF$805,[1]مرداد!$O$2:$O$805,"دمونتاژ",[1]مرداد!$D$2:$D$805,$F$53,[1]مرداد!$AC$2:$AC$805,P3)</f>
        <v>8</v>
      </c>
      <c r="Q53" s="293">
        <f>SUMIFS([1]مرداد!$AF$2:$AF$805,[1]مرداد!$O$2:$O$805,"دمونتاژ",[1]مرداد!$D$2:$D$805,$F$53,[1]مرداد!$AC$2:$AC$805,Q3)</f>
        <v>9</v>
      </c>
      <c r="R53" s="293">
        <f>SUMIFS([1]مرداد!$AF$2:$AF$805,[1]مرداد!$O$2:$O$805,"دمونتاژ",[1]مرداد!$D$2:$D$805,$F$53,[1]مرداد!$AC$2:$AC$805,R3)</f>
        <v>7</v>
      </c>
      <c r="S53" s="293">
        <f>SUMIFS([1]مرداد!$AF$2:$AF$805,[1]مرداد!$O$2:$O$805,"دمونتاژ",[1]مرداد!$D$2:$D$805,$F$53,[1]مرداد!$AC$2:$AC$805,S3)</f>
        <v>0</v>
      </c>
      <c r="T53" s="293">
        <f>SUMIFS([1]مرداد!$AF$2:$AF$805,[1]مرداد!$O$2:$O$805,"دمونتاژ",[1]مرداد!$D$2:$D$805,$F$53,[1]مرداد!$AC$2:$AC$805,T3)</f>
        <v>3</v>
      </c>
      <c r="U53" s="792">
        <f>SUMIFS([1]مرداد!$AF$2:$AF$805,[1]مرداد!$O$2:$O$805,"دمونتاژ",[1]مرداد!$D$2:$D$805,$F$53,[1]مرداد!$AC$2:$AC$805,U3)</f>
        <v>0</v>
      </c>
      <c r="V53" s="166" cm="1">
        <f t="array" ref="V53">SUMIFS([1]مرداد!$AH$2:$AH$805,[1]مرداد!$O$2:$O$805,دمونتاژ,[1]مرداد!$D$2:$D$805,$F$53,[1]مرداد!$AC$2:$AC$805,V3)</f>
        <v>0</v>
      </c>
      <c r="W53" s="293" cm="1">
        <f t="array" ref="W53">SUMIFS([1]مرداد!$AH$2:$AH$805,[1]مرداد!$O$2:$O$805,دمونتاژ,[1]مرداد!$D$2:$D$805,$F$53,[1]مرداد!$AC$2:$AC$805,W3)</f>
        <v>0</v>
      </c>
      <c r="X53" s="293" cm="1">
        <f t="array" ref="X53">SUMIFS([1]مرداد!$AH$2:$AH$805,[1]مرداد!$O$2:$O$805,دمونتاژ,[1]مرداد!$D$2:$D$805,$F$53,[1]مرداد!$AC$2:$AC$805,X3)</f>
        <v>0</v>
      </c>
      <c r="Y53" s="293" cm="1">
        <f t="array" ref="Y53">SUMIFS([1]مرداد!$AH$2:$AH$805,[1]مرداد!$O$2:$O$805,دمونتاژ,[1]مرداد!$D$2:$D$805,$F$53,[1]مرداد!$AC$2:$AC$805,Y3)</f>
        <v>0</v>
      </c>
      <c r="Z53" s="293" cm="1">
        <f t="array" ref="Z53">SUMIFS([1]مرداد!$AH$2:$AH$805,[1]مرداد!$O$2:$O$805,دمونتاژ,[1]مرداد!$D$2:$D$805,$F$53,[1]مرداد!$AC$2:$AC$805,Z3)</f>
        <v>0</v>
      </c>
      <c r="AA53" s="293" cm="1">
        <f t="array" ref="AA53">SUMIFS([1]مرداد!$AH$2:$AH$805,[1]مرداد!$O$2:$O$805,دمونتاژ,[1]مرداد!$D$2:$D$805,$F$53,[1]مرداد!$AC$2:$AC$805,AA3)</f>
        <v>0</v>
      </c>
      <c r="AB53" s="361" cm="1">
        <f t="array" ref="AB53">SUMIFS([1]مرداد!$AH$2:$AH$805,[1]مرداد!$O$2:$O$805,دمونتاژ,[1]مرداد!$D$2:$D$805,$F$53,[1]مرداد!$AC$2:$AC$805,AB3)</f>
        <v>0</v>
      </c>
    </row>
    <row r="54" spans="1:28" ht="33.75" customHeight="1" thickBot="1" x14ac:dyDescent="0.3">
      <c r="A54" s="967"/>
      <c r="B54" s="975"/>
      <c r="C54" s="966"/>
      <c r="D54" s="933"/>
      <c r="E54" s="933"/>
      <c r="F54" s="721"/>
      <c r="G54" s="4">
        <f t="shared" si="0"/>
        <v>0</v>
      </c>
      <c r="H54" s="765">
        <f t="shared" si="1"/>
        <v>0</v>
      </c>
      <c r="I54" s="4">
        <f t="shared" si="2"/>
        <v>0</v>
      </c>
      <c r="J54" s="25">
        <v>0</v>
      </c>
      <c r="K54" s="25">
        <v>0</v>
      </c>
      <c r="L54" s="25">
        <v>0</v>
      </c>
      <c r="M54" s="25">
        <f>SUM(G54:L54)-62</f>
        <v>-62</v>
      </c>
      <c r="N54" s="58"/>
      <c r="O54" s="294">
        <f>SUMIFS([1]مرداد!$AF$2:$AF$805,[1]مرداد!$O$2:$O$805,"نظافت",[1]مرداد!$D$2:$D$805,"*",[1]مرداد!$AC$2:$AC$805,O3)</f>
        <v>0</v>
      </c>
      <c r="P54" s="294">
        <f>SUMIFS([1]مرداد!$AF$2:$AF$805,[1]مرداد!$O$2:$O$805,"نظافت",[1]مرداد!$D$2:$D$805,"*",[1]مرداد!$AC$2:$AC$805,P3)</f>
        <v>0</v>
      </c>
      <c r="Q54" s="294">
        <f>SUMIFS([1]مرداد!$AF$2:$AF$805,[1]مرداد!$O$2:$O$805,"نظافت",[1]مرداد!$D$2:$D$805,"*",[1]مرداد!$AC$2:$AC$805,Q3)</f>
        <v>0</v>
      </c>
      <c r="R54" s="294">
        <f>SUMIFS([1]مرداد!$AF$2:$AF$805,[1]مرداد!$O$2:$O$805,"نظافت",[1]مرداد!$D$2:$D$805,"*",[1]مرداد!$AC$2:$AC$805,R3)</f>
        <v>0</v>
      </c>
      <c r="S54" s="294">
        <f>SUMIFS([1]مرداد!$AF$2:$AF$805,[1]مرداد!$O$2:$O$805,"نظافت",[1]مرداد!$D$2:$D$805,"*",[1]مرداد!$AC$2:$AC$805,S3)</f>
        <v>0</v>
      </c>
      <c r="T54" s="294">
        <f>SUMIFS([1]مرداد!$AF$2:$AF$805,[1]مرداد!$O$2:$O$805,"نظافت",[1]مرداد!$D$2:$D$805,"*",[1]مرداد!$AC$2:$AC$805,T3)</f>
        <v>0</v>
      </c>
      <c r="U54" s="805">
        <f>SUMIFS([1]مرداد!$AF$2:$AF$805,[1]مرداد!$O$2:$O$805,"نظافت",[1]مرداد!$D$2:$D$805,"*",[1]مرداد!$AC$2:$AC$805,U3)</f>
        <v>0</v>
      </c>
      <c r="V54" s="171" cm="1">
        <f t="array" ref="V54">SUMIFS([1]مرداد!$AH$2:$AH$805,[1]مرداد!$O$2:$O$805,دمونتاژ,[1]مرداد!$D$2:$D$805,$F$54,[1]مرداد!$AC$2:$AC$805,V3)</f>
        <v>0</v>
      </c>
      <c r="W54" s="294" cm="1">
        <f t="array" ref="W54">SUMIFS([1]مرداد!$AH$2:$AH$805,[1]مرداد!$O$2:$O$805,دمونتاژ,[1]مرداد!$D$2:$D$805,$F$54,[1]مرداد!$AC$2:$AC$805,W3)</f>
        <v>0</v>
      </c>
      <c r="X54" s="294" cm="1">
        <f t="array" ref="X54">SUMIFS([1]مرداد!$AH$2:$AH$805,[1]مرداد!$O$2:$O$805,دمونتاژ,[1]مرداد!$D$2:$D$805,$F$54,[1]مرداد!$AC$2:$AC$805,X3)</f>
        <v>0</v>
      </c>
      <c r="Y54" s="294" cm="1">
        <f t="array" ref="Y54">SUMIFS([1]مرداد!$AH$2:$AH$805,[1]مرداد!$O$2:$O$805,دمونتاژ,[1]مرداد!$D$2:$D$805,$F$54,[1]مرداد!$AC$2:$AC$805,Y3)</f>
        <v>0</v>
      </c>
      <c r="Z54" s="294" cm="1">
        <f t="array" ref="Z54">SUMIFS([1]مرداد!$AH$2:$AH$805,[1]مرداد!$O$2:$O$805,دمونتاژ,[1]مرداد!$D$2:$D$805,$F$54,[1]مرداد!$AC$2:$AC$805,Z3)</f>
        <v>0</v>
      </c>
      <c r="AA54" s="294" cm="1">
        <f t="array" ref="AA54">SUMIFS([1]مرداد!$AH$2:$AH$805,[1]مرداد!$O$2:$O$805,دمونتاژ,[1]مرداد!$D$2:$D$805,$F$54,[1]مرداد!$AC$2:$AC$805,AA3)</f>
        <v>0</v>
      </c>
      <c r="AB54" s="776" cm="1">
        <f t="array" ref="AB54">SUMIFS([1]مرداد!$AH$2:$AH$805,[1]مرداد!$O$2:$O$805,دمونتاژ,[1]مرداد!$D$2:$D$805,$F$54,[1]مرداد!$AC$2:$AC$805,AB3)</f>
        <v>0</v>
      </c>
    </row>
    <row r="55" spans="1:28" ht="48.75" customHeight="1" thickBot="1" x14ac:dyDescent="0.3">
      <c r="A55" s="951" t="s">
        <v>49</v>
      </c>
      <c r="B55" s="952"/>
      <c r="C55" s="952"/>
      <c r="D55" s="952"/>
      <c r="E55" s="952"/>
      <c r="F55" s="953"/>
      <c r="G55" s="148">
        <f t="shared" ref="G55:L55" si="4">SUM(G4:G54)</f>
        <v>878</v>
      </c>
      <c r="H55" s="148">
        <f t="shared" si="4"/>
        <v>5.5</v>
      </c>
      <c r="I55" s="148">
        <f t="shared" si="4"/>
        <v>51</v>
      </c>
      <c r="J55" s="148">
        <f t="shared" si="4"/>
        <v>62</v>
      </c>
      <c r="K55" s="148">
        <f t="shared" si="4"/>
        <v>0</v>
      </c>
      <c r="L55" s="148">
        <f t="shared" si="4"/>
        <v>0</v>
      </c>
      <c r="M55" s="149">
        <f>SUMIFS(M4:M54,F4:F54,"*")</f>
        <v>-692.5</v>
      </c>
      <c r="N55" s="306"/>
      <c r="O55" s="302">
        <f>SUM(O4:O54)</f>
        <v>160.5</v>
      </c>
      <c r="P55" s="198">
        <f t="shared" ref="P55:U55" si="5">SUM(P4:P54)</f>
        <v>170.5</v>
      </c>
      <c r="Q55" s="198">
        <f t="shared" si="5"/>
        <v>157.16666666666666</v>
      </c>
      <c r="R55" s="198">
        <f t="shared" si="5"/>
        <v>135.83333333333334</v>
      </c>
      <c r="S55" s="198">
        <f t="shared" si="5"/>
        <v>154.5</v>
      </c>
      <c r="T55" s="198">
        <f t="shared" si="5"/>
        <v>99.5</v>
      </c>
      <c r="U55" s="150">
        <f t="shared" si="5"/>
        <v>5.5</v>
      </c>
      <c r="V55" s="302">
        <f>SUM(V4:V54)</f>
        <v>0</v>
      </c>
      <c r="W55" s="198">
        <f t="shared" ref="W55:AB55" si="6">SUM(W4:W54)</f>
        <v>2</v>
      </c>
      <c r="X55" s="198">
        <f t="shared" si="6"/>
        <v>40.333333333333336</v>
      </c>
      <c r="Y55" s="198">
        <f t="shared" si="6"/>
        <v>6.666666666666667</v>
      </c>
      <c r="Z55" s="198">
        <f t="shared" si="6"/>
        <v>2</v>
      </c>
      <c r="AA55" s="198">
        <f t="shared" si="6"/>
        <v>0</v>
      </c>
      <c r="AB55" s="150">
        <f t="shared" si="6"/>
        <v>0</v>
      </c>
    </row>
    <row r="56" spans="1:28" x14ac:dyDescent="0.25">
      <c r="G56" s="582"/>
    </row>
    <row r="57" spans="1:28" x14ac:dyDescent="0.25">
      <c r="G57" s="660"/>
    </row>
    <row r="61" spans="1:28" x14ac:dyDescent="0.25">
      <c r="G61" s="660"/>
    </row>
  </sheetData>
  <mergeCells count="52">
    <mergeCell ref="A12:A14"/>
    <mergeCell ref="B12:B14"/>
    <mergeCell ref="C12:C14"/>
    <mergeCell ref="D12:D14"/>
    <mergeCell ref="E12:E14"/>
    <mergeCell ref="A1:L2"/>
    <mergeCell ref="O1:U2"/>
    <mergeCell ref="E4:E6"/>
    <mergeCell ref="N4:N6"/>
    <mergeCell ref="E7:E9"/>
    <mergeCell ref="A15:A16"/>
    <mergeCell ref="B15:B16"/>
    <mergeCell ref="C15:C16"/>
    <mergeCell ref="D15:D16"/>
    <mergeCell ref="E15:E16"/>
    <mergeCell ref="B30:B31"/>
    <mergeCell ref="C30:C31"/>
    <mergeCell ref="D30:D31"/>
    <mergeCell ref="E30:E31"/>
    <mergeCell ref="N30:N31"/>
    <mergeCell ref="E34:E35"/>
    <mergeCell ref="N34:N35"/>
    <mergeCell ref="N19:N21"/>
    <mergeCell ref="E23:E25"/>
    <mergeCell ref="N23:N25"/>
    <mergeCell ref="E19:E21"/>
    <mergeCell ref="E47:E50"/>
    <mergeCell ref="A51:A54"/>
    <mergeCell ref="C51:C54"/>
    <mergeCell ref="D51:D54"/>
    <mergeCell ref="E51:E54"/>
    <mergeCell ref="A34:A35"/>
    <mergeCell ref="A47:A50"/>
    <mergeCell ref="B47:B54"/>
    <mergeCell ref="C47:C50"/>
    <mergeCell ref="D47:D50"/>
    <mergeCell ref="A55:F55"/>
    <mergeCell ref="V1:AB2"/>
    <mergeCell ref="A40:A41"/>
    <mergeCell ref="E40:E41"/>
    <mergeCell ref="N40:N41"/>
    <mergeCell ref="E42:E44"/>
    <mergeCell ref="N42:N44"/>
    <mergeCell ref="A36:A37"/>
    <mergeCell ref="E36:E37"/>
    <mergeCell ref="N36:N37"/>
    <mergeCell ref="A38:A39"/>
    <mergeCell ref="E38:E39"/>
    <mergeCell ref="N38:N39"/>
    <mergeCell ref="A32:A33"/>
    <mergeCell ref="E32:E33"/>
    <mergeCell ref="N32:N33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:M8" formulaRange="1"/>
    <ignoredError sqref="G15 V28:AB31" formula="1"/>
  </ignoredErrors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604F-446B-41DC-94B6-F74C8C8536C1}">
  <sheetPr>
    <pageSetUpPr fitToPage="1"/>
  </sheetPr>
  <dimension ref="A1:AB61"/>
  <sheetViews>
    <sheetView rightToLeft="1" view="pageLayout" topLeftCell="A54" zoomScale="85" zoomScaleNormal="100" zoomScalePageLayoutView="85" workbookViewId="0">
      <selection activeCell="J3" sqref="J3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28515625" customWidth="1"/>
    <col min="15" max="19" width="6.42578125" style="52" hidden="1" customWidth="1"/>
    <col min="20" max="21" width="6.42578125" style="51" hidden="1" customWidth="1"/>
    <col min="22" max="26" width="5.5703125" hidden="1" customWidth="1"/>
    <col min="27" max="28" width="5.5703125" style="51" hidden="1" customWidth="1"/>
  </cols>
  <sheetData>
    <row r="1" spans="1:28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  <c r="V1" s="923" t="s">
        <v>215</v>
      </c>
      <c r="W1" s="923"/>
      <c r="X1" s="923"/>
      <c r="Y1" s="923"/>
      <c r="Z1" s="923"/>
      <c r="AA1" s="923"/>
      <c r="AB1" s="924"/>
    </row>
    <row r="2" spans="1:28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23</v>
      </c>
      <c r="O2" s="926"/>
      <c r="P2" s="926"/>
      <c r="Q2" s="926"/>
      <c r="R2" s="926"/>
      <c r="S2" s="926"/>
      <c r="T2" s="926"/>
      <c r="U2" s="927"/>
      <c r="V2" s="926"/>
      <c r="W2" s="926"/>
      <c r="X2" s="926"/>
      <c r="Y2" s="926"/>
      <c r="Z2" s="926"/>
      <c r="AA2" s="926"/>
      <c r="AB2" s="927"/>
    </row>
    <row r="3" spans="1:28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806" t="s">
        <v>216</v>
      </c>
      <c r="P3" s="807" t="s">
        <v>217</v>
      </c>
      <c r="Q3" s="807" t="s">
        <v>218</v>
      </c>
      <c r="R3" s="807" t="s">
        <v>219</v>
      </c>
      <c r="S3" s="807" t="s">
        <v>220</v>
      </c>
      <c r="T3" s="887" t="s">
        <v>221</v>
      </c>
      <c r="U3" s="887" t="s">
        <v>222</v>
      </c>
      <c r="V3" s="291" t="s">
        <v>216</v>
      </c>
      <c r="W3" s="291" t="s">
        <v>217</v>
      </c>
      <c r="X3" s="291" t="s">
        <v>218</v>
      </c>
      <c r="Y3" s="291" t="s">
        <v>219</v>
      </c>
      <c r="Z3" s="291" t="s">
        <v>220</v>
      </c>
      <c r="AA3" s="392" t="s">
        <v>221</v>
      </c>
      <c r="AB3" s="392" t="s">
        <v>222</v>
      </c>
    </row>
    <row r="4" spans="1:28" ht="33.75" customHeight="1" x14ac:dyDescent="0.25">
      <c r="A4" s="820"/>
      <c r="B4" s="835"/>
      <c r="C4" s="42"/>
      <c r="D4" s="842"/>
      <c r="E4" s="932" t="s">
        <v>15</v>
      </c>
      <c r="F4" s="817" t="s">
        <v>55</v>
      </c>
      <c r="G4" s="846">
        <f>SUM(O4:T4)</f>
        <v>47.5</v>
      </c>
      <c r="H4" s="46">
        <f>U4</f>
        <v>0</v>
      </c>
      <c r="I4" s="846">
        <f>SUM(V4:AB4)</f>
        <v>1</v>
      </c>
      <c r="J4" s="846">
        <v>0</v>
      </c>
      <c r="K4" s="846">
        <v>0</v>
      </c>
      <c r="L4" s="846">
        <v>0</v>
      </c>
      <c r="M4" s="28"/>
      <c r="N4" s="945" t="str">
        <f>IF(I17&gt;0,"②","")</f>
        <v>②</v>
      </c>
      <c r="O4" s="165">
        <f>SUMIFS([1]مرداد!$AF$2:$AF$805,[1]مرداد!$O$2:$O$805,7101,[1]مرداد!$D$2:$D$805,F4,[1]مرداد!$AC$2:$AC$805,$O$3)</f>
        <v>5.5</v>
      </c>
      <c r="P4" s="169">
        <f>SUMIFS([1]شهریور!$AF$2:$AF$805,[1]شهریور!$O$2:$O$805,7101,[1]شهریور!$D$2:$D$805,$F$4,[1]شهریور!$AC$2:$AC$805,P3)</f>
        <v>11</v>
      </c>
      <c r="Q4" s="169">
        <f>SUMIFS([1]شهریور!$AF$2:$AF$805,[1]شهریور!$O$2:$O$805,7101,[1]شهریور!$D$2:$D$805,$F$4,[1]شهریور!$AC$2:$AC$805,Q3)</f>
        <v>11</v>
      </c>
      <c r="R4" s="169">
        <f>SUMIFS([1]شهریور!$AF$2:$AF$805,[1]شهریور!$O$2:$O$805,7101,[1]شهریور!$D$2:$D$805,$F$4,[1]شهریور!$AC$2:$AC$805,R3)</f>
        <v>10</v>
      </c>
      <c r="S4" s="169">
        <f>SUMIFS([1]شهریور!$AF$2:$AF$805,[1]شهریور!$O$2:$O$805,7101,[1]شهریور!$D$2:$D$805,$F$4,[1]شهریور!$AC$2:$AC$805,S3)</f>
        <v>10</v>
      </c>
      <c r="T4" s="98">
        <f>SUMIFS([1]شهریور!$AF$2:$AF$805,[1]شهریور!$O$2:$O$805,7101,[1]شهریور!$D$2:$D$805,$F$4,[1]شهریور!$AC$2:$AC$805,T3)</f>
        <v>0</v>
      </c>
      <c r="U4" s="98">
        <f>SUMIFS([1]شهریور!$AF$2:$AF$805,[1]شهریور!$O$2:$O$805,7101,[1]شهریور!$D$2:$D$805,$F$4,[1]شهریور!$AC$2:$AC$805,U3)</f>
        <v>0</v>
      </c>
      <c r="V4" s="165">
        <f>SUMIFS([1]مرداد!$AH$2:$AH$805,[1]مرداد!$O$2:$O$805,7101,[1]مرداد!$D$2:$D$805,$F$4,[1]مرداد!$AC$2:$AC$805,V3)</f>
        <v>0</v>
      </c>
      <c r="W4" s="169">
        <f>SUMIFS([1]شهریور!$AH$2:$AH$805,[1]شهریور!$O$2:$O$805,7101,[1]شهریور!$D$2:$D$805,F4,[1]شهریور!$AC$2:$AC$805,$W$3)</f>
        <v>0</v>
      </c>
      <c r="X4" s="169">
        <f>SUMIFS([1]شهریور!$AH$2:$AH$805,[1]شهریور!$O$2:$O$805,7101,[1]شهریور!$D$2:$D$805,$F$4,[1]شهریور!$AC$2:$AC$805,X3)</f>
        <v>0</v>
      </c>
      <c r="Y4" s="169">
        <f>SUMIFS([1]شهریور!$AH$2:$AH$805,[1]شهریور!$O$2:$O$805,7101,[1]شهریور!$D$2:$D$805,$F$4,[1]شهریور!$AC$2:$AC$805,Y3)</f>
        <v>1</v>
      </c>
      <c r="Z4" s="169">
        <f>SUMIFS([1]شهریور!$AH$2:$AH$805,[1]شهریور!$O$2:$O$805,7101,[1]شهریور!$D$2:$D$805,$F$4,[1]شهریور!$AC$2:$AC$805,Z3)</f>
        <v>0</v>
      </c>
      <c r="AA4" s="98">
        <f>SUMIFS([1]شهریور!$AH$2:$AH$805,[1]شهریور!$O$2:$O$805,7101,[1]شهریور!$D$2:$D$805,$F$4,[1]شهریور!$AC$2:$AC$805,AA3)</f>
        <v>0</v>
      </c>
      <c r="AB4" s="98">
        <f>SUMIFS([1]شهریور!$AH$2:$AH$805,[1]شهریور!$O$2:$O$805,7101,[1]شهریور!$D$2:$D$805,$F$4,[1]شهریور!$AC$2:$AC$805,AB3)</f>
        <v>0</v>
      </c>
    </row>
    <row r="5" spans="1:28" ht="33.75" customHeight="1" x14ac:dyDescent="0.25">
      <c r="A5" s="821">
        <v>1</v>
      </c>
      <c r="B5" s="829" t="s">
        <v>14</v>
      </c>
      <c r="C5" s="815">
        <v>7101</v>
      </c>
      <c r="D5" s="843">
        <f>62.5-7.5</f>
        <v>55</v>
      </c>
      <c r="E5" s="1003"/>
      <c r="F5" s="827" t="s">
        <v>12</v>
      </c>
      <c r="G5" s="3">
        <f t="shared" ref="G5:G47" si="0">SUM(O5:T5)</f>
        <v>0</v>
      </c>
      <c r="H5" s="47">
        <f t="shared" ref="H5:H54" si="1">U5</f>
        <v>0</v>
      </c>
      <c r="I5" s="3">
        <f t="shared" ref="I5:I54" si="2">SUM(V5:AB5)</f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-6.5</v>
      </c>
      <c r="N5" s="929"/>
      <c r="O5" s="166">
        <f>SUMIFS([1]مرداد!$AF$2:$AF$805,[1]مرداد!$O$2:$O$805,7101,[1]مرداد!$D$2:$D$805,$F$5,[1]مرداد!$AC$2:$AC$805,O3)</f>
        <v>0</v>
      </c>
      <c r="P5" s="168">
        <f>SUMIFS([1]مرداد!$AF$2:$AF$805,[1]مرداد!$O$2:$O$805,7101,[1]مرداد!$D$2:$D$805,$F$5,[1]مرداد!$AC$2:$AC$805,P3)</f>
        <v>0</v>
      </c>
      <c r="Q5" s="168">
        <f>SUMIFS([1]مرداد!$AF$2:$AF$805,[1]مرداد!$O$2:$O$805,7101,[1]مرداد!$D$2:$D$805,$F$5,[1]مرداد!$AC$2:$AC$805,Q3)</f>
        <v>0</v>
      </c>
      <c r="R5" s="168">
        <f>SUMIFS([1]مرداد!$AF$2:$AF$805,[1]مرداد!$O$2:$O$805,7101,[1]مرداد!$D$2:$D$805,$F$5,[1]مرداد!$AC$2:$AC$805,R3)</f>
        <v>0</v>
      </c>
      <c r="S5" s="168">
        <f>SUMIFS([1]مرداد!$AF$2:$AF$805,[1]مرداد!$O$2:$O$805,7101,[1]مرداد!$D$2:$D$805,$F$5,[1]مرداد!$AC$2:$AC$805,S3)</f>
        <v>0</v>
      </c>
      <c r="T5" s="96">
        <f>SUMIFS([1]مرداد!$AF$2:$AF$805,[1]مرداد!$O$2:$O$805,7101,[1]مرداد!$D$2:$D$805,$F$5,[1]مرداد!$AC$2:$AC$805,T3)</f>
        <v>0</v>
      </c>
      <c r="U5" s="800">
        <f>SUMIFS([1]مرداد!$AF$2:$AF$805,[1]مرداد!$O$2:$O$805,7101,[1]مرداد!$D$2:$D$805,$F$5,[1]مرداد!$AC$2:$AC$805,U3)</f>
        <v>0</v>
      </c>
      <c r="V5" s="166">
        <f>SUMIFS([1]مرداد!$AH$2:$AH$805,[1]مرداد!$O$2:$O$805,7101,[1]مرداد!$D$2:$D$805,$F$5,[1]مرداد!$AC$2:$AC$805,V3)</f>
        <v>0</v>
      </c>
      <c r="W5" s="174">
        <f>SUMIFS([1]شهریور!$AH$2:$AH$805,[1]شهریور!$O$2:$O$805,7101,[1]شهریور!$D$2:$D$805,$F$5,[1]شهریور!$AC$2:$AC$805,W3)</f>
        <v>0</v>
      </c>
      <c r="X5" s="174">
        <f>SUMIFS([1]شهریور!$AH$2:$AH$805,[1]شهریور!$O$2:$O$805,7101,[1]شهریور!$D$2:$D$805,$F$5,[1]شهریور!$AC$2:$AC$805,X3)</f>
        <v>0</v>
      </c>
      <c r="Y5" s="174">
        <f>SUMIFS([1]شهریور!$AH$2:$AH$805,[1]شهریور!$O$2:$O$805,7101,[1]شهریور!$D$2:$D$805,$F$5,[1]شهریور!$AC$2:$AC$805,Y3)</f>
        <v>0</v>
      </c>
      <c r="Z5" s="174">
        <f>SUMIFS([1]شهریور!$AH$2:$AH$805,[1]شهریور!$O$2:$O$805,7101,[1]شهریور!$D$2:$D$805,$F$5,[1]شهریور!$AC$2:$AC$805,Z3)</f>
        <v>0</v>
      </c>
      <c r="AA5" s="537">
        <f>SUMIFS([1]شهریور!$AH$2:$AH$805,[1]شهریور!$O$2:$O$805,7101,[1]شهریور!$D$2:$D$805,$F$5,[1]شهریور!$AC$2:$AC$805,AA3)</f>
        <v>0</v>
      </c>
      <c r="AB5" s="537">
        <f>SUMIFS([1]شهریور!$AH$2:$AH$805,[1]شهریور!$O$2:$O$805,7101,[1]شهریور!$D$2:$D$805,$F$5,[1]شهریور!$AC$2:$AC$805,AB3)</f>
        <v>0</v>
      </c>
    </row>
    <row r="6" spans="1:28" ht="33.75" customHeight="1" thickBot="1" x14ac:dyDescent="0.3">
      <c r="A6" s="822"/>
      <c r="B6" s="88"/>
      <c r="C6" s="43"/>
      <c r="D6" s="816"/>
      <c r="E6" s="934"/>
      <c r="F6" s="5"/>
      <c r="G6" s="6">
        <f t="shared" si="0"/>
        <v>0</v>
      </c>
      <c r="H6" s="761">
        <f t="shared" si="1"/>
        <v>0</v>
      </c>
      <c r="I6" s="1">
        <f t="shared" si="2"/>
        <v>0</v>
      </c>
      <c r="J6" s="7">
        <v>0</v>
      </c>
      <c r="K6" s="6">
        <v>0</v>
      </c>
      <c r="L6" s="6">
        <v>0</v>
      </c>
      <c r="M6" s="8"/>
      <c r="N6" s="930"/>
      <c r="O6" s="171">
        <f>SUMIFS([1]مرداد!$AF$2:$AF$805,[1]مرداد!$O$2:$O$805,7101,[1]مرداد!$D$2:$D$805,$F$6,[1]مرداد!$AC$2:$AC$805,O3)</f>
        <v>0</v>
      </c>
      <c r="P6" s="172">
        <f>SUMIFS([1]مرداد!$AF$2:$AF$805,[1]مرداد!$O$2:$O$805,7101,[1]مرداد!$D$2:$D$805,$F$6,[1]مرداد!$AC$2:$AC$805,P3)</f>
        <v>0</v>
      </c>
      <c r="Q6" s="172">
        <f>SUMIFS([1]مرداد!$AF$2:$AF$805,[1]مرداد!$O$2:$O$805,7101,[1]مرداد!$D$2:$D$805,$F$6,[1]مرداد!$AC$2:$AC$805,Q3)</f>
        <v>0</v>
      </c>
      <c r="R6" s="172">
        <f>SUMIFS([1]مرداد!$AF$2:$AF$805,[1]مرداد!$O$2:$O$805,7101,[1]مرداد!$D$2:$D$805,$F$6,[1]مرداد!$AC$2:$AC$805,R3)</f>
        <v>0</v>
      </c>
      <c r="S6" s="172">
        <f>SUMIFS([1]مرداد!$AF$2:$AF$805,[1]مرداد!$O$2:$O$805,7101,[1]مرداد!$D$2:$D$805,$F$6,[1]مرداد!$AC$2:$AC$805,S3)</f>
        <v>0</v>
      </c>
      <c r="T6" s="103">
        <f>SUMIFS([1]مرداد!$AF$2:$AF$805,[1]مرداد!$O$2:$O$805,7101,[1]مرداد!$D$2:$D$805,$F$6,[1]مرداد!$AC$2:$AC$805,T3)</f>
        <v>0</v>
      </c>
      <c r="U6" s="802">
        <f>SUMIFS([1]مرداد!$AF$2:$AF$805,[1]مرداد!$O$2:$O$805,7101,[1]مرداد!$D$2:$D$805,$F$6,[1]مرداد!$AC$2:$AC$805,U3)</f>
        <v>0</v>
      </c>
      <c r="V6" s="171">
        <f>SUMIFS([1]مرداد!$AH$2:$AH$805,[1]مرداد!$O$2:$O$805,7101,[1]مرداد!$D$2:$D$805,$F$6,[1]مرداد!$AC$2:$AC$805,V3)</f>
        <v>0</v>
      </c>
      <c r="W6" s="174">
        <f>SUMIFS([1]شهریور!$AH$2:$AH$805,[1]شهریور!$O$2:$O$805,7101,[1]شهریور!$D$2:$D$805,F6,[1]شهریور!$AC$2:$AC$805,$W$3)</f>
        <v>0</v>
      </c>
      <c r="X6" s="174">
        <f>SUMIFS([1]شهریور!$AH$2:$AH$805,[1]شهریور!$O$2:$O$805,7101,[1]شهریور!$D$2:$D$805,G6,[1]شهریور!$AC$2:$AC$805,$W$3)</f>
        <v>0</v>
      </c>
      <c r="Y6" s="174">
        <f>SUMIFS([1]شهریور!$AH$2:$AH$805,[1]شهریور!$O$2:$O$805,7101,[1]شهریور!$D$2:$D$805,H6,[1]شهریور!$AC$2:$AC$805,$W$3)</f>
        <v>0</v>
      </c>
      <c r="Z6" s="172">
        <f>SUMIFS([1]مرداد!$AH$2:$AH$805,[1]مرداد!$O$2:$O$805,7101,[1]مرداد!$D$2:$D$805,$F$6,[1]مرداد!$AC$2:$AC$805,Z3)</f>
        <v>0</v>
      </c>
      <c r="AA6" s="103">
        <f>SUMIFS([1]مرداد!$AH$2:$AH$805,[1]مرداد!$O$2:$O$805,7101,[1]مرداد!$D$2:$D$805,$F$6,[1]مرداد!$AC$2:$AC$805,AA3)</f>
        <v>0</v>
      </c>
      <c r="AB6" s="109">
        <f>SUMIFS([1]مرداد!$AH$2:$AH$805,[1]مرداد!$O$2:$O$805,7101,[1]مرداد!$D$2:$D$805,$F$6,[1]مرداد!$AC$2:$AC$805,AB3)</f>
        <v>0</v>
      </c>
    </row>
    <row r="7" spans="1:28" ht="33.75" customHeight="1" x14ac:dyDescent="0.25">
      <c r="A7" s="839"/>
      <c r="B7" s="835"/>
      <c r="C7" s="42"/>
      <c r="D7" s="814"/>
      <c r="E7" s="932" t="s">
        <v>15</v>
      </c>
      <c r="F7" s="20" t="s">
        <v>20</v>
      </c>
      <c r="G7" s="846">
        <f t="shared" si="0"/>
        <v>44</v>
      </c>
      <c r="H7" s="46">
        <f t="shared" si="1"/>
        <v>0</v>
      </c>
      <c r="I7" s="846">
        <f t="shared" si="2"/>
        <v>0</v>
      </c>
      <c r="J7" s="846">
        <v>0</v>
      </c>
      <c r="K7" s="846">
        <v>0</v>
      </c>
      <c r="L7" s="846">
        <v>0</v>
      </c>
      <c r="M7" s="10"/>
      <c r="N7" s="819"/>
      <c r="O7" s="292">
        <f>SUMIFS([1]مرداد!$AF$2:$AF$805,[1]مرداد!$O$2:$O$805,7102,[1]مرداد!$D$2:$D$805,$F$7,[1]مرداد!$AC$2:$AC$805,O3)</f>
        <v>11</v>
      </c>
      <c r="P7" s="169">
        <f>SUMIFS([1]شهریور!$AF$2:$AF$805,[1]شهریور!$O$2:$O$805,7102,[1]شهریور!$D$2:$D$805,F7,[1]شهریور!$AC$2:$AC$805,$P$3)</f>
        <v>11</v>
      </c>
      <c r="Q7" s="292">
        <f>SUMIFS([1]شهریور!$AF$2:$AF$805,[1]شهریور!$O$2:$O$805,7102,[1]شهریور!$D$2:$D$805,$F$7,[1]شهریور!$AC$2:$AC$805,Q3)</f>
        <v>0</v>
      </c>
      <c r="R7" s="292">
        <f>SUMIFS([1]شهریور!$AF$2:$AF$805,[1]شهریور!$O$2:$O$805,7102,[1]شهریور!$D$2:$D$805,$F$7,[1]شهریور!$AC$2:$AC$805,R3)</f>
        <v>11</v>
      </c>
      <c r="S7" s="292">
        <f>SUMIFS([1]شهریور!$AF$2:$AF$805,[1]شهریور!$O$2:$O$805,7102,[1]شهریور!$D$2:$D$805,$F$7,[1]شهریور!$AC$2:$AC$805,S3)</f>
        <v>11</v>
      </c>
      <c r="T7" s="393">
        <f>SUMIFS([1]شهریور!$AF$2:$AF$805,[1]شهریور!$O$2:$O$805,7102,[1]شهریور!$D$2:$D$805,$F$7,[1]شهریور!$AC$2:$AC$805,T3)</f>
        <v>0</v>
      </c>
      <c r="U7" s="393">
        <f>SUMIFS([1]شهریور!$AF$2:$AF$805,[1]شهریور!$O$2:$O$805,7102,[1]شهریور!$D$2:$D$805,$F$7,[1]شهریور!$AC$2:$AC$805,U3)</f>
        <v>0</v>
      </c>
      <c r="V7" s="165">
        <f>SUMIFS([1]مرداد!$AH$2:$AH$805,[1]مرداد!$O$2:$O$805,7101,[1]مرداد!$D$2:$D$805,$F$7,[1]مرداد!$AC$2:$AC$805,V3)</f>
        <v>0</v>
      </c>
      <c r="W7" s="292">
        <f>SUMIFS([1]شهریور!$AH$2:$AH$805,[1]شهریور!$O$2:$O$805,7101,[1]شهریور!$D$2:$D$805,F7,[1]شهریور!$AC$2:$AC$805,$W$3)</f>
        <v>0</v>
      </c>
      <c r="X7" s="292">
        <f>SUMIFS([1]مرداد!$AH$2:$AH$805,[1]مرداد!$O$2:$O$805,7102,[1]مرداد!$D$2:$D$805,$F$7,[1]مرداد!$AC$2:$AC$805,X3)</f>
        <v>0</v>
      </c>
      <c r="Y7" s="292">
        <f>SUMIFS([1]مرداد!$AH$2:$AH$805,[1]مرداد!$O$2:$O$805,7102,[1]مرداد!$D$2:$D$805,$F$7,[1]مرداد!$AC$2:$AC$805,Y3)</f>
        <v>0</v>
      </c>
      <c r="Z7" s="292">
        <f>SUMIFS([1]مرداد!$AH$2:$AH$805,[1]مرداد!$O$2:$O$805,7102,[1]مرداد!$D$2:$D$805,$F$7,[1]مرداد!$AC$2:$AC$805,Z3)</f>
        <v>0</v>
      </c>
      <c r="AA7" s="393">
        <f>SUMIFS([1]مرداد!$AH$2:$AH$805,[1]مرداد!$O$2:$O$805,7102,[1]مرداد!$D$2:$D$805,$F$7,[1]مرداد!$AC$2:$AC$805,AA3)</f>
        <v>0</v>
      </c>
      <c r="AB7" s="454">
        <f>SUMIFS([1]مرداد!$AH$2:$AH$805,[1]مرداد!$O$2:$O$805,7102,[1]مرداد!$D$2:$D$805,$F$7,[1]مرداد!$AC$2:$AC$805,AB3)</f>
        <v>0</v>
      </c>
    </row>
    <row r="8" spans="1:28" ht="33.75" customHeight="1" x14ac:dyDescent="0.25">
      <c r="A8" s="839">
        <v>2</v>
      </c>
      <c r="B8" s="829" t="s">
        <v>14</v>
      </c>
      <c r="C8" s="815">
        <v>7102</v>
      </c>
      <c r="D8" s="586">
        <v>55</v>
      </c>
      <c r="E8" s="1003"/>
      <c r="F8" s="832"/>
      <c r="G8" s="3">
        <f t="shared" si="0"/>
        <v>0</v>
      </c>
      <c r="H8" s="47">
        <f t="shared" si="1"/>
        <v>0</v>
      </c>
      <c r="I8" s="3">
        <f t="shared" si="2"/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-11</v>
      </c>
      <c r="N8" s="812"/>
      <c r="O8" s="293">
        <f>SUMIFS([1]اردیبهشت!$AD$2:$AD$600,[1]اردیبهشت!$N$2:$N$600,7102,[1]اردیبهشت!$D$2:$D$600,$F$8,[1]اردیبهشت!$AA$2:$AA$600,O3)</f>
        <v>0</v>
      </c>
      <c r="P8" s="168">
        <f>SUMIFS([1]شهریور!$AF$2:$AF$805,[1]شهریور!$O$2:$O$805,7102,[1]شهریور!$D$2:$D$805,$F$8,[1]شهریور!$AC$2:$AC$805,P3)</f>
        <v>0</v>
      </c>
      <c r="Q8" s="168">
        <f>SUMIFS([1]شهریور!$AF$2:$AF$805,[1]شهریور!$O$2:$O$805,7102,[1]شهریور!$D$2:$D$805,$F$8,[1]شهریور!$AC$2:$AC$805,Q3)</f>
        <v>0</v>
      </c>
      <c r="R8" s="168">
        <f>SUMIFS([1]شهریور!$AF$2:$AF$805,[1]شهریور!$O$2:$O$805,7102,[1]شهریور!$D$2:$D$805,$F$8,[1]شهریور!$AC$2:$AC$805,R3)</f>
        <v>0</v>
      </c>
      <c r="S8" s="168">
        <f>SUMIFS([1]شهریور!$AF$2:$AF$805,[1]شهریور!$O$2:$O$805,7102,[1]شهریور!$D$2:$D$805,$F$8,[1]شهریور!$AC$2:$AC$805,S3)</f>
        <v>0</v>
      </c>
      <c r="T8" s="96">
        <f>SUMIFS([1]شهریور!$AF$2:$AF$805,[1]شهریور!$O$2:$O$805,7102,[1]شهریور!$D$2:$D$805,$F$8,[1]شهریور!$AC$2:$AC$805,T3)</f>
        <v>0</v>
      </c>
      <c r="U8" s="96">
        <f>SUMIFS([1]شهریور!$AF$2:$AF$805,[1]شهریور!$O$2:$O$805,7102,[1]شهریور!$D$2:$D$805,$F$8,[1]شهریور!$AC$2:$AC$805,U3)</f>
        <v>0</v>
      </c>
      <c r="V8" s="166">
        <f>SUMIFS([1]مرداد!$AH$2:$AH$805,[1]مرداد!$O$2:$O$805,7102,[1]مرداد!$D$2:$D$805,$F$8,[1]مرداد!$AC$2:$AC$805,V3)</f>
        <v>0</v>
      </c>
      <c r="W8" s="293">
        <f>SUMIFS([1]مرداد!$AH$2:$AH$805,[1]مرداد!$O$2:$O$805,7102,[1]مرداد!$D$2:$D$805,$F$8,[1]مرداد!$AC$2:$AC$805,W3)</f>
        <v>0</v>
      </c>
      <c r="X8" s="293">
        <f>SUMIFS([1]مرداد!$AH$2:$AH$805,[1]مرداد!$O$2:$O$805,7102,[1]مرداد!$D$2:$D$805,$F$8,[1]مرداد!$AC$2:$AC$805,X3)</f>
        <v>0</v>
      </c>
      <c r="Y8" s="293">
        <f>SUMIFS([1]مرداد!$AH$2:$AH$805,[1]مرداد!$O$2:$O$805,7102,[1]مرداد!$D$2:$D$805,$F$8,[1]مرداد!$AC$2:$AC$805,Y3)</f>
        <v>0</v>
      </c>
      <c r="Z8" s="293">
        <f>SUMIFS([1]مرداد!$AH$2:$AH$805,[1]مرداد!$O$2:$O$805,7102,[1]مرداد!$D$2:$D$805,$F$8,[1]مرداد!$AC$2:$AC$805,Z3)</f>
        <v>0</v>
      </c>
      <c r="AA8" s="891">
        <f>SUMIFS([1]مرداد!$AH$2:$AH$805,[1]مرداد!$O$2:$O$805,7102,[1]مرداد!$D$2:$D$805,$F$8,[1]مرداد!$AC$2:$AC$805,AA3)</f>
        <v>0</v>
      </c>
      <c r="AB8" s="901">
        <f>SUMIFS([1]مرداد!$AH$2:$AH$805,[1]مرداد!$O$2:$O$805,7102,[1]مرداد!$D$2:$D$805,$F$8,[1]مرداد!$AC$2:$AC$805,AB3)</f>
        <v>0</v>
      </c>
    </row>
    <row r="9" spans="1:28" ht="33.75" customHeight="1" thickBot="1" x14ac:dyDescent="0.3">
      <c r="A9" s="839"/>
      <c r="B9" s="837"/>
      <c r="C9" s="43"/>
      <c r="D9" s="816"/>
      <c r="E9" s="934"/>
      <c r="F9" s="5"/>
      <c r="G9" s="6">
        <f t="shared" si="0"/>
        <v>0</v>
      </c>
      <c r="H9" s="761">
        <f t="shared" si="1"/>
        <v>0</v>
      </c>
      <c r="I9" s="1">
        <f t="shared" si="2"/>
        <v>0</v>
      </c>
      <c r="J9" s="7">
        <v>0</v>
      </c>
      <c r="K9" s="6">
        <v>0</v>
      </c>
      <c r="L9" s="6">
        <v>0</v>
      </c>
      <c r="M9" s="11"/>
      <c r="N9" s="813"/>
      <c r="O9" s="294">
        <f>SUMIFS([1]اردیبهشت!$AD$2:$AD$600,[1]اردیبهشت!$N$2:$N$600,7102,[1]اردیبهشت!$D$2:$D$600,$F$9,[1]اردیبهشت!$AA$2:$AA$600,O3)</f>
        <v>0</v>
      </c>
      <c r="P9" s="356">
        <f>SUMIFS([1]شهریور!$AF$2:$AF$805,[1]شهریور!$O$2:$O$805,7102,[1]شهریور!$D$2:$D$805,$F$9,[1]شهریور!$AC$2:$AC$805,P3)</f>
        <v>0</v>
      </c>
      <c r="Q9" s="356">
        <f>SUMIFS([1]شهریور!$AF$2:$AF$805,[1]شهریور!$O$2:$O$805,7102,[1]شهریور!$D$2:$D$805,$F$9,[1]شهریور!$AC$2:$AC$805,Q3)</f>
        <v>0</v>
      </c>
      <c r="R9" s="356">
        <f>SUMIFS([1]شهریور!$AF$2:$AF$805,[1]شهریور!$O$2:$O$805,7102,[1]شهریور!$D$2:$D$805,$F$9,[1]شهریور!$AC$2:$AC$805,R3)</f>
        <v>0</v>
      </c>
      <c r="S9" s="356">
        <f>SUMIFS([1]شهریور!$AF$2:$AF$805,[1]شهریور!$O$2:$O$805,7102,[1]شهریور!$D$2:$D$805,$F$9,[1]شهریور!$AC$2:$AC$805,S3)</f>
        <v>0</v>
      </c>
      <c r="T9" s="395">
        <f>SUMIFS([1]شهریور!$AF$2:$AF$805,[1]شهریور!$O$2:$O$805,7102,[1]شهریور!$D$2:$D$805,$F$9,[1]شهریور!$AC$2:$AC$805,T3)</f>
        <v>0</v>
      </c>
      <c r="U9" s="395">
        <f>SUMIFS([1]شهریور!$AF$2:$AF$805,[1]شهریور!$O$2:$O$805,7102,[1]شهریور!$D$2:$D$805,$F$9,[1]شهریور!$AC$2:$AC$805,U3)</f>
        <v>0</v>
      </c>
      <c r="V9" s="171">
        <f>SUMIFS([1]مرداد!$AH$2:$AH$805,[1]مرداد!$O$2:$O$805,7102,[1]مرداد!$D$2:$D$805,$F$9,[1]مرداد!$AC$2:$AC$805,V3)</f>
        <v>0</v>
      </c>
      <c r="W9" s="294">
        <f>SUMIFS([1]مرداد!$AH$2:$AH$805,[1]مرداد!$O$2:$O$805,7102,[1]مرداد!$D$2:$D$805,$F$9,[1]مرداد!$AC$2:$AC$805,W3)</f>
        <v>0</v>
      </c>
      <c r="X9" s="294">
        <f>SUMIFS([1]مرداد!$AH$2:$AH$805,[1]مرداد!$O$2:$O$805,7102,[1]مرداد!$D$2:$D$805,$F$9,[1]مرداد!$AC$2:$AC$805,X3)</f>
        <v>0</v>
      </c>
      <c r="Y9" s="294">
        <f>SUMIFS([1]مرداد!$AH$2:$AH$805,[1]مرداد!$O$2:$O$805,7102,[1]مرداد!$D$2:$D$805,$F$9,[1]مرداد!$AC$2:$AC$805,Y3)</f>
        <v>0</v>
      </c>
      <c r="Z9" s="294">
        <f>SUMIFS([1]مرداد!$AH$2:$AH$805,[1]مرداد!$O$2:$O$805,7102,[1]مرداد!$D$2:$D$805,$F$9,[1]مرداد!$AC$2:$AC$805,Z3)</f>
        <v>0</v>
      </c>
      <c r="AA9" s="904">
        <f>SUMIFS([1]مرداد!$AH$2:$AH$805,[1]مرداد!$O$2:$O$805,7102,[1]مرداد!$D$2:$D$805,$F$9,[1]مرداد!$AC$2:$AC$805,AA3)</f>
        <v>0</v>
      </c>
      <c r="AB9" s="700">
        <f>SUMIFS([1]مرداد!$AH$2:$AH$805,[1]مرداد!$O$2:$O$805,7102,[1]مرداد!$D$2:$D$805,$F$9,[1]مرداد!$AC$2:$AC$805,AB3)</f>
        <v>0</v>
      </c>
    </row>
    <row r="10" spans="1:28" ht="33.75" customHeight="1" thickBot="1" x14ac:dyDescent="0.3">
      <c r="A10" s="45">
        <v>3</v>
      </c>
      <c r="B10" s="12" t="s">
        <v>14</v>
      </c>
      <c r="C10" s="13">
        <v>7103</v>
      </c>
      <c r="D10" s="283">
        <v>44</v>
      </c>
      <c r="E10" s="13" t="s">
        <v>15</v>
      </c>
      <c r="F10" s="13" t="s">
        <v>12</v>
      </c>
      <c r="G10" s="14">
        <f t="shared" si="0"/>
        <v>32.5</v>
      </c>
      <c r="H10" s="48">
        <f t="shared" si="1"/>
        <v>0</v>
      </c>
      <c r="I10" s="846">
        <f t="shared" si="2"/>
        <v>0</v>
      </c>
      <c r="J10" s="14">
        <v>0</v>
      </c>
      <c r="K10" s="14">
        <v>0</v>
      </c>
      <c r="L10" s="14">
        <v>0</v>
      </c>
      <c r="M10" s="14">
        <f>SUM(G10:L10)-64</f>
        <v>-31.5</v>
      </c>
      <c r="N10" s="61"/>
      <c r="O10" s="295">
        <f>SUMIFS([1]مرداد!$AF$2:$AF$805,[1]مرداد!$O$2:$O$805,7103,[1]مرداد!$D$2:$D$805,$F$10,[1]مرداد!$AC$2:$AC$805,O3)</f>
        <v>6.5</v>
      </c>
      <c r="P10" s="295">
        <f>SUMIFS([1]شهریور!$AF$2:$AF$805,[1]شهریور!$O$2:$O$805,7103,[1]شهریور!$D$2:$D$805,$F$10,[1]شهریور!$AC$2:$AC$805,P3)</f>
        <v>6.5</v>
      </c>
      <c r="Q10" s="295">
        <f>SUMIFS([1]شهریور!$AF$2:$AF$805,[1]شهریور!$O$2:$O$805,7103,[1]شهریور!$D$2:$D$805,$F$10,[1]شهریور!$AC$2:$AC$805,Q3)</f>
        <v>6.5</v>
      </c>
      <c r="R10" s="295">
        <f>SUMIFS([1]شهریور!$AF$2:$AF$805,[1]شهریور!$O$2:$O$805,7103,[1]شهریور!$D$2:$D$805,$F$10,[1]شهریور!$AC$2:$AC$805,R3)</f>
        <v>6.5</v>
      </c>
      <c r="S10" s="295">
        <f>SUMIFS([1]شهریور!$AF$2:$AF$805,[1]شهریور!$O$2:$O$805,7103,[1]شهریور!$D$2:$D$805,$F$10,[1]شهریور!$AC$2:$AC$805,S3)</f>
        <v>6.5</v>
      </c>
      <c r="T10" s="456">
        <f>SUMIFS([1]شهریور!$AF$2:$AF$805,[1]شهریور!$O$2:$O$805,7103,[1]شهریور!$D$2:$D$805,$F$10,[1]شهریور!$AC$2:$AC$805,T3)</f>
        <v>0</v>
      </c>
      <c r="U10" s="456">
        <f>SUMIFS([1]شهریور!$AF$2:$AF$805,[1]شهریور!$O$2:$O$805,7103,[1]شهریور!$D$2:$D$805,$F$10,[1]شهریور!$AC$2:$AC$805,U3)</f>
        <v>0</v>
      </c>
      <c r="V10" s="176">
        <f>SUMIFS([1]مرداد!$AH$2:$AH$805,[1]مرداد!$O$2:$O$805,7103,[1]مرداد!$D$2:$D$805,$F$10,[1]مرداد!$AC$2:$AC$805,V3)</f>
        <v>0</v>
      </c>
      <c r="W10" s="295">
        <f>SUMIFS([1]مرداد!$AH$2:$AH$805,[1]مرداد!$O$2:$O$805,7103,[1]مرداد!$D$2:$D$805,$F$10,[1]مرداد!$AC$2:$AC$805,W3)</f>
        <v>0</v>
      </c>
      <c r="X10" s="295">
        <f>SUMIFS([1]مرداد!$AH$2:$AH$805,[1]مرداد!$O$2:$O$805,7103,[1]مرداد!$D$2:$D$805,$F$10,[1]مرداد!$AC$2:$AC$805,X3)</f>
        <v>0</v>
      </c>
      <c r="Y10" s="295">
        <f>SUMIFS([1]مرداد!$AH$2:$AH$805,[1]مرداد!$O$2:$O$805,7103,[1]مرداد!$D$2:$D$805,$F$10,[1]مرداد!$AC$2:$AC$805,Y3)</f>
        <v>0</v>
      </c>
      <c r="Z10" s="295">
        <f>SUMIFS([1]مرداد!$AH$2:$AH$805,[1]مرداد!$O$2:$O$805,7103,[1]مرداد!$D$2:$D$805,$F$10,[1]مرداد!$AC$2:$AC$805,Z3)</f>
        <v>0</v>
      </c>
      <c r="AA10" s="456">
        <f>SUMIFS([1]مرداد!$AH$2:$AH$805,[1]مرداد!$O$2:$O$805,7103,[1]مرداد!$D$2:$D$805,$F$10,[1]مرداد!$AC$2:$AC$805,AA3)</f>
        <v>0</v>
      </c>
      <c r="AB10" s="701">
        <f>SUMIFS([1]مرداد!$AH$2:$AH$805,[1]مرداد!$O$2:$O$805,7103,[1]مرداد!$D$2:$D$805,$F$10,[1]مرداد!$AC$2:$AC$805,AB3)</f>
        <v>0</v>
      </c>
    </row>
    <row r="11" spans="1:28" ht="33.75" customHeight="1" thickBot="1" x14ac:dyDescent="0.3">
      <c r="A11" s="839">
        <v>4</v>
      </c>
      <c r="B11" s="82" t="s">
        <v>18</v>
      </c>
      <c r="C11" s="72">
        <v>7201</v>
      </c>
      <c r="D11" s="72">
        <v>55</v>
      </c>
      <c r="E11" s="72" t="s">
        <v>19</v>
      </c>
      <c r="F11" s="73"/>
      <c r="G11" s="14">
        <f t="shared" si="0"/>
        <v>0</v>
      </c>
      <c r="H11" s="48">
        <f t="shared" si="1"/>
        <v>0</v>
      </c>
      <c r="I11" s="846">
        <f t="shared" si="2"/>
        <v>0</v>
      </c>
      <c r="J11" s="74">
        <v>55</v>
      </c>
      <c r="K11" s="74">
        <v>0</v>
      </c>
      <c r="L11" s="74">
        <v>0</v>
      </c>
      <c r="M11" s="74">
        <f>SUM(G11:J11)-62</f>
        <v>-7</v>
      </c>
      <c r="N11" s="75" t="str">
        <f>IF(J11&gt;0,"③","")</f>
        <v>③</v>
      </c>
      <c r="O11" s="762"/>
      <c r="P11" s="285"/>
      <c r="Q11" s="285"/>
      <c r="R11" s="285"/>
      <c r="S11" s="285"/>
      <c r="T11" s="888"/>
      <c r="U11" s="139"/>
      <c r="V11" s="784"/>
      <c r="W11" s="785"/>
      <c r="X11" s="785"/>
      <c r="Y11" s="785"/>
      <c r="Z11" s="785"/>
      <c r="AA11" s="906"/>
      <c r="AB11" s="786"/>
    </row>
    <row r="12" spans="1:28" ht="33.75" customHeight="1" x14ac:dyDescent="0.25">
      <c r="A12" s="985">
        <v>5</v>
      </c>
      <c r="B12" s="974" t="s">
        <v>18</v>
      </c>
      <c r="C12" s="932">
        <v>7202</v>
      </c>
      <c r="D12" s="932">
        <v>55</v>
      </c>
      <c r="E12" s="932" t="s">
        <v>15</v>
      </c>
      <c r="F12" s="574" t="s">
        <v>199</v>
      </c>
      <c r="G12" s="21">
        <f t="shared" si="0"/>
        <v>55</v>
      </c>
      <c r="H12" s="46">
        <f t="shared" si="1"/>
        <v>0</v>
      </c>
      <c r="I12" s="846">
        <f t="shared" si="2"/>
        <v>0</v>
      </c>
      <c r="J12" s="21">
        <v>0</v>
      </c>
      <c r="K12" s="21">
        <v>0</v>
      </c>
      <c r="L12" s="21">
        <v>0</v>
      </c>
      <c r="M12" s="21"/>
      <c r="N12" s="811"/>
      <c r="O12" s="179">
        <f>SUMIFS([1]مرداد!$AF$2:$AF$805,[1]مرداد!$O$2:$O$805,7202,[1]مرداد!$D$2:$D$805,F12,[1]مرداد!$AC$2:$AC$805,$O$3)</f>
        <v>11</v>
      </c>
      <c r="P12" s="186">
        <f>SUMIFS([1]شهریور!$AF$2:$AF$805,[1]شهریور!$O$2:$O$805,7202,[1]شهریور!$D$2:$D$805,F12,[1]شهریور!$AC$2:$AC$805,$P$3)</f>
        <v>11</v>
      </c>
      <c r="Q12" s="186">
        <f>SUMIFS([1]شهریور!$AF$2:$AF$805,[1]شهریور!$O$2:$O$805,7202,[1]شهریور!$D$2:$D$805,$F$12,[1]شهریور!$AC$2:$AC$805,Q3)</f>
        <v>11</v>
      </c>
      <c r="R12" s="186">
        <f>SUMIFS([1]شهریور!$AF$2:$AF$805,[1]شهریور!$O$2:$O$805,7202,[1]شهریور!$D$2:$D$805,$F$12,[1]شهریور!$AC$2:$AC$805,R3)</f>
        <v>11</v>
      </c>
      <c r="S12" s="186">
        <f>SUMIFS([1]شهریور!$AF$2:$AF$805,[1]شهریور!$O$2:$O$805,7202,[1]شهریور!$D$2:$D$805,$F$12,[1]شهریور!$AC$2:$AC$805,S3)</f>
        <v>11</v>
      </c>
      <c r="T12" s="106">
        <f>SUMIFS([1]شهریور!$AF$2:$AF$805,[1]شهریور!$O$2:$O$805,7202,[1]شهریور!$D$2:$D$805,$F$12,[1]شهریور!$AC$2:$AC$805,T3)</f>
        <v>0</v>
      </c>
      <c r="U12" s="118">
        <f>SUMIFS([1]شهریور!$AF$2:$AF$805,[1]شهریور!$O$2:$O$805,7202,[1]شهریور!$D$2:$D$805,$F$12,[1]شهریور!$AC$2:$AC$805,U3)</f>
        <v>0</v>
      </c>
      <c r="V12" s="298">
        <f>SUMIFS([1]مرداد!$AH$2:$AH$805,[1]مرداد!$O$2:$O$805,7202,[1]مرداد!$D$2:$D$805,$F$12,[1]مرداد!$AC$2:$AC$805,V3)</f>
        <v>0</v>
      </c>
      <c r="W12" s="188">
        <f>SUMIFS([1]مرداد!$AH$2:$AH$805,[1]مرداد!$O$2:$O$805,7202,[1]مرداد!$D$2:$D$805,$F$12,[1]مرداد!$AC$2:$AC$805,W3)</f>
        <v>0</v>
      </c>
      <c r="X12" s="188">
        <f>SUMIFS([1]مرداد!$AH$2:$AH$805,[1]مرداد!$O$2:$O$805,7202,[1]مرداد!$D$2:$D$805,$F$12,[1]مرداد!$AC$2:$AC$805,X3)</f>
        <v>0</v>
      </c>
      <c r="Y12" s="188">
        <f>SUMIFS([1]مرداد!$AH$2:$AH$805,[1]مرداد!$O$2:$O$805,7202,[1]مرداد!$D$2:$D$805,$F$12,[1]مرداد!$AC$2:$AC$805,Y3)</f>
        <v>0</v>
      </c>
      <c r="Z12" s="188">
        <f>SUMIFS([1]مرداد!$AH$2:$AH$805,[1]مرداد!$O$2:$O$805,7202,[1]مرداد!$D$2:$D$805,$F$12,[1]مرداد!$AC$2:$AC$805,Z3)</f>
        <v>0</v>
      </c>
      <c r="AA12" s="145">
        <f>SUMIFS([1]مرداد!$AH$2:$AH$805,[1]مرداد!$O$2:$O$805,7202,[1]مرداد!$D$2:$D$805,$F$12,[1]مرداد!$AC$2:$AC$805,AA3)</f>
        <v>0</v>
      </c>
      <c r="AB12" s="128">
        <f>SUMIFS([1]مرداد!$AH$2:$AH$805,[1]مرداد!$O$2:$O$805,7202,[1]مرداد!$D$2:$D$805,$F$12,[1]مرداد!$AC$2:$AC$805,AB3)</f>
        <v>0</v>
      </c>
    </row>
    <row r="13" spans="1:28" ht="33.75" customHeight="1" x14ac:dyDescent="0.25">
      <c r="A13" s="986"/>
      <c r="B13" s="975"/>
      <c r="C13" s="933"/>
      <c r="D13" s="933"/>
      <c r="E13" s="933"/>
      <c r="F13" s="22"/>
      <c r="G13" s="3">
        <f t="shared" si="0"/>
        <v>0</v>
      </c>
      <c r="H13" s="47">
        <f t="shared" si="1"/>
        <v>0</v>
      </c>
      <c r="I13" s="3">
        <f t="shared" si="2"/>
        <v>0</v>
      </c>
      <c r="J13" s="3">
        <v>0</v>
      </c>
      <c r="K13" s="3">
        <v>0</v>
      </c>
      <c r="L13" s="3">
        <v>0</v>
      </c>
      <c r="M13" s="3">
        <f>(G12+G13+G14)-(D12)+(J12)</f>
        <v>0</v>
      </c>
      <c r="N13" s="579"/>
      <c r="O13" s="742">
        <f>SUMIFS([1]مرداد!$AF$2:$AF$805,[1]مرداد!$O$2:$O$805,7202,[1]مرداد!$D$2:$D$805,F13,[1]مرداد!$AC$2:$AC$805,$O$3)</f>
        <v>0</v>
      </c>
      <c r="P13" s="575">
        <f>SUMIFS([1]شهریور!$AF$2:$AF$805,[1]شهریور!$O$2:$O$805,7202,[1]شهریور!$D$2:$D$805,F13,[1]شهریور!$AC$2:$AC$805,$P$3)</f>
        <v>0</v>
      </c>
      <c r="Q13" s="575">
        <f>SUMIFS([1]مرداد!$AF$2:$AF$805,[1]مرداد!$O$2:$O$805,7202,[1]مرداد!$D$2:$D$805,$F$13,[1]مرداد!$AC$2:$AC$805,Q3)</f>
        <v>0</v>
      </c>
      <c r="R13" s="575">
        <f>SUMIFS([1]مرداد!$AF$2:$AF$805,[1]مرداد!$O$2:$O$805,7202,[1]مرداد!$D$2:$D$805,$F$13,[1]مرداد!$AC$2:$AC$805,R3)</f>
        <v>0</v>
      </c>
      <c r="S13" s="575">
        <f>SUMIFS([1]مرداد!$AF$2:$AF$805,[1]مرداد!$O$2:$O$805,7202,[1]مرداد!$D$2:$D$805,$F$13,[1]مرداد!$AC$2:$AC$805,S3)</f>
        <v>0</v>
      </c>
      <c r="T13" s="889">
        <f>SUMIFS([1]مرداد!$AF$2:$AF$805,[1]مرداد!$O$2:$O$805,7202,[1]مرداد!$D$2:$D$805,$F$13,[1]مرداد!$AC$2:$AC$805,T3)</f>
        <v>0</v>
      </c>
      <c r="U13" s="581">
        <f>SUMIFS([1]مرداد!$AF$2:$AF$805,[1]مرداد!$O$2:$O$805,7202,[1]مرداد!$D$2:$D$805,$F$13,[1]مرداد!$AC$2:$AC$805,U3)</f>
        <v>0</v>
      </c>
      <c r="V13" s="583">
        <f>SUMIFS([1]مرداد!$AH$2:$AH$805,[1]مرداد!$O$2:$O$805,7202,[1]مرداد!$D$2:$D$805,$F$13,[1]مرداد!$AC$2:$AC$805,V3)</f>
        <v>0</v>
      </c>
      <c r="W13" s="575">
        <f>SUMIFS([1]مرداد!$AH$2:$AH$805,[1]مرداد!$O$2:$O$805,7202,[1]مرداد!$D$2:$D$805,$F$13,[1]مرداد!$AC$2:$AC$805,W3)</f>
        <v>0</v>
      </c>
      <c r="X13" s="575">
        <f>SUMIFS([1]مرداد!$AH$2:$AH$805,[1]مرداد!$O$2:$O$805,7202,[1]مرداد!$D$2:$D$805,$F$13,[1]مرداد!$AC$2:$AC$805,X3)</f>
        <v>0</v>
      </c>
      <c r="Y13" s="575">
        <f>SUMIFS([1]مرداد!$AH$2:$AH$805,[1]مرداد!$O$2:$O$805,7202,[1]مرداد!$D$2:$D$805,$F$13,[1]مرداد!$AC$2:$AC$805,Y3)</f>
        <v>0</v>
      </c>
      <c r="Z13" s="575">
        <f>SUMIFS([1]مرداد!$AH$2:$AH$805,[1]مرداد!$O$2:$O$805,7202,[1]مرداد!$D$2:$D$805,$F$13,[1]مرداد!$AC$2:$AC$805,Z3)</f>
        <v>0</v>
      </c>
      <c r="AA13" s="889">
        <f>SUMIFS([1]مرداد!$AH$2:$AH$805,[1]مرداد!$O$2:$O$805,7202,[1]مرداد!$D$2:$D$805,$F$13,[1]مرداد!$AC$2:$AC$805,AA3)</f>
        <v>0</v>
      </c>
      <c r="AB13" s="581">
        <f>SUMIFS([1]مرداد!$AH$2:$AH$805,[1]مرداد!$O$2:$O$805,7202,[1]مرداد!$D$2:$D$805,$F$13,[1]مرداد!$AC$2:$AC$805,AB3)</f>
        <v>0</v>
      </c>
    </row>
    <row r="14" spans="1:28" ht="33.75" customHeight="1" thickBot="1" x14ac:dyDescent="0.3">
      <c r="A14" s="986"/>
      <c r="B14" s="976"/>
      <c r="C14" s="934"/>
      <c r="D14" s="934"/>
      <c r="E14" s="934"/>
      <c r="F14" s="745" t="s">
        <v>191</v>
      </c>
      <c r="G14" s="6">
        <f t="shared" si="0"/>
        <v>0</v>
      </c>
      <c r="H14" s="761">
        <f t="shared" si="1"/>
        <v>0</v>
      </c>
      <c r="I14" s="1">
        <f t="shared" si="2"/>
        <v>0</v>
      </c>
      <c r="J14" s="6">
        <v>0</v>
      </c>
      <c r="K14" s="6">
        <v>0</v>
      </c>
      <c r="L14" s="6">
        <v>0</v>
      </c>
      <c r="M14" s="6"/>
      <c r="N14" s="777"/>
      <c r="O14" s="274">
        <f>SUMIFS([1]مرداد!$AF$2:$AF$805,[1]مرداد!$O$2:$O$805,7202,[1]مرداد!$D$2:$D$805,$F$14,[1]مرداد!$AC$2:$AC$805,O3)</f>
        <v>0</v>
      </c>
      <c r="P14" s="275">
        <f>SUMIFS([1]شهریور!$AF$2:$AF$805,[1]شهریور!$O$2:$O$805,7202,[1]شهریور!$D$2:$D$805,$F$14,[1]شهریور!$AC$2:$AC$805,P3)</f>
        <v>0</v>
      </c>
      <c r="Q14" s="275">
        <f>SUMIFS([1]شهریور!$AF$2:$AF$805,[1]شهریور!$O$2:$O$805,7202,[1]شهریور!$D$2:$D$805,$F$14,[1]شهریور!$AC$2:$AC$805,Q3)</f>
        <v>0</v>
      </c>
      <c r="R14" s="275">
        <f>SUMIFS([1]شهریور!$AF$2:$AF$805,[1]شهریور!$O$2:$O$805,7202,[1]شهریور!$D$2:$D$805,$F$14,[1]شهریور!$AC$2:$AC$805,R3)</f>
        <v>0</v>
      </c>
      <c r="S14" s="275">
        <f>SUMIFS([1]شهریور!$AF$2:$AF$805,[1]شهریور!$O$2:$O$805,7202,[1]شهریور!$D$2:$D$805,$F$14,[1]شهریور!$AC$2:$AC$805,S3)</f>
        <v>0</v>
      </c>
      <c r="T14" s="890">
        <f>SUMIFS([1]شهریور!$AF$2:$AF$805,[1]شهریور!$O$2:$O$805,7202,[1]شهریور!$D$2:$D$805,$F$14,[1]شهریور!$AC$2:$AC$805,T3)</f>
        <v>0</v>
      </c>
      <c r="U14" s="121">
        <f>SUMIFS([1]شهریور!$AF$2:$AF$805,[1]شهریور!$O$2:$O$805,7202,[1]شهریور!$D$2:$D$805,$F$14,[1]شهریور!$AC$2:$AC$805,U3)</f>
        <v>0</v>
      </c>
      <c r="V14" s="299">
        <f>SUMIFS([1]مرداد!$AH$2:$AH$805,[1]مرداد!$O$2:$O$805,7202,[1]مرداد!$D$2:$D$805,$F$14,[1]مرداد!$AC$2:$AC$805,V3)</f>
        <v>0</v>
      </c>
      <c r="W14" s="275">
        <f>SUMIFS([1]مرداد!$AH$2:$AH$805,[1]مرداد!$O$2:$O$805,7202,[1]مرداد!$D$2:$D$805,$F$14,[1]مرداد!$AC$2:$AC$805,W3)</f>
        <v>0</v>
      </c>
      <c r="X14" s="275">
        <f>SUMIFS([1]مرداد!$AH$2:$AH$805,[1]مرداد!$O$2:$O$805,7202,[1]مرداد!$D$2:$D$805,$F$14,[1]مرداد!$AC$2:$AC$805,X3)</f>
        <v>0</v>
      </c>
      <c r="Y14" s="275">
        <f>SUMIFS([1]مرداد!$AH$2:$AH$805,[1]مرداد!$O$2:$O$805,7202,[1]مرداد!$D$2:$D$805,$F$14,[1]مرداد!$AC$2:$AC$805,Y3)</f>
        <v>0</v>
      </c>
      <c r="Z14" s="275">
        <f>SUMIFS([1]مرداد!$AH$2:$AH$805,[1]مرداد!$O$2:$O$805,7202,[1]مرداد!$D$2:$D$805,$F$14,[1]مرداد!$AC$2:$AC$805,Z3)</f>
        <v>0</v>
      </c>
      <c r="AA14" s="890">
        <f>SUMIFS([1]مرداد!$AH$2:$AH$805,[1]مرداد!$O$2:$O$805,7202,[1]مرداد!$D$2:$D$805,$F$14,[1]مرداد!$AC$2:$AC$805,AA3)</f>
        <v>0</v>
      </c>
      <c r="AB14" s="121">
        <f>SUMIFS([1]مرداد!$AH$2:$AH$805,[1]مرداد!$O$2:$O$805,7202,[1]مرداد!$D$2:$D$805,$F$14,[1]مرداد!$AC$2:$AC$805,AB3)</f>
        <v>0</v>
      </c>
    </row>
    <row r="15" spans="1:28" ht="33.75" customHeight="1" x14ac:dyDescent="0.25">
      <c r="A15" s="985">
        <v>6</v>
      </c>
      <c r="B15" s="974" t="s">
        <v>18</v>
      </c>
      <c r="C15" s="932">
        <v>7203</v>
      </c>
      <c r="D15" s="932">
        <v>55</v>
      </c>
      <c r="E15" s="932" t="s">
        <v>15</v>
      </c>
      <c r="F15" s="20" t="s">
        <v>191</v>
      </c>
      <c r="G15" s="846">
        <f t="shared" si="0"/>
        <v>44</v>
      </c>
      <c r="H15" s="46">
        <f t="shared" si="1"/>
        <v>0</v>
      </c>
      <c r="I15" s="846">
        <f t="shared" si="2"/>
        <v>0</v>
      </c>
      <c r="J15" s="846">
        <v>0</v>
      </c>
      <c r="K15" s="846">
        <v>0</v>
      </c>
      <c r="L15" s="846">
        <v>0</v>
      </c>
      <c r="M15" s="846"/>
      <c r="N15" s="756"/>
      <c r="O15" s="356">
        <f>SUMIFS([1]مرداد!$AF$2:$AF$805,[1]مرداد!$O$2:$O$805,7203,[1]مرداد!$D$2:$D$805,$F$15,[1]مرداد!$AC$2:$AC$805,O3)</f>
        <v>0</v>
      </c>
      <c r="P15" s="356">
        <f>SUMIFS([1]شهریور!$AF$2:$AF$805,[1]شهریور!$O$2:$O$805,7203,[1]شهریور!$D$2:$D$805,$F$15,[1]شهریور!$AC$2:$AC$805,P3)</f>
        <v>11</v>
      </c>
      <c r="Q15" s="356">
        <f>SUMIFS([1]شهریور!$AF$2:$AF$805,[1]شهریور!$O$2:$O$805,7203,[1]شهریور!$D$2:$D$805,$F$15,[1]شهریور!$AC$2:$AC$805,Q3)</f>
        <v>11</v>
      </c>
      <c r="R15" s="356">
        <f>SUMIFS([1]شهریور!$AF$2:$AF$805,[1]شهریور!$O$2:$O$805,7203,[1]شهریور!$D$2:$D$805,$F$15,[1]شهریور!$AC$2:$AC$805,R3)</f>
        <v>11</v>
      </c>
      <c r="S15" s="356">
        <f>SUMIFS([1]شهریور!$AF$2:$AF$805,[1]شهریور!$O$2:$O$805,7203,[1]شهریور!$D$2:$D$805,$F$15,[1]شهریور!$AC$2:$AC$805,S3)</f>
        <v>11</v>
      </c>
      <c r="T15" s="395">
        <f>SUMIFS([1]شهریور!$AF$2:$AF$805,[1]شهریور!$O$2:$O$805,7203,[1]شهریور!$D$2:$D$805,$F$15,[1]شهریور!$AC$2:$AC$805,T3)</f>
        <v>0</v>
      </c>
      <c r="U15" s="395">
        <f>SUMIFS([1]شهریور!$AF$2:$AF$805,[1]شهریور!$O$2:$O$805,7203,[1]شهریور!$D$2:$D$805,$F$15,[1]شهریور!$AC$2:$AC$805,U3)</f>
        <v>0</v>
      </c>
      <c r="V15" s="165">
        <f>SUMIFS([1]مرداد!$AH$2:$AH$805,[1]مرداد!$O$2:$O$805,7203,[1]مرداد!$D$2:$D$805,$F$15,[1]مرداد!$AC$2:$AC$805,V3)</f>
        <v>0</v>
      </c>
      <c r="W15" s="292">
        <f>SUMIFS([1]مرداد!$AH$2:$AH$805,[1]مرداد!$O$2:$O$805,7203,[1]مرداد!$D$2:$D$805,$F$15,[1]مرداد!$AC$2:$AC$805,W3)</f>
        <v>0</v>
      </c>
      <c r="X15" s="292">
        <f>SUMIFS([1]مرداد!$AH$2:$AH$805,[1]مرداد!$O$2:$O$805,7203,[1]مرداد!$D$2:$D$805,$F$15,[1]مرداد!$AC$2:$AC$805,X3)</f>
        <v>0</v>
      </c>
      <c r="Y15" s="292">
        <f>SUMIFS([1]مرداد!$AH$2:$AH$805,[1]مرداد!$O$2:$O$805,7203,[1]مرداد!$D$2:$D$805,$F$15,[1]مرداد!$AC$2:$AC$805,Y3)</f>
        <v>0</v>
      </c>
      <c r="Z15" s="292">
        <f>SUMIFS([1]مرداد!$AH$2:$AH$805,[1]مرداد!$O$2:$O$805,7203,[1]مرداد!$D$2:$D$805,$F$15,[1]مرداد!$AC$2:$AC$805,Z3)</f>
        <v>0</v>
      </c>
      <c r="AA15" s="393">
        <f>SUMIFS([1]مرداد!$AH$2:$AH$805,[1]مرداد!$O$2:$O$805,7203,[1]مرداد!$D$2:$D$805,$F$15,[1]مرداد!$AC$2:$AC$805,AA3)</f>
        <v>0</v>
      </c>
      <c r="AB15" s="454">
        <f>SUMIFS([1]مرداد!$AH$2:$AH$805,[1]مرداد!$O$2:$O$805,7203,[1]مرداد!$D$2:$D$805,$F$15,[1]مرداد!$AC$2:$AC$805,AB3)</f>
        <v>0</v>
      </c>
    </row>
    <row r="16" spans="1:28" ht="33.75" customHeight="1" thickBot="1" x14ac:dyDescent="0.3">
      <c r="A16" s="987"/>
      <c r="B16" s="976"/>
      <c r="C16" s="934"/>
      <c r="D16" s="934"/>
      <c r="E16" s="934"/>
      <c r="F16" s="745" t="s">
        <v>45</v>
      </c>
      <c r="G16" s="6">
        <f t="shared" si="0"/>
        <v>11</v>
      </c>
      <c r="H16" s="761">
        <f t="shared" si="1"/>
        <v>0</v>
      </c>
      <c r="I16" s="1">
        <f t="shared" si="2"/>
        <v>0</v>
      </c>
      <c r="J16" s="6">
        <v>0</v>
      </c>
      <c r="K16" s="6">
        <v>0</v>
      </c>
      <c r="L16" s="6">
        <v>0</v>
      </c>
      <c r="M16" s="6">
        <f>(G16+H16+I16+J16+K16)-D15</f>
        <v>-44</v>
      </c>
      <c r="N16" s="844"/>
      <c r="O16" s="353">
        <f>SUMIFS([1]مرداد!$AF$2:$AF$805,[1]مرداد!$O$2:$O$805,7203,[1]مرداد!$D$2:$D$805,$F$16,[1]مرداد!$AC$2:$AC$805,O3)</f>
        <v>11</v>
      </c>
      <c r="P16" s="353">
        <f>SUMIFS([1]شهریور!$AF$2:$AF$805,[1]شهریور!$O$2:$O$805,7202,[1]شهریور!$D$2:$D$805,$F$16,[1]شهریور!$AC$2:$AC$805,P3)</f>
        <v>0</v>
      </c>
      <c r="Q16" s="353">
        <f>SUMIFS([1]شهریور!$AF$2:$AF$805,[1]شهریور!$O$2:$O$805,7202,[1]شهریور!$D$2:$D$805,$F$16,[1]شهریور!$AC$2:$AC$805,Q3)</f>
        <v>0</v>
      </c>
      <c r="R16" s="353">
        <f>SUMIFS([1]شهریور!$AF$2:$AF$805,[1]شهریور!$O$2:$O$805,7202,[1]شهریور!$D$2:$D$805,$F$16,[1]شهریور!$AC$2:$AC$805,R3)</f>
        <v>0</v>
      </c>
      <c r="S16" s="353">
        <f>SUMIFS([1]شهریور!$AF$2:$AF$805,[1]شهریور!$O$2:$O$805,7202,[1]شهریور!$D$2:$D$805,$F$16,[1]شهریور!$AC$2:$AC$805,S3)</f>
        <v>0</v>
      </c>
      <c r="T16" s="455">
        <f>SUMIFS([1]شهریور!$AF$2:$AF$805,[1]شهریور!$O$2:$O$805,7202,[1]شهریور!$D$2:$D$805,$F$16,[1]شهریور!$AC$2:$AC$805,T3)</f>
        <v>0</v>
      </c>
      <c r="U16" s="455">
        <f>SUMIFS([1]شهریور!$AF$2:$AF$805,[1]شهریور!$O$2:$O$805,7202,[1]شهریور!$D$2:$D$805,$F$16,[1]شهریور!$AC$2:$AC$805,U3)</f>
        <v>0</v>
      </c>
      <c r="V16" s="184">
        <f>SUMIFS([1]مرداد!$AH$2:$AH$805,[1]مرداد!$O$2:$O$805,7203,[1]مرداد!$D$2:$D$805,$F$16,[1]مرداد!$AC$2:$AC$805,V3)</f>
        <v>0</v>
      </c>
      <c r="W16" s="577">
        <f>SUMIFS([1]مرداد!$AH$2:$AH$805,[1]مرداد!$O$2:$O$805,7203,[1]مرداد!$D$2:$D$805,$F$16,[1]مرداد!$AC$2:$AC$805,W3)</f>
        <v>0</v>
      </c>
      <c r="X16" s="577">
        <f>SUMIFS([1]مرداد!$AH$2:$AH$805,[1]مرداد!$O$2:$O$805,7203,[1]مرداد!$D$2:$D$805,$F$16,[1]مرداد!$AC$2:$AC$805,X3)</f>
        <v>0</v>
      </c>
      <c r="Y16" s="577">
        <f>SUMIFS([1]مرداد!$AH$2:$AH$805,[1]مرداد!$O$2:$O$805,7203,[1]مرداد!$D$2:$D$805,$F$16,[1]مرداد!$AC$2:$AC$805,Y3)</f>
        <v>0</v>
      </c>
      <c r="Z16" s="577">
        <f>SUMIFS([1]مرداد!$AH$2:$AH$805,[1]مرداد!$O$2:$O$805,7203,[1]مرداد!$D$2:$D$805,$F$16,[1]مرداد!$AC$2:$AC$805,Z3)</f>
        <v>0</v>
      </c>
      <c r="AA16" s="578">
        <f>SUMIFS([1]مرداد!$AH$2:$AH$805,[1]مرداد!$O$2:$O$805,7203,[1]مرداد!$D$2:$D$805,$F$16,[1]مرداد!$AC$2:$AC$805,AA3)</f>
        <v>0</v>
      </c>
      <c r="AB16" s="907">
        <f>SUMIFS([1]مرداد!$AH$2:$AH$805,[1]مرداد!$O$2:$O$805,7203,[1]مرداد!$D$2:$D$805,$F$16,[1]مرداد!$AC$2:$AC$805,AB3)</f>
        <v>0</v>
      </c>
    </row>
    <row r="17" spans="1:28" ht="33.75" customHeight="1" thickBot="1" x14ac:dyDescent="0.3">
      <c r="A17" s="840">
        <v>7</v>
      </c>
      <c r="B17" s="12" t="s">
        <v>18</v>
      </c>
      <c r="C17" s="13">
        <v>7204</v>
      </c>
      <c r="D17" s="13">
        <v>55</v>
      </c>
      <c r="E17" s="13" t="s">
        <v>15</v>
      </c>
      <c r="F17" s="16" t="s">
        <v>144</v>
      </c>
      <c r="G17" s="14">
        <f t="shared" si="0"/>
        <v>47</v>
      </c>
      <c r="H17" s="48">
        <f t="shared" si="1"/>
        <v>0</v>
      </c>
      <c r="I17" s="846">
        <f t="shared" si="2"/>
        <v>8</v>
      </c>
      <c r="J17" s="14">
        <v>0</v>
      </c>
      <c r="K17" s="14">
        <v>0</v>
      </c>
      <c r="L17" s="14">
        <v>0</v>
      </c>
      <c r="M17" s="14">
        <f>SUM(G17:J17)-62</f>
        <v>-7</v>
      </c>
      <c r="N17" s="61" t="str">
        <f>IF(I17&gt;0,"②","")</f>
        <v>②</v>
      </c>
      <c r="O17" s="295">
        <f>SUMIFS([1]مرداد!$AF$2:$AF$805,[1]مرداد!$O$2:$O$805,7204,[1]مرداد!$D$2:$D$805,$F$17,[1]مرداد!$AC$2:$AC$805,O3)</f>
        <v>11</v>
      </c>
      <c r="P17" s="295">
        <f>SUMIFS([1]شهریور!$AF$2:$AF$805,[1]شهریور!$O$2:$O$805,7204,[1]شهریور!$D$2:$D$805,$F$17,[1]شهریور!$AC$2:$AC$805,P3)</f>
        <v>7</v>
      </c>
      <c r="Q17" s="295">
        <f>SUMIFS([1]شهریور!$AF$2:$AF$805,[1]شهریور!$O$2:$O$805,7204,[1]شهریور!$D$2:$D$805,$F$17,[1]شهریور!$AC$2:$AC$805,Q3)</f>
        <v>11</v>
      </c>
      <c r="R17" s="295">
        <f>SUMIFS([1]شهریور!$AF$2:$AF$805,[1]شهریور!$O$2:$O$805,7204,[1]شهریور!$D$2:$D$805,$F$17,[1]شهریور!$AC$2:$AC$805,R3)</f>
        <v>11</v>
      </c>
      <c r="S17" s="295">
        <f>SUMIFS([1]شهریور!$AF$2:$AF$805,[1]شهریور!$O$2:$O$805,7204,[1]شهریور!$D$2:$D$805,$F$17,[1]شهریور!$AC$2:$AC$805,S3)</f>
        <v>7</v>
      </c>
      <c r="T17" s="456">
        <f>SUMIFS([1]شهریور!$AF$2:$AF$805,[1]شهریور!$O$2:$O$805,7204,[1]شهریور!$D$2:$D$805,$F$17,[1]شهریور!$AC$2:$AC$805,T3)</f>
        <v>0</v>
      </c>
      <c r="U17" s="456">
        <f>SUMIFS([1]شهریور!$AF$2:$AF$805,[1]شهریور!$O$2:$O$805,7204,[1]شهریور!$D$2:$D$805,$F$17,[1]شهریور!$AC$2:$AC$805,U3)</f>
        <v>0</v>
      </c>
      <c r="V17" s="180">
        <f>SUMIFS([1]مرداد!$AH$2:$AH$805,[1]مرداد!$O$2:$O$805,7204,[1]مرداد!$D$2:$D$805,$F$17,[1]مرداد!$AC$2:$AC$805,V3)</f>
        <v>0</v>
      </c>
      <c r="W17" s="185">
        <f>SUMIFS([1]شهریور!$AH$2:$AH$805,[1]شهریور!$O$2:$O$805,7204,[1]شهریور!$D$2:$D$805,$F$17,[1]شهریور!$AC$2:$AC$805,W3)</f>
        <v>4</v>
      </c>
      <c r="X17" s="185">
        <f>SUMIFS([1]شهریور!$AH$2:$AH$805,[1]شهریور!$O$2:$O$805,7204,[1]شهریور!$D$2:$D$805,$F$17,[1]شهریور!$AC$2:$AC$805,X3)</f>
        <v>0</v>
      </c>
      <c r="Y17" s="185">
        <f>SUMIFS([1]شهریور!$AH$2:$AH$805,[1]شهریور!$O$2:$O$805,7204,[1]شهریور!$D$2:$D$805,$F$17,[1]شهریور!$AC$2:$AC$805,Y3)</f>
        <v>0</v>
      </c>
      <c r="Z17" s="185">
        <f>SUMIFS([1]شهریور!$AH$2:$AH$805,[1]شهریور!$O$2:$O$805,7204,[1]شهریور!$D$2:$D$805,$F$17,[1]شهریور!$AC$2:$AC$805,Z3)</f>
        <v>4</v>
      </c>
      <c r="AA17" s="101">
        <f>SUMIFS([1]شهریور!$AH$2:$AH$805,[1]شهریور!$O$2:$O$805,7204,[1]شهریور!$D$2:$D$805,$F$17,[1]شهریور!$AC$2:$AC$805,AA3)</f>
        <v>0</v>
      </c>
      <c r="AB17" s="101">
        <f>SUMIFS([1]شهریور!$AH$2:$AH$805,[1]شهریور!$O$2:$O$805,7204,[1]شهریور!$D$2:$D$805,$F$17,[1]شهریور!$AC$2:$AC$805,AB3)</f>
        <v>0</v>
      </c>
    </row>
    <row r="18" spans="1:28" ht="33.75" customHeight="1" thickBot="1" x14ac:dyDescent="0.3">
      <c r="A18" s="45">
        <v>8</v>
      </c>
      <c r="B18" s="12" t="s">
        <v>21</v>
      </c>
      <c r="C18" s="13">
        <v>7301</v>
      </c>
      <c r="D18" s="13">
        <v>55</v>
      </c>
      <c r="E18" s="13" t="s">
        <v>15</v>
      </c>
      <c r="F18" s="19" t="s">
        <v>22</v>
      </c>
      <c r="G18" s="14">
        <f t="shared" si="0"/>
        <v>45.5</v>
      </c>
      <c r="H18" s="48">
        <f t="shared" si="1"/>
        <v>0</v>
      </c>
      <c r="I18" s="846">
        <f t="shared" si="2"/>
        <v>1.5</v>
      </c>
      <c r="J18" s="14">
        <v>0</v>
      </c>
      <c r="K18" s="14">
        <v>0</v>
      </c>
      <c r="L18" s="14">
        <v>0</v>
      </c>
      <c r="M18" s="14">
        <f>SUM(G18:L18)-D18</f>
        <v>-8</v>
      </c>
      <c r="N18" s="15" t="str">
        <f>IF(I18&gt;0,"②","")</f>
        <v>②</v>
      </c>
      <c r="O18" s="176">
        <f>SUMIFS([1]مرداد!$AF$2:$AF$805,[1]مرداد!$O$2:$O$805,7301,[1]مرداد!$D$2:$D$805,$F$18,[1]مرداد!$AC$2:$AC$805,O3)</f>
        <v>9.5</v>
      </c>
      <c r="P18" s="177">
        <f>SUMIFS([1]شهریور!$AF$2:$AF$805,[1]شهریور!$O$2:$O$805,7301,[1]شهریور!$D$2:$D$805,$F$18,[1]شهریور!$AC$2:$AC$805,P3)</f>
        <v>10</v>
      </c>
      <c r="Q18" s="177">
        <f>SUMIFS([1]شهریور!$AF$2:$AF$805,[1]شهریور!$O$2:$O$805,7301,[1]شهریور!$D$2:$D$805,$F$18,[1]شهریور!$AC$2:$AC$805,Q3)</f>
        <v>11</v>
      </c>
      <c r="R18" s="177">
        <f>SUMIFS([1]شهریور!$AF$2:$AF$805,[1]شهریور!$O$2:$O$805,7301,[1]شهریور!$D$2:$D$805,$F$18,[1]شهریور!$AC$2:$AC$805,R3)</f>
        <v>5</v>
      </c>
      <c r="S18" s="177">
        <f>SUMIFS([1]شهریور!$AF$2:$AF$805,[1]شهریور!$O$2:$O$805,7301,[1]شهریور!$D$2:$D$805,$F$18,[1]شهریور!$AC$2:$AC$805,S3)</f>
        <v>10</v>
      </c>
      <c r="T18" s="99">
        <f>SUMIFS([1]شهریور!$AF$2:$AF$805,[1]شهریور!$O$2:$O$805,7301,[1]شهریور!$D$2:$D$805,$F$18,[1]شهریور!$AC$2:$AC$805,T3)</f>
        <v>0</v>
      </c>
      <c r="U18" s="99">
        <f>SUMIFS([1]شهریور!$AF$2:$AF$805,[1]شهریور!$O$2:$O$805,7301,[1]شهریور!$D$2:$D$805,$F$18,[1]شهریور!$AC$2:$AC$805,U3)</f>
        <v>0</v>
      </c>
      <c r="V18" s="176">
        <f>SUMIFS([1]مرداد!$AH$2:$AH$805,[1]مرداد!$O$2:$O$805,7301,[1]مرداد!$D$2:$D$805,$F$18,[1]مرداد!$AC$2:$AC$805,V3)</f>
        <v>1.5</v>
      </c>
      <c r="W18" s="177">
        <f>SUMIFS([1]شهریور!$AH$2:$AH$805,[1]شهریور!$O$2:$O$805,7301,[1]شهریور!$D$2:$D$805,$F$18,[1]شهریور!$AC$2:$AC$805,W3)</f>
        <v>0</v>
      </c>
      <c r="X18" s="177">
        <f>SUMIFS([1]شهریور!$AH$2:$AH$805,[1]شهریور!$O$2:$O$805,7301,[1]شهریور!$D$2:$D$805,$F$18,[1]شهریور!$AC$2:$AC$805,X3)</f>
        <v>0</v>
      </c>
      <c r="Y18" s="177">
        <f>SUMIFS([1]شهریور!$AH$2:$AH$805,[1]شهریور!$O$2:$O$805,7301,[1]شهریور!$D$2:$D$805,$F$18,[1]شهریور!$AC$2:$AC$805,Y3)</f>
        <v>0</v>
      </c>
      <c r="Z18" s="177">
        <f>SUMIFS([1]شهریور!$AH$2:$AH$805,[1]شهریور!$O$2:$O$805,7301,[1]شهریور!$D$2:$D$805,$F$18,[1]شهریور!$AC$2:$AC$805,Z3)</f>
        <v>0</v>
      </c>
      <c r="AA18" s="99">
        <f>SUMIFS([1]شهریور!$AH$2:$AH$805,[1]شهریور!$O$2:$O$805,7301,[1]شهریور!$D$2:$D$805,$F$18,[1]شهریور!$AC$2:$AC$805,AA3)</f>
        <v>0</v>
      </c>
      <c r="AB18" s="99">
        <f>SUMIFS([1]شهریور!$AH$2:$AH$805,[1]شهریور!$O$2:$O$805,7301,[1]شهریور!$D$2:$D$805,$F$18,[1]شهریور!$AC$2:$AC$805,AB3)</f>
        <v>0</v>
      </c>
    </row>
    <row r="19" spans="1:28" ht="33.75" customHeight="1" x14ac:dyDescent="0.25">
      <c r="A19" s="838"/>
      <c r="B19" s="836"/>
      <c r="C19" s="847"/>
      <c r="D19" s="815"/>
      <c r="E19" s="933" t="s">
        <v>15</v>
      </c>
      <c r="F19" s="27"/>
      <c r="G19" s="1">
        <f t="shared" si="0"/>
        <v>0</v>
      </c>
      <c r="H19" s="49">
        <f t="shared" si="1"/>
        <v>0</v>
      </c>
      <c r="I19" s="846">
        <f t="shared" si="2"/>
        <v>0</v>
      </c>
      <c r="J19" s="1">
        <v>0</v>
      </c>
      <c r="K19" s="1">
        <v>0</v>
      </c>
      <c r="L19" s="1">
        <v>0</v>
      </c>
      <c r="M19" s="4"/>
      <c r="N19" s="928" t="str">
        <f>IF((SUM(I19:I21))&gt;0,"②","")</f>
        <v/>
      </c>
      <c r="O19" s="356">
        <f>SUMIFS([1]تیر!$AF$2:$AF$805,[1]تیر!$O$2:$O$805,7302,[1]تیر!$D$2:$D$805,$F$19,[1]تیر!$AC$2:$AC$805,O3)</f>
        <v>0</v>
      </c>
      <c r="P19" s="174">
        <f>SUMIFS([1]شهریور!$AF$2:$AF$805,[1]شهریور!$O$2:$O$805,7302,[1]شهریور!$D$2:$D$805,$F$19,[1]شهریور!$AC$2:$AC$805,P3)</f>
        <v>0</v>
      </c>
      <c r="Q19" s="174">
        <f>SUMIFS([1]شهریور!$AF$2:$AF$805,[1]شهریور!$O$2:$O$805,7302,[1]شهریور!$D$2:$D$805,$F$19,[1]شهریور!$AC$2:$AC$805,Q3)</f>
        <v>0</v>
      </c>
      <c r="R19" s="174">
        <f>SUMIFS([1]شهریور!$AF$2:$AF$805,[1]شهریور!$O$2:$O$805,7302,[1]شهریور!$D$2:$D$805,$F$19,[1]شهریور!$AC$2:$AC$805,R3)</f>
        <v>0</v>
      </c>
      <c r="S19" s="174">
        <f>SUMIFS([1]شهریور!$AF$2:$AF$805,[1]شهریور!$O$2:$O$805,7302,[1]شهریور!$D$2:$D$805,$F$19,[1]شهریور!$AC$2:$AC$805,S3)</f>
        <v>0</v>
      </c>
      <c r="T19" s="537">
        <f>SUMIFS([1]شهریور!$AF$2:$AF$805,[1]شهریور!$O$2:$O$805,7302,[1]شهریور!$D$2:$D$805,$F$19,[1]شهریور!$AC$2:$AC$805,T3)</f>
        <v>0</v>
      </c>
      <c r="U19" s="537">
        <f>SUMIFS([1]شهریور!$AF$2:$AF$805,[1]شهریور!$O$2:$O$805,7302,[1]شهریور!$D$2:$D$805,$F$19,[1]شهریور!$AC$2:$AC$805,U3)</f>
        <v>0</v>
      </c>
      <c r="V19" s="165">
        <f>SUMIFS([1]مرداد!$AH$2:$AH$805,[1]مرداد!$O$2:$O$805,7302,[1]مرداد!$D$2:$D$805,$F$19,[1]مرداد!$AC$2:$AC$805,V3)</f>
        <v>0</v>
      </c>
      <c r="W19" s="292">
        <f>SUMIFS([1]مرداد!$AH$2:$AH$805,[1]مرداد!$O$2:$O$805,7302,[1]مرداد!$D$2:$D$805,$F$19,[1]مرداد!$AC$2:$AC$805,W3)</f>
        <v>0</v>
      </c>
      <c r="X19" s="292">
        <f>SUMIFS([1]مرداد!$AH$2:$AH$805,[1]مرداد!$O$2:$O$805,7302,[1]مرداد!$D$2:$D$805,$F$19,[1]مرداد!$AC$2:$AC$805,X3)</f>
        <v>0</v>
      </c>
      <c r="Y19" s="292">
        <f>SUMIFS([1]مرداد!$AH$2:$AH$805,[1]مرداد!$O$2:$O$805,7302,[1]مرداد!$D$2:$D$805,$F$19,[1]مرداد!$AC$2:$AC$805,Y3)</f>
        <v>0</v>
      </c>
      <c r="Z19" s="292">
        <f>SUMIFS([1]مرداد!$AH$2:$AH$805,[1]مرداد!$O$2:$O$805,7302,[1]مرداد!$D$2:$D$805,$F$19,[1]مرداد!$AC$2:$AC$805,Z3)</f>
        <v>0</v>
      </c>
      <c r="AA19" s="393">
        <f>SUMIFS([1]مرداد!$AH$2:$AH$805,[1]مرداد!$O$2:$O$805,7302,[1]مرداد!$D$2:$D$805,$F$19,[1]مرداد!$AC$2:$AC$805,AA3)</f>
        <v>0</v>
      </c>
      <c r="AB19" s="454">
        <f>SUMIFS([1]مرداد!$AH$2:$AH$805,[1]مرداد!$O$2:$O$805,7302,[1]مرداد!$D$2:$D$805,$F$19,[1]مرداد!$AC$2:$AC$805,AB3)</f>
        <v>0</v>
      </c>
    </row>
    <row r="20" spans="1:28" ht="33.75" customHeight="1" x14ac:dyDescent="0.25">
      <c r="A20" s="839">
        <v>9</v>
      </c>
      <c r="B20" s="829" t="s">
        <v>21</v>
      </c>
      <c r="C20" s="588">
        <v>7302</v>
      </c>
      <c r="D20" s="815">
        <v>55</v>
      </c>
      <c r="E20" s="1003"/>
      <c r="F20" s="27" t="s">
        <v>17</v>
      </c>
      <c r="G20" s="3">
        <f t="shared" si="0"/>
        <v>54</v>
      </c>
      <c r="H20" s="47">
        <f t="shared" si="1"/>
        <v>0</v>
      </c>
      <c r="I20" s="3">
        <f t="shared" si="2"/>
        <v>0</v>
      </c>
      <c r="J20" s="3">
        <v>0</v>
      </c>
      <c r="K20" s="3">
        <v>0</v>
      </c>
      <c r="L20" s="3">
        <v>0</v>
      </c>
      <c r="M20" s="4">
        <f>SUM(G19:L21)-D20</f>
        <v>-1</v>
      </c>
      <c r="N20" s="929"/>
      <c r="O20" s="293">
        <f>SUMIFS([1]مرداد!$AF$2:$AF$805,[1]مرداد!$O$2:$O$805,7302,[1]مرداد!$D$2:$D$805,$F$20,[1]مرداد!$AC$2:$AC$805,O3)</f>
        <v>11</v>
      </c>
      <c r="P20" s="293">
        <f>SUMIFS([1]شهریور!$AF$2:$AF$805,[1]شهریور!$O$2:$O$805,7302,[1]شهریور!$D$2:$D$805,$F$20,[1]شهریور!$AC$2:$AC$805,P3)</f>
        <v>8</v>
      </c>
      <c r="Q20" s="293">
        <f>SUMIFS([1]شهریور!$AF$2:$AF$805,[1]شهریور!$O$2:$O$805,7302,[1]شهریور!$D$2:$D$805,$F$20,[1]شهریور!$AC$2:$AC$805,Q3)</f>
        <v>8</v>
      </c>
      <c r="R20" s="293">
        <f>SUMIFS([1]شهریور!$AF$2:$AF$805,[1]شهریور!$O$2:$O$805,7302,[1]شهریور!$D$2:$D$805,$F$20,[1]شهریور!$AC$2:$AC$805,R3)</f>
        <v>16</v>
      </c>
      <c r="S20" s="293">
        <f>SUMIFS([1]شهریور!$AF$2:$AF$805,[1]شهریور!$O$2:$O$805,7302,[1]شهریور!$D$2:$D$805,$F$20,[1]شهریور!$AC$2:$AC$805,S3)</f>
        <v>11</v>
      </c>
      <c r="T20" s="891">
        <f>SUMIFS([1]شهریور!$AF$2:$AF$805,[1]شهریور!$O$2:$O$805,7302,[1]شهریور!$D$2:$D$805,$F$20,[1]شهریور!$AC$2:$AC$805,T3)</f>
        <v>0</v>
      </c>
      <c r="U20" s="891">
        <f>SUMIFS([1]شهریور!$AF$2:$AF$805,[1]شهریور!$O$2:$O$805,7302,[1]شهریور!$D$2:$D$805,$F$20,[1]شهریور!$AC$2:$AC$805,U3)</f>
        <v>0</v>
      </c>
      <c r="V20" s="166">
        <f>SUMIFS([1]مرداد!$AH$2:$AH$805,[1]مرداد!$O$2:$O$805,7302,[1]مرداد!$D$2:$D$805,$F$20,[1]مرداد!$AC$2:$AC$805,V3)</f>
        <v>0</v>
      </c>
      <c r="W20" s="293">
        <f>SUMIFS([1]مرداد!$AH$2:$AH$805,[1]مرداد!$O$2:$O$805,7302,[1]مرداد!$D$2:$D$805,$F$20,[1]مرداد!$AC$2:$AC$805,W3)</f>
        <v>0</v>
      </c>
      <c r="X20" s="293">
        <f>SUMIFS([1]مرداد!$AH$2:$AH$805,[1]مرداد!$O$2:$O$805,7302,[1]مرداد!$D$2:$D$805,$F$20,[1]مرداد!$AC$2:$AC$805,X3)</f>
        <v>0</v>
      </c>
      <c r="Y20" s="293">
        <f>SUMIFS([1]مرداد!$AH$2:$AH$805,[1]مرداد!$O$2:$O$805,7302,[1]مرداد!$D$2:$D$805,$F$20,[1]مرداد!$AC$2:$AC$805,Y3)</f>
        <v>0</v>
      </c>
      <c r="Z20" s="293">
        <f>SUMIFS([1]مرداد!$AH$2:$AH$805,[1]مرداد!$O$2:$O$805,7302,[1]مرداد!$D$2:$D$805,$F$20,[1]مرداد!$AC$2:$AC$805,Z3)</f>
        <v>0</v>
      </c>
      <c r="AA20" s="891">
        <f>SUMIFS([1]مرداد!$AH$2:$AH$805,[1]مرداد!$O$2:$O$805,7302,[1]مرداد!$D$2:$D$805,$F$20,[1]مرداد!$AC$2:$AC$805,AA3)</f>
        <v>0</v>
      </c>
      <c r="AB20" s="901">
        <f>SUMIFS([1]مرداد!$AH$2:$AH$805,[1]مرداد!$O$2:$O$805,7302,[1]مرداد!$D$2:$D$805,$F$20,[1]مرداد!$AC$2:$AC$805,AB3)</f>
        <v>0</v>
      </c>
    </row>
    <row r="21" spans="1:28" ht="33.75" customHeight="1" thickBot="1" x14ac:dyDescent="0.3">
      <c r="A21" s="840"/>
      <c r="B21" s="836"/>
      <c r="C21" s="847"/>
      <c r="D21" s="815"/>
      <c r="E21" s="933"/>
      <c r="F21" s="24"/>
      <c r="G21" s="4">
        <f t="shared" si="0"/>
        <v>0</v>
      </c>
      <c r="H21" s="765">
        <f t="shared" si="1"/>
        <v>0</v>
      </c>
      <c r="I21" s="1">
        <f t="shared" si="2"/>
        <v>0</v>
      </c>
      <c r="J21" s="25">
        <v>0</v>
      </c>
      <c r="K21" s="4">
        <v>0</v>
      </c>
      <c r="L21" s="4">
        <v>0</v>
      </c>
      <c r="M21" s="4"/>
      <c r="N21" s="929"/>
      <c r="O21" s="352">
        <f>SUMIFS([1]اردیبهشت!$AD$2:$AD$805,[1]اردیبهشت!$N$2:$N$805,$C$20,[1]اردیبهشت!$D$2:$D$805,$F$20,[1]اردیبهشت!$AA$2:$AA$805,O4)</f>
        <v>0</v>
      </c>
      <c r="P21" s="175">
        <f>SUMIFS([1]اردیبهشت!$AD$2:$AD$805,[1]اردیبهشت!$N$2:$N$805,$C$20,[1]اردیبهشت!$D$2:$D$805,$F$20,[1]اردیبهشت!$AA$2:$AA$805,P4)</f>
        <v>0</v>
      </c>
      <c r="Q21" s="175">
        <f>SUMIFS([1]اردیبهشت!$AD$2:$AD$805,[1]اردیبهشت!$N$2:$N$805,$C$20,[1]اردیبهشت!$D$2:$D$805,$F$20,[1]اردیبهشت!$AA$2:$AA$805,Q4)</f>
        <v>0</v>
      </c>
      <c r="R21" s="175">
        <f>SUMIFS([1]اردیبهشت!$AD$2:$AD$805,[1]اردیبهشت!$N$2:$N$805,$C$20,[1]اردیبهشت!$D$2:$D$805,$F$20,[1]اردیبهشت!$AA$2:$AA$805,R4)</f>
        <v>0</v>
      </c>
      <c r="S21" s="175">
        <f>SUMIFS([1]اردیبهشت!$AD$2:$AD$805,[1]اردیبهشت!$N$2:$N$805,$C$20,[1]اردیبهشت!$D$2:$D$805,$F$20,[1]اردیبهشت!$AA$2:$AA$805,S4)</f>
        <v>0</v>
      </c>
      <c r="T21" s="97">
        <f>SUMIFS([1]اردیبهشت!$AD$2:$AD$805,[1]اردیبهشت!$N$2:$N$805,$C$20,[1]اردیبهشت!$D$2:$D$805,$F$20,[1]اردیبهشت!$AA$2:$AA$805,T4)</f>
        <v>0</v>
      </c>
      <c r="U21" s="793">
        <f>SUMIFS([1]خرداد!$AF$2:$AF$700,[1]خرداد!$O$2:$O$700,7101,[1]خرداد!$D$2:$D$700,$F$4,[1]خرداد!$AC$2:$AC$700,U20)</f>
        <v>0</v>
      </c>
      <c r="V21" s="171">
        <f>SUMIFS([1]مرداد!$AH$2:$AH$805,[1]مرداد!$O$2:$O$805,7302,[1]مرداد!$D$2:$D$805,$F$21,[1]مرداد!$AC$2:$AC$805,V3)</f>
        <v>0</v>
      </c>
      <c r="W21" s="294">
        <f>SUMIFS([1]مرداد!$AH$2:$AH$805,[1]مرداد!$O$2:$O$805,7302,[1]مرداد!$D$2:$D$805,$F$21,[1]مرداد!$AC$2:$AC$805,W3)</f>
        <v>0</v>
      </c>
      <c r="X21" s="294">
        <f>SUMIFS([1]مرداد!$AH$2:$AH$805,[1]مرداد!$O$2:$O$805,7302,[1]مرداد!$D$2:$D$805,$F$21,[1]مرداد!$AC$2:$AC$805,X3)</f>
        <v>0</v>
      </c>
      <c r="Y21" s="294">
        <f>SUMIFS([1]مرداد!$AH$2:$AH$805,[1]مرداد!$O$2:$O$805,7302,[1]مرداد!$D$2:$D$805,$F$21,[1]مرداد!$AC$2:$AC$805,Y3)</f>
        <v>0</v>
      </c>
      <c r="Z21" s="294">
        <f>SUMIFS([1]مرداد!$AH$2:$AH$805,[1]مرداد!$O$2:$O$805,7302,[1]مرداد!$D$2:$D$805,$F$21,[1]مرداد!$AC$2:$AC$805,Z3)</f>
        <v>0</v>
      </c>
      <c r="AA21" s="904">
        <f>SUMIFS([1]مرداد!$AH$2:$AH$805,[1]مرداد!$O$2:$O$805,7302,[1]مرداد!$D$2:$D$805,$F$21,[1]مرداد!$AC$2:$AC$805,AA3)</f>
        <v>0</v>
      </c>
      <c r="AB21" s="700">
        <f>SUMIFS([1]مرداد!$AH$2:$AH$805,[1]مرداد!$O$2:$O$805,7302,[1]مرداد!$D$2:$D$805,$F$21,[1]مرداد!$AC$2:$AC$805,AB3)</f>
        <v>0</v>
      </c>
    </row>
    <row r="22" spans="1:28" ht="33.75" customHeight="1" thickBot="1" x14ac:dyDescent="0.3">
      <c r="A22" s="147">
        <v>10</v>
      </c>
      <c r="B22" s="207" t="s">
        <v>21</v>
      </c>
      <c r="C22" s="129">
        <v>7303</v>
      </c>
      <c r="D22" s="129">
        <v>44</v>
      </c>
      <c r="E22" s="129" t="s">
        <v>15</v>
      </c>
      <c r="F22" s="16"/>
      <c r="G22" s="209">
        <f t="shared" si="0"/>
        <v>0</v>
      </c>
      <c r="H22" s="48">
        <f t="shared" si="1"/>
        <v>0</v>
      </c>
      <c r="I22" s="846">
        <f t="shared" si="2"/>
        <v>0</v>
      </c>
      <c r="J22" s="209">
        <v>0</v>
      </c>
      <c r="K22" s="209">
        <v>0</v>
      </c>
      <c r="L22" s="209">
        <v>0</v>
      </c>
      <c r="M22" s="209">
        <f>SUM(G22:L22)-44</f>
        <v>-44</v>
      </c>
      <c r="N22" s="313" t="s">
        <v>40</v>
      </c>
      <c r="O22" s="297">
        <f>SUMIFS([1]مرداد!$AF$2:$AF$805,[1]مرداد!$O$2:$O$805,7303,[1]مرداد!$D$2:$D$805,$F$22,[1]مرداد!$AC$2:$AC$805,O3)</f>
        <v>0</v>
      </c>
      <c r="P22" s="297">
        <f>SUMIFS([1]مرداد!$AF$2:$AF$805,[1]مرداد!$O$2:$O$805,7303,[1]مرداد!$D$2:$D$805,$F$22,[1]مرداد!$AC$2:$AC$805,P3)</f>
        <v>0</v>
      </c>
      <c r="Q22" s="297">
        <f>SUMIFS([1]مرداد!$AF$2:$AF$805,[1]مرداد!$O$2:$O$805,7303,[1]مرداد!$D$2:$D$805,$F$22,[1]مرداد!$AC$2:$AC$805,Q3)</f>
        <v>0</v>
      </c>
      <c r="R22" s="297">
        <f>SUMIFS([1]مرداد!$AF$2:$AF$805,[1]مرداد!$O$2:$O$805,7303,[1]مرداد!$D$2:$D$805,$F$22,[1]مرداد!$AC$2:$AC$805,R3)</f>
        <v>0</v>
      </c>
      <c r="S22" s="297">
        <f>SUMIFS([1]مرداد!$AF$2:$AF$805,[1]مرداد!$O$2:$O$805,7303,[1]مرداد!$D$2:$D$805,$F$22,[1]مرداد!$AC$2:$AC$805,S3)</f>
        <v>0</v>
      </c>
      <c r="T22" s="892">
        <f>SUMIFS([1]مرداد!$AF$2:$AF$805,[1]مرداد!$O$2:$O$805,7303,[1]مرداد!$D$2:$D$805,$F$22,[1]مرداد!$AC$2:$AC$805,T3)</f>
        <v>0</v>
      </c>
      <c r="U22" s="893">
        <f>SUMIFS([1]مرداد!$AF$2:$AF$805,[1]مرداد!$O$2:$O$805,7303,[1]مرداد!$D$2:$D$805,$F$22,[1]مرداد!$AC$2:$AC$805,U3)</f>
        <v>0</v>
      </c>
      <c r="V22" s="181">
        <f>SUMIFS([1]مرداد!$AH$2:$AH$805,[1]مرداد!$O$2:$O$805,7303,[1]مرداد!$D$2:$D$805,$F$22,[1]مرداد!$AC$2:$AC$805,V3)</f>
        <v>0</v>
      </c>
      <c r="W22" s="297">
        <f>SUMIFS([1]مرداد!$AH$2:$AH$805,[1]مرداد!$O$2:$O$805,7303,[1]مرداد!$D$2:$D$805,$F$22,[1]مرداد!$AC$2:$AC$805,W3)</f>
        <v>0</v>
      </c>
      <c r="X22" s="297">
        <f>SUMIFS([1]مرداد!$AH$2:$AH$805,[1]مرداد!$O$2:$O$805,7303,[1]مرداد!$D$2:$D$805,$F$22,[1]مرداد!$AC$2:$AC$805,X3)</f>
        <v>0</v>
      </c>
      <c r="Y22" s="297">
        <f>SUMIFS([1]مرداد!$AH$2:$AH$805,[1]مرداد!$O$2:$O$805,7303,[1]مرداد!$D$2:$D$805,$F$22,[1]مرداد!$AC$2:$AC$805,Y3)</f>
        <v>0</v>
      </c>
      <c r="Z22" s="297">
        <f>SUMIFS([1]مرداد!$AH$2:$AH$805,[1]مرداد!$O$2:$O$805,7303,[1]مرداد!$D$2:$D$805,$F$22,[1]مرداد!$AC$2:$AC$805,Z3)</f>
        <v>0</v>
      </c>
      <c r="AA22" s="892">
        <f>SUMIFS([1]مرداد!$AH$2:$AH$805,[1]مرداد!$O$2:$O$805,7303,[1]مرداد!$D$2:$D$805,$F$22,[1]مرداد!$AC$2:$AC$805,AA3)</f>
        <v>0</v>
      </c>
      <c r="AB22" s="893">
        <f>SUMIFS([1]مرداد!$AH$2:$AH$805,[1]مرداد!$O$2:$O$805,7303,[1]مرداد!$D$2:$D$805,$F$22,[1]مرداد!$AC$2:$AC$805,AB3)</f>
        <v>0</v>
      </c>
    </row>
    <row r="23" spans="1:28" ht="33.75" customHeight="1" x14ac:dyDescent="0.25">
      <c r="A23" s="838"/>
      <c r="B23" s="835"/>
      <c r="C23" s="42"/>
      <c r="D23" s="814"/>
      <c r="E23" s="932" t="s">
        <v>15</v>
      </c>
      <c r="F23" s="574"/>
      <c r="G23" s="846">
        <f t="shared" si="0"/>
        <v>0</v>
      </c>
      <c r="H23" s="46">
        <f t="shared" si="1"/>
        <v>0</v>
      </c>
      <c r="I23" s="846">
        <f t="shared" si="2"/>
        <v>0</v>
      </c>
      <c r="J23" s="846">
        <v>0</v>
      </c>
      <c r="K23" s="846">
        <v>0</v>
      </c>
      <c r="L23" s="846">
        <v>0</v>
      </c>
      <c r="M23" s="21"/>
      <c r="N23" s="1004" t="s">
        <v>180</v>
      </c>
      <c r="O23" s="292">
        <f>SUMIFS([1]مرداد!$AF$2:$AF$805,[1]مرداد!$O$2:$O$805,7401,[1]مرداد!$D$2:$D$805,$F$23,[1]مرداد!$AC$2:$AC$805,O3)</f>
        <v>0</v>
      </c>
      <c r="P23" s="292">
        <f>SUMIFS([1]مرداد!$AF$2:$AF$805,[1]مرداد!$O$2:$O$805,7401,[1]مرداد!$D$2:$D$805,$F$23,[1]مرداد!$AC$2:$AC$805,P3)</f>
        <v>0</v>
      </c>
      <c r="Q23" s="292">
        <f>SUMIFS([1]مرداد!$AF$2:$AF$805,[1]مرداد!$O$2:$O$805,7401,[1]مرداد!$D$2:$D$805,$F$23,[1]مرداد!$AC$2:$AC$805,Q3)</f>
        <v>0</v>
      </c>
      <c r="R23" s="292">
        <f>SUMIFS([1]مرداد!$AF$2:$AF$805,[1]مرداد!$O$2:$O$805,7401,[1]مرداد!$D$2:$D$805,$F$23,[1]مرداد!$AC$2:$AC$805,R3)</f>
        <v>0</v>
      </c>
      <c r="S23" s="292">
        <f>SUMIFS([1]مرداد!$AF$2:$AF$805,[1]مرداد!$O$2:$O$805,7401,[1]مرداد!$D$2:$D$805,$F$23,[1]مرداد!$AC$2:$AC$805,S3)</f>
        <v>0</v>
      </c>
      <c r="T23" s="393">
        <f>SUMIFS([1]مرداد!$AF$2:$AF$805,[1]مرداد!$O$2:$O$805,7401,[1]مرداد!$D$2:$D$805,$F$23,[1]مرداد!$AC$2:$AC$805,T3)</f>
        <v>0</v>
      </c>
      <c r="U23" s="454">
        <f>SUMIFS([1]مرداد!$AF$2:$AF$805,[1]مرداد!$O$2:$O$805,7401,[1]مرداد!$D$2:$D$805,$F$23,[1]مرداد!$AC$2:$AC$805,U3)</f>
        <v>0</v>
      </c>
      <c r="V23" s="165">
        <f>SUMIFS([1]مرداد!$AH$2:$AH$805,[1]مرداد!$O$2:$O$805,7401,[1]مرداد!$D$2:$D$805,$F$23,[1]مرداد!$AC$2:$AC$805,V3)</f>
        <v>0</v>
      </c>
      <c r="W23" s="292">
        <f>SUMIFS([1]مرداد!$AH$2:$AH$805,[1]مرداد!$O$2:$O$805,7401,[1]مرداد!$D$2:$D$805,$F$23,[1]مرداد!$AC$2:$AC$805,W3)</f>
        <v>0</v>
      </c>
      <c r="X23" s="292">
        <f>SUMIFS([1]مرداد!$AH$2:$AH$805,[1]مرداد!$O$2:$O$805,7401,[1]مرداد!$D$2:$D$805,$F$23,[1]مرداد!$AC$2:$AC$805,X3)</f>
        <v>0</v>
      </c>
      <c r="Y23" s="292">
        <f>SUMIFS([1]مرداد!$AH$2:$AH$805,[1]مرداد!$O$2:$O$805,7401,[1]مرداد!$D$2:$D$805,$F$23,[1]مرداد!$AC$2:$AC$805,Y3)</f>
        <v>0</v>
      </c>
      <c r="Z23" s="292">
        <f>SUMIFS([1]مرداد!$AH$2:$AH$805,[1]مرداد!$O$2:$O$805,7401,[1]مرداد!$D$2:$D$805,$F$23,[1]مرداد!$AC$2:$AC$805,Z3)</f>
        <v>0</v>
      </c>
      <c r="AA23" s="393">
        <f>SUMIFS([1]مرداد!$AH$2:$AH$805,[1]مرداد!$O$2:$O$805,7401,[1]مرداد!$D$2:$D$805,$F$23,[1]مرداد!$AC$2:$AC$805,AA3)</f>
        <v>0</v>
      </c>
      <c r="AB23" s="454">
        <f>SUMIFS([1]مرداد!$AH$2:$AH$805,[1]مرداد!$O$2:$O$805,7401,[1]مرداد!$D$2:$D$805,$F$23,[1]مرداد!$AC$2:$AC$805,AB3)</f>
        <v>0</v>
      </c>
    </row>
    <row r="24" spans="1:28" ht="33.75" customHeight="1" x14ac:dyDescent="0.25">
      <c r="A24" s="839">
        <v>11</v>
      </c>
      <c r="B24" s="829" t="s">
        <v>24</v>
      </c>
      <c r="C24" s="815">
        <v>7401</v>
      </c>
      <c r="D24" s="815">
        <v>55</v>
      </c>
      <c r="E24" s="1003"/>
      <c r="F24" s="22" t="s">
        <v>16</v>
      </c>
      <c r="G24" s="3">
        <f t="shared" si="0"/>
        <v>16.5</v>
      </c>
      <c r="H24" s="47">
        <f t="shared" si="1"/>
        <v>0</v>
      </c>
      <c r="I24" s="3">
        <f t="shared" si="2"/>
        <v>0</v>
      </c>
      <c r="J24" s="3">
        <v>0</v>
      </c>
      <c r="K24" s="3">
        <v>0</v>
      </c>
      <c r="L24" s="205">
        <v>0</v>
      </c>
      <c r="M24" s="4">
        <f>SUM(G23:L25)-D24</f>
        <v>-38.5</v>
      </c>
      <c r="N24" s="1005"/>
      <c r="O24" s="293">
        <f>SUMIFS([1]مرداد!$AF$2:$AF$805,[1]مرداد!$O$2:$O$805,7401,[1]مرداد!$D$2:$D$805,$F$24,[1]مرداد!$AC$2:$AC$805,O3)</f>
        <v>4</v>
      </c>
      <c r="P24" s="293">
        <f>SUMIFS([1]شهریور!$AF$2:$AF$805,[1]شهریور!$O$2:$O$805,7401,[1]شهریور!$D$2:$D$805,$F$24,[1]شهریور!$AC$2:$AC$805,P3)</f>
        <v>2</v>
      </c>
      <c r="Q24" s="293">
        <f>SUMIFS([1]شهریور!$AF$2:$AF$805,[1]شهریور!$O$2:$O$805,7401,[1]شهریور!$D$2:$D$805,$F$24,[1]شهریور!$AC$2:$AC$805,Q3)</f>
        <v>0</v>
      </c>
      <c r="R24" s="293">
        <f>SUMIFS([1]شهریور!$AF$2:$AF$805,[1]شهریور!$O$2:$O$805,7401,[1]شهریور!$D$2:$D$805,$F$24,[1]شهریور!$AC$2:$AC$805,R3)</f>
        <v>10.5</v>
      </c>
      <c r="S24" s="293">
        <f>SUMIFS([1]شهریور!$AF$2:$AF$805,[1]شهریور!$O$2:$O$805,7401,[1]شهریور!$D$2:$D$805,$F$24,[1]شهریور!$AC$2:$AC$805,S3)</f>
        <v>0</v>
      </c>
      <c r="T24" s="891">
        <f>SUMIFS([1]شهریور!$AF$2:$AF$805,[1]شهریور!$O$2:$O$805,7401,[1]شهریور!$D$2:$D$805,$F$24,[1]شهریور!$AC$2:$AC$805,T3)</f>
        <v>0</v>
      </c>
      <c r="U24" s="891">
        <f>SUMIFS([1]شهریور!$AF$2:$AF$805,[1]شهریور!$O$2:$O$805,7401,[1]شهریور!$D$2:$D$805,$F$24,[1]شهریور!$AC$2:$AC$805,U3)</f>
        <v>0</v>
      </c>
      <c r="V24" s="166">
        <f>SUMIFS([1]مرداد!$AH$2:$AH$805,[1]مرداد!$O$2:$O$805,7401,[1]مرداد!$D$2:$D$805,$F$24,[1]مرداد!$AC$2:$AC$805,V3)</f>
        <v>0</v>
      </c>
      <c r="W24" s="293">
        <f>SUMIFS([1]مرداد!$AH$2:$AH$805,[1]مرداد!$O$2:$O$805,7401,[1]مرداد!$D$2:$D$805,$F$24,[1]مرداد!$AC$2:$AC$805,W3)</f>
        <v>0</v>
      </c>
      <c r="X24" s="293">
        <f>SUMIFS([1]مرداد!$AH$2:$AH$805,[1]مرداد!$O$2:$O$805,7401,[1]مرداد!$D$2:$D$805,$F$24,[1]مرداد!$AC$2:$AC$805,X3)</f>
        <v>0</v>
      </c>
      <c r="Y24" s="293">
        <f>SUMIFS([1]مرداد!$AH$2:$AH$805,[1]مرداد!$O$2:$O$805,7401,[1]مرداد!$D$2:$D$805,$F$24,[1]مرداد!$AC$2:$AC$805,Y3)</f>
        <v>0</v>
      </c>
      <c r="Z24" s="293">
        <f>SUMIFS([1]مرداد!$AH$2:$AH$805,[1]مرداد!$O$2:$O$805,7401,[1]مرداد!$D$2:$D$805,$F$24,[1]مرداد!$AC$2:$AC$805,Z3)</f>
        <v>0</v>
      </c>
      <c r="AA24" s="891">
        <f>SUMIFS([1]مرداد!$AH$2:$AH$805,[1]مرداد!$O$2:$O$805,7401,[1]مرداد!$D$2:$D$805,$F$24,[1]مرداد!$AC$2:$AC$805,AA3)</f>
        <v>0</v>
      </c>
      <c r="AB24" s="901">
        <f>SUMIFS([1]مرداد!$AH$2:$AH$805,[1]مرداد!$O$2:$O$805,7401,[1]مرداد!$D$2:$D$805,$F$24,[1]مرداد!$AC$2:$AC$805,AB3)</f>
        <v>0</v>
      </c>
    </row>
    <row r="25" spans="1:28" ht="33.75" customHeight="1" thickBot="1" x14ac:dyDescent="0.3">
      <c r="A25" s="840"/>
      <c r="B25" s="837"/>
      <c r="C25" s="43"/>
      <c r="D25" s="816"/>
      <c r="E25" s="934"/>
      <c r="F25" s="5"/>
      <c r="G25" s="6">
        <f t="shared" si="0"/>
        <v>0</v>
      </c>
      <c r="H25" s="761">
        <f t="shared" si="1"/>
        <v>0</v>
      </c>
      <c r="I25" s="1">
        <f t="shared" si="2"/>
        <v>0</v>
      </c>
      <c r="J25" s="7">
        <v>0</v>
      </c>
      <c r="K25" s="6">
        <v>0</v>
      </c>
      <c r="L25" s="6">
        <v>0</v>
      </c>
      <c r="M25" s="6"/>
      <c r="N25" s="1006"/>
      <c r="O25" s="294">
        <f>SUMIFS([1]تیر!$AF$2:$AF$805,[1]تیر!$O$2:$O$805,7401,[1]تیر!$D$2:$D$805,$F$25,[1]تیر!$AC$2:$AC$805,O3)</f>
        <v>0</v>
      </c>
      <c r="P25" s="172">
        <f>SUMIFS([1]تیر!$AF$2:$AF$805,[1]تیر!$O$2:$O$805,7401,[1]تیر!$D$2:$D$805,$F$25,[1]تیر!$AC$2:$AC$805,P3)</f>
        <v>0</v>
      </c>
      <c r="Q25" s="172">
        <f>SUMIFS([1]تیر!$AF$2:$AF$805,[1]تیر!$O$2:$O$805,7401,[1]تیر!$D$2:$D$805,$F$25,[1]تیر!$AC$2:$AC$805,Q3)</f>
        <v>0</v>
      </c>
      <c r="R25" s="172">
        <f>SUMIFS([1]تیر!$AF$2:$AF$805,[1]تیر!$O$2:$O$805,7401,[1]تیر!$D$2:$D$805,$F$25,[1]تیر!$AC$2:$AC$805,R3)</f>
        <v>0</v>
      </c>
      <c r="S25" s="172">
        <f>SUMIFS([1]تیر!$AF$2:$AF$805,[1]تیر!$O$2:$O$805,7401,[1]تیر!$D$2:$D$805,$F$25,[1]تیر!$AC$2:$AC$805,S3)</f>
        <v>0</v>
      </c>
      <c r="T25" s="103">
        <f>SUMIFS([1]تیر!$AF$2:$AF$805,[1]تیر!$O$2:$O$805,7401,[1]تیر!$D$2:$D$805,$F$25,[1]تیر!$AC$2:$AC$805,T3)</f>
        <v>0</v>
      </c>
      <c r="U25" s="109">
        <f>SUMIFS([1]تیر!$AF$2:$AF$805,[1]تیر!$O$2:$O$805,7401,[1]تیر!$D$2:$D$805,$F$25,[1]تیر!$AC$2:$AC$805,U3)</f>
        <v>0</v>
      </c>
      <c r="V25" s="171">
        <f>SUMIFS([1]مرداد!$AH$2:$AH$805,[1]مرداد!$O$2:$O$805,7401,[1]مرداد!$D$2:$D$805,$F$25,[1]مرداد!$AC$2:$AC$805,V3)</f>
        <v>0</v>
      </c>
      <c r="W25" s="294">
        <f>SUMIFS([1]مرداد!$AH$2:$AH$805,[1]مرداد!$O$2:$O$805,7401,[1]مرداد!$D$2:$D$805,$F$25,[1]مرداد!$AC$2:$AC$805,W3)</f>
        <v>0</v>
      </c>
      <c r="X25" s="294">
        <f>SUMIFS([1]مرداد!$AH$2:$AH$805,[1]مرداد!$O$2:$O$805,7401,[1]مرداد!$D$2:$D$805,$F$25,[1]مرداد!$AC$2:$AC$805,X3)</f>
        <v>0</v>
      </c>
      <c r="Y25" s="294">
        <f>SUMIFS([1]مرداد!$AH$2:$AH$805,[1]مرداد!$O$2:$O$805,7401,[1]مرداد!$D$2:$D$805,$F$25,[1]مرداد!$AC$2:$AC$805,Y3)</f>
        <v>0</v>
      </c>
      <c r="Z25" s="294">
        <f>SUMIFS([1]مرداد!$AH$2:$AH$805,[1]مرداد!$O$2:$O$805,7401,[1]مرداد!$D$2:$D$805,$F$25,[1]مرداد!$AC$2:$AC$805,Z3)</f>
        <v>0</v>
      </c>
      <c r="AA25" s="904">
        <f>SUMIFS([1]مرداد!$AH$2:$AH$805,[1]مرداد!$O$2:$O$805,7401,[1]مرداد!$D$2:$D$805,$F$25,[1]مرداد!$AC$2:$AC$805,AA3)</f>
        <v>0</v>
      </c>
      <c r="AB25" s="700">
        <f>SUMIFS([1]مرداد!$AH$2:$AH$805,[1]مرداد!$O$2:$O$805,7401,[1]مرداد!$D$2:$D$805,$F$25,[1]مرداد!$AC$2:$AC$805,AB3)</f>
        <v>0</v>
      </c>
    </row>
    <row r="26" spans="1:28" ht="33.75" hidden="1" customHeight="1" thickBot="1" x14ac:dyDescent="0.3">
      <c r="A26" s="766"/>
      <c r="B26" s="12"/>
      <c r="C26" s="13"/>
      <c r="D26" s="13"/>
      <c r="E26" s="767"/>
      <c r="F26" s="16"/>
      <c r="G26" s="14">
        <f t="shared" si="0"/>
        <v>0</v>
      </c>
      <c r="H26" s="48">
        <f t="shared" si="1"/>
        <v>0</v>
      </c>
      <c r="I26" s="846">
        <f t="shared" si="2"/>
        <v>0</v>
      </c>
      <c r="J26" s="14">
        <v>0</v>
      </c>
      <c r="K26" s="14">
        <v>0</v>
      </c>
      <c r="L26" s="14">
        <v>0</v>
      </c>
      <c r="M26" s="14"/>
      <c r="N26" s="768"/>
      <c r="O26" s="295">
        <f>SUMIFS([1]اردیبهشت!$AD$2:$AD$805,[1]اردیبهشت!$N$2:$N$805,$C$26,[1]اردیبهشت!$D$2:$D$805,$F$26,[1]اردیبهشت!$AA$2:$AA$805,O3)</f>
        <v>0</v>
      </c>
      <c r="P26" s="177">
        <f>SUMIFS([1]اردیبهشت!$AD$2:$AD$805,[1]اردیبهشت!$N$2:$N$805,$C$26,[1]اردیبهشت!$D$2:$D$805,$F$26,[1]اردیبهشت!$AA$2:$AA$805,P3)</f>
        <v>0</v>
      </c>
      <c r="Q26" s="177">
        <f>SUMIFS([1]اردیبهشت!$AD$2:$AD$805,[1]اردیبهشت!$N$2:$N$805,$C$26,[1]اردیبهشت!$D$2:$D$805,$F$26,[1]اردیبهشت!$AA$2:$AA$805,Q3)</f>
        <v>0</v>
      </c>
      <c r="R26" s="177">
        <f>SUMIFS([1]اردیبهشت!$AD$2:$AD$805,[1]اردیبهشت!$N$2:$N$805,$C$26,[1]اردیبهشت!$D$2:$D$805,$F$26,[1]اردیبهشت!$AA$2:$AA$805,R3)</f>
        <v>0</v>
      </c>
      <c r="S26" s="177">
        <f>SUMIFS([1]اردیبهشت!$AD$2:$AD$805,[1]اردیبهشت!$N$2:$N$805,$C$26,[1]اردیبهشت!$D$2:$D$805,$F$26,[1]اردیبهشت!$AA$2:$AA$805,S3)</f>
        <v>0</v>
      </c>
      <c r="T26" s="99">
        <f>SUMIFS([1]اردیبهشت!$AD$2:$AD$805,[1]اردیبهشت!$N$2:$N$805,$C$26,[1]اردیبهشت!$D$2:$D$805,$F$26,[1]اردیبهشت!$AA$2:$AA$805,T3)</f>
        <v>0</v>
      </c>
      <c r="U26" s="113">
        <f>SUMIFS([1]خرداد!$AF$2:$AF$700,[1]خرداد!$O$2:$O$700,7101,[1]خرداد!$D$2:$D$700,$F$4,[1]خرداد!$AC$2:$AC$700,U25)</f>
        <v>0</v>
      </c>
      <c r="V26" s="295">
        <f>SUMIFS([1]اردیبهشت!$AD$2:$AD$805,[1]اردیبهشت!$N$2:$N$805,$C$26,[1]اردیبهشت!$D$2:$D$805,$F$26,[1]اردیبهشت!$AA$2:$AA$805,V3)</f>
        <v>0</v>
      </c>
      <c r="W26" s="177">
        <f>SUMIFS([1]اردیبهشت!$AD$2:$AD$805,[1]اردیبهشت!$N$2:$N$805,$C$26,[1]اردیبهشت!$D$2:$D$805,$F$26,[1]اردیبهشت!$AA$2:$AA$805,W3)</f>
        <v>0</v>
      </c>
      <c r="X26" s="177">
        <f>SUMIFS([1]اردیبهشت!$AD$2:$AD$805,[1]اردیبهشت!$N$2:$N$805,$C$26,[1]اردیبهشت!$D$2:$D$805,$F$26,[1]اردیبهشت!$AA$2:$AA$805,X3)</f>
        <v>0</v>
      </c>
      <c r="Y26" s="177">
        <f>SUMIFS([1]اردیبهشت!$AD$2:$AD$805,[1]اردیبهشت!$N$2:$N$805,$C$26,[1]اردیبهشت!$D$2:$D$805,$F$26,[1]اردیبهشت!$AA$2:$AA$805,Y3)</f>
        <v>0</v>
      </c>
      <c r="Z26" s="177">
        <f>SUMIFS([1]اردیبهشت!$AD$2:$AD$805,[1]اردیبهشت!$N$2:$N$805,$C$26,[1]اردیبهشت!$D$2:$D$805,$F$26,[1]اردیبهشت!$AA$2:$AA$805,Z3)</f>
        <v>0</v>
      </c>
      <c r="AA26" s="99">
        <f>SUMIFS([1]اردیبهشت!$AD$2:$AD$805,[1]اردیبهشت!$N$2:$N$805,$C$26,[1]اردیبهشت!$D$2:$D$805,$F$26,[1]اردیبهشت!$AA$2:$AA$805,AA3)</f>
        <v>0</v>
      </c>
      <c r="AB26" s="113">
        <f>SUMIFS([1]خرداد!$AF$2:$AF$700,[1]خرداد!$O$2:$O$700,7101,[1]خرداد!$D$2:$D$700,$F$4,[1]خرداد!$AC$2:$AC$700,AB25)</f>
        <v>0</v>
      </c>
    </row>
    <row r="27" spans="1:28" ht="33.75" customHeight="1" thickBot="1" x14ac:dyDescent="0.3">
      <c r="A27" s="12">
        <v>12</v>
      </c>
      <c r="B27" s="13" t="s">
        <v>25</v>
      </c>
      <c r="C27" s="13">
        <v>7501</v>
      </c>
      <c r="D27" s="13">
        <v>55</v>
      </c>
      <c r="E27" s="13" t="s">
        <v>19</v>
      </c>
      <c r="F27" s="16" t="s">
        <v>36</v>
      </c>
      <c r="G27" s="14">
        <f t="shared" si="0"/>
        <v>0</v>
      </c>
      <c r="H27" s="48">
        <f t="shared" si="1"/>
        <v>0</v>
      </c>
      <c r="I27" s="14">
        <f t="shared" si="2"/>
        <v>0</v>
      </c>
      <c r="J27" s="14">
        <v>55</v>
      </c>
      <c r="K27" s="14">
        <v>0</v>
      </c>
      <c r="L27" s="14">
        <v>0</v>
      </c>
      <c r="M27" s="14">
        <f>SUM(G26:L28)-D27</f>
        <v>0</v>
      </c>
      <c r="N27" s="61"/>
      <c r="O27" s="353">
        <f>SUMIFS([1]مرداد!$AF$2:$AF$805,[1]مرداد!$O$2:$O$805,7501,[1]مرداد!$D$2:$D$805,$F$27,[1]مرداد!$AC$2:$AC$805,O3)</f>
        <v>0</v>
      </c>
      <c r="P27" s="747">
        <f>SUMIFS([1]مرداد!$AF$2:$AF$805,[1]مرداد!$O$2:$O$805,7501,[1]مرداد!$D$2:$D$805,$F$27,[1]مرداد!$AC$2:$AC$805,P3)</f>
        <v>0</v>
      </c>
      <c r="Q27" s="747">
        <f>SUMIFS([1]مرداد!$AF$2:$AF$805,[1]مرداد!$O$2:$O$805,7501,[1]مرداد!$D$2:$D$805,$F$27,[1]مرداد!$AC$2:$AC$805,Q3)</f>
        <v>0</v>
      </c>
      <c r="R27" s="747">
        <f>SUMIFS([1]مرداد!$AF$2:$AF$805,[1]مرداد!$O$2:$O$805,7501,[1]مرداد!$D$2:$D$805,$F$27,[1]مرداد!$AC$2:$AC$805,R3)</f>
        <v>0</v>
      </c>
      <c r="S27" s="747">
        <f>SUMIFS([1]مرداد!$AF$2:$AF$805,[1]مرداد!$O$2:$O$805,7501,[1]مرداد!$D$2:$D$805,$F$27,[1]مرداد!$AC$2:$AC$805,S3)</f>
        <v>0</v>
      </c>
      <c r="T27" s="894">
        <f>SUMIFS([1]مرداد!$AF$2:$AF$805,[1]مرداد!$O$2:$O$805,7501,[1]مرداد!$D$2:$D$805,$F$27,[1]مرداد!$AC$2:$AC$805,T3)</f>
        <v>0</v>
      </c>
      <c r="U27" s="753">
        <f>SUMIFS([1]مرداد!$AF$2:$AF$805,[1]مرداد!$O$2:$O$805,7501,[1]مرداد!$D$2:$D$805,$F$27,[1]مرداد!$AC$2:$AC$805,U3)</f>
        <v>0</v>
      </c>
      <c r="V27" s="176">
        <f>SUMIFS([1]مرداد!$AH$2:$AH$805,[1]مرداد!$O$2:$O$805,7501,[1]مرداد!$D$2:$D$805,$F$27,[1]مرداد!$AC$2:$AC$805,V3)</f>
        <v>0</v>
      </c>
      <c r="W27" s="295">
        <f>SUMIFS([1]مرداد!$AH$2:$AH$805,[1]مرداد!$O$2:$O$805,7501,[1]مرداد!$D$2:$D$805,$F$27,[1]مرداد!$AC$2:$AC$805,W3)</f>
        <v>0</v>
      </c>
      <c r="X27" s="295">
        <f>SUMIFS([1]مرداد!$AH$2:$AH$805,[1]مرداد!$O$2:$O$805,7501,[1]مرداد!$D$2:$D$805,$F$27,[1]مرداد!$AC$2:$AC$805,X3)</f>
        <v>0</v>
      </c>
      <c r="Y27" s="295">
        <f>SUMIFS([1]مرداد!$AH$2:$AH$805,[1]مرداد!$O$2:$O$805,7501,[1]مرداد!$D$2:$D$805,$F$27,[1]مرداد!$AC$2:$AC$805,Y3)</f>
        <v>0</v>
      </c>
      <c r="Z27" s="295">
        <f>SUMIFS([1]مرداد!$AH$2:$AH$805,[1]مرداد!$O$2:$O$805,7501,[1]مرداد!$D$2:$D$805,$F$27,[1]مرداد!$AC$2:$AC$805,Z3)</f>
        <v>0</v>
      </c>
      <c r="AA27" s="456">
        <f>SUMIFS([1]مرداد!$AH$2:$AH$805,[1]مرداد!$O$2:$O$805,7501,[1]مرداد!$D$2:$D$805,$F$27,[1]مرداد!$AC$2:$AC$805,AA3)</f>
        <v>0</v>
      </c>
      <c r="AB27" s="701">
        <f>SUMIFS([1]مرداد!$AH$2:$AH$805,[1]مرداد!$O$2:$O$805,7501,[1]مرداد!$D$2:$D$805,$F$27,[1]مرداد!$AC$2:$AC$805,AB3)</f>
        <v>0</v>
      </c>
    </row>
    <row r="28" spans="1:28" ht="33.75" hidden="1" customHeight="1" thickBot="1" x14ac:dyDescent="0.3">
      <c r="A28" s="837"/>
      <c r="B28" s="815"/>
      <c r="C28" s="815"/>
      <c r="D28" s="815"/>
      <c r="E28" s="750"/>
      <c r="F28" s="66"/>
      <c r="G28" s="4">
        <f t="shared" si="0"/>
        <v>0</v>
      </c>
      <c r="H28" s="67">
        <f t="shared" si="1"/>
        <v>0</v>
      </c>
      <c r="I28" s="1">
        <f t="shared" si="2"/>
        <v>0</v>
      </c>
      <c r="J28" s="4">
        <v>0</v>
      </c>
      <c r="K28" s="4">
        <v>0</v>
      </c>
      <c r="L28" s="4">
        <v>0</v>
      </c>
      <c r="M28" s="4"/>
      <c r="N28" s="812"/>
      <c r="O28" s="577">
        <f>SUMIFS([1]تیر!$AF$2:$AF$805,[1]تیر!$O$2:$O$805,7501,[1]تیر!$D$2:$D$805,$F$28,[1]تیر!$AC$2:$AC$805,O3)</f>
        <v>0</v>
      </c>
      <c r="P28" s="202">
        <f>SUMIFS([1]تیر!$AF$2:$AF$805,[1]تیر!$O$2:$O$805,7501,[1]تیر!$D$2:$D$805,$F$28,[1]تیر!$AC$2:$AC$805,P3)</f>
        <v>0</v>
      </c>
      <c r="Q28" s="202">
        <f>SUMIFS([1]تیر!$AF$2:$AF$805,[1]تیر!$O$2:$O$805,7501,[1]تیر!$D$2:$D$805,$F$28,[1]تیر!$AC$2:$AC$805,Q3)</f>
        <v>0</v>
      </c>
      <c r="R28" s="202">
        <f>SUMIFS([1]تیر!$AF$2:$AF$805,[1]تیر!$O$2:$O$805,7501,[1]تیر!$D$2:$D$805,$F$28,[1]تیر!$AC$2:$AC$805,R3)</f>
        <v>0</v>
      </c>
      <c r="S28" s="202">
        <f>SUMIFS([1]تیر!$AF$2:$AF$805,[1]تیر!$O$2:$O$805,7501,[1]تیر!$D$2:$D$805,$F$28,[1]تیر!$AC$2:$AC$805,S3)</f>
        <v>0</v>
      </c>
      <c r="T28" s="895">
        <f>SUMIFS([1]تیر!$AF$2:$AF$805,[1]تیر!$O$2:$O$805,7501,[1]تیر!$D$2:$D$805,$F$28,[1]تیر!$AC$2:$AC$805,T3)</f>
        <v>0</v>
      </c>
      <c r="U28" s="120">
        <f>SUMIFS([1]تیر!$AF$2:$AF$805,[1]تیر!$O$2:$O$805,7501,[1]تیر!$D$2:$D$805,$F$28,[1]تیر!$AC$2:$AC$805,U3)</f>
        <v>0</v>
      </c>
      <c r="V28" s="577">
        <f>SUMIFS([1]مرداد!$AH$2:$AH$805,[1]مرداد!$O$2:$O$805,7302,[1]مرداد!$D$2:$D$805,$F$21,[1]مرداد!$AC$2:$AC$805,V3)</f>
        <v>0</v>
      </c>
      <c r="W28" s="202">
        <f>SUMIFS([1]تیر!$AF$2:$AF$805,[1]تیر!$O$2:$O$805,7501,[1]تیر!$D$2:$D$805,$F$28,[1]تیر!$AC$2:$AC$805,W3)</f>
        <v>0</v>
      </c>
      <c r="X28" s="202">
        <f>SUMIFS([1]تیر!$AF$2:$AF$805,[1]تیر!$O$2:$O$805,7501,[1]تیر!$D$2:$D$805,$F$28,[1]تیر!$AC$2:$AC$805,X3)</f>
        <v>0</v>
      </c>
      <c r="Y28" s="202">
        <f>SUMIFS([1]تیر!$AF$2:$AF$805,[1]تیر!$O$2:$O$805,7501,[1]تیر!$D$2:$D$805,$F$28,[1]تیر!$AC$2:$AC$805,Y3)</f>
        <v>0</v>
      </c>
      <c r="Z28" s="202">
        <f>SUMIFS([1]تیر!$AF$2:$AF$805,[1]تیر!$O$2:$O$805,7501,[1]تیر!$D$2:$D$805,$F$28,[1]تیر!$AC$2:$AC$805,Z3)</f>
        <v>0</v>
      </c>
      <c r="AA28" s="895">
        <f>SUMIFS([1]تیر!$AF$2:$AF$805,[1]تیر!$O$2:$O$805,7501,[1]تیر!$D$2:$D$805,$F$28,[1]تیر!$AC$2:$AC$805,AA3)</f>
        <v>0</v>
      </c>
      <c r="AB28" s="120">
        <f>SUMIFS([1]تیر!$AF$2:$AF$805,[1]تیر!$O$2:$O$805,7501,[1]تیر!$D$2:$D$805,$F$28,[1]تیر!$AC$2:$AC$805,AB3)</f>
        <v>0</v>
      </c>
    </row>
    <row r="29" spans="1:28" ht="33.75" hidden="1" customHeight="1" thickBot="1" x14ac:dyDescent="0.3">
      <c r="A29" s="839"/>
      <c r="B29" s="12"/>
      <c r="C29" s="13"/>
      <c r="D29" s="13"/>
      <c r="E29" s="767"/>
      <c r="F29" s="16"/>
      <c r="G29" s="14">
        <f t="shared" si="0"/>
        <v>0</v>
      </c>
      <c r="H29" s="48">
        <f t="shared" si="1"/>
        <v>0</v>
      </c>
      <c r="I29" s="846">
        <f t="shared" si="2"/>
        <v>0</v>
      </c>
      <c r="J29" s="209">
        <v>0</v>
      </c>
      <c r="K29" s="209">
        <v>0</v>
      </c>
      <c r="L29" s="209">
        <v>0</v>
      </c>
      <c r="M29" s="14"/>
      <c r="N29" s="18"/>
      <c r="O29" s="295">
        <f>SUMIFS([1]تیر!$AF$2:$AF$805,[1]تیر!$O$2:$O$805,7502,[1]تیر!$D$2:$D$805,$F$29,[1]تیر!$AC$2:$AC$805,O3)</f>
        <v>0</v>
      </c>
      <c r="P29" s="177">
        <f>SUMIFS([1]تیر!$AF$2:$AF$805,[1]تیر!$O$2:$O$805,7502,[1]تیر!$D$2:$D$805,$F$29,[1]تیر!$AC$2:$AC$805,P3)</f>
        <v>0</v>
      </c>
      <c r="Q29" s="177">
        <f>SUMIFS([1]تیر!$AF$2:$AF$805,[1]تیر!$O$2:$O$805,7502,[1]تیر!$D$2:$D$805,$F$29,[1]تیر!$AC$2:$AC$805,Q3)</f>
        <v>0</v>
      </c>
      <c r="R29" s="177">
        <f>SUMIFS([1]تیر!$AF$2:$AF$805,[1]تیر!$O$2:$O$805,7502,[1]تیر!$D$2:$D$805,$F$29,[1]تیر!$AC$2:$AC$805,R3)</f>
        <v>0</v>
      </c>
      <c r="S29" s="177">
        <f>SUMIFS([1]تیر!$AF$2:$AF$805,[1]تیر!$O$2:$O$805,7502,[1]تیر!$D$2:$D$805,$F$29,[1]تیر!$AC$2:$AC$805,S3)</f>
        <v>0</v>
      </c>
      <c r="T29" s="99">
        <f>SUMIFS([1]مرداد!$AF$2:$AF$805,[1]مرداد!$O$2:$O$805,7502,[1]مرداد!$D$2:$D$805,F29,[1]مرداد!$AC$2:$AC$805,$T$3)</f>
        <v>0</v>
      </c>
      <c r="U29" s="113">
        <f>SUMIFS([1]تیر!$AF$2:$AF$805,[1]تیر!$O$2:$O$805,7502,[1]تیر!$D$2:$D$805,$F$29,[1]تیر!$AC$2:$AC$805,U3)</f>
        <v>0</v>
      </c>
      <c r="V29" s="295">
        <f>SUMIFS([1]تیر!$AF$2:$AF$805,[1]تیر!$O$2:$O$805,7502,[1]تیر!$D$2:$D$805,$F$29,[1]تیر!$AC$2:$AC$805,V3)</f>
        <v>0</v>
      </c>
      <c r="W29" s="177">
        <f>SUMIFS([1]تیر!$AF$2:$AF$805,[1]تیر!$O$2:$O$805,7502,[1]تیر!$D$2:$D$805,$F$29,[1]تیر!$AC$2:$AC$805,W3)</f>
        <v>0</v>
      </c>
      <c r="X29" s="177">
        <f>SUMIFS([1]تیر!$AF$2:$AF$805,[1]تیر!$O$2:$O$805,7502,[1]تیر!$D$2:$D$805,$F$29,[1]تیر!$AC$2:$AC$805,X3)</f>
        <v>0</v>
      </c>
      <c r="Y29" s="177">
        <f>SUMIFS([1]تیر!$AF$2:$AF$805,[1]تیر!$O$2:$O$805,7502,[1]تیر!$D$2:$D$805,$F$29,[1]تیر!$AC$2:$AC$805,Y3)</f>
        <v>0</v>
      </c>
      <c r="Z29" s="177">
        <f>SUMIFS([1]تیر!$AF$2:$AF$805,[1]تیر!$O$2:$O$805,7502,[1]تیر!$D$2:$D$805,$F$29,[1]تیر!$AC$2:$AC$805,Z3)</f>
        <v>0</v>
      </c>
      <c r="AA29" s="99">
        <f>SUMIFS([1]مرداد!$AF$2:$AF$805,[1]مرداد!$O$2:$O$805,7502,[1]مرداد!$D$2:$D$805,M29,[1]مرداد!$AC$2:$AC$805,$T$3)</f>
        <v>0</v>
      </c>
      <c r="AB29" s="113">
        <f>SUMIFS([1]تیر!$AF$2:$AF$805,[1]تیر!$O$2:$O$805,7502,[1]تیر!$D$2:$D$805,$F$29,[1]تیر!$AC$2:$AC$805,AB3)</f>
        <v>0</v>
      </c>
    </row>
    <row r="30" spans="1:28" ht="33.75" customHeight="1" thickBot="1" x14ac:dyDescent="0.3">
      <c r="A30" s="45">
        <v>13</v>
      </c>
      <c r="B30" s="984" t="s">
        <v>25</v>
      </c>
      <c r="C30" s="936">
        <v>7502</v>
      </c>
      <c r="D30" s="933">
        <v>55</v>
      </c>
      <c r="E30" s="936" t="s">
        <v>15</v>
      </c>
      <c r="F30" s="27" t="s">
        <v>36</v>
      </c>
      <c r="G30" s="1">
        <f t="shared" si="0"/>
        <v>53</v>
      </c>
      <c r="H30" s="49">
        <f t="shared" si="1"/>
        <v>0</v>
      </c>
      <c r="I30" s="846">
        <f t="shared" si="2"/>
        <v>0</v>
      </c>
      <c r="J30" s="1">
        <v>0</v>
      </c>
      <c r="K30" s="1">
        <v>0</v>
      </c>
      <c r="L30" s="1">
        <v>0</v>
      </c>
      <c r="M30" s="1">
        <f>SUM(G29:L31)-D30</f>
        <v>-2</v>
      </c>
      <c r="N30" s="988" t="s">
        <v>42</v>
      </c>
      <c r="O30" s="353">
        <f>SUMIFS([1]مرداد!$AF$2:$AF$805,[1]مرداد!$O$2:$O$805,7502,[1]مرداد!$D$2:$D$805,$F$30,[1]مرداد!$AC$2:$AC$805,O3)</f>
        <v>11</v>
      </c>
      <c r="P30" s="353">
        <f>SUMIFS([1]شهریور!$AF$2:$AF$805,[1]شهریور!$O$2:$O$805,7502,[1]شهریور!$D$2:$D$805,$F$30,[1]شهریور!$AC$2:$AC$805,P3)</f>
        <v>11</v>
      </c>
      <c r="Q30" s="353">
        <f>SUMIFS([1]شهریور!$AF$2:$AF$805,[1]شهریور!$O$2:$O$805,7502,[1]شهریور!$D$2:$D$805,$F$30,[1]شهریور!$AC$2:$AC$805,Q3)</f>
        <v>11</v>
      </c>
      <c r="R30" s="353">
        <f>SUMIFS([1]شهریور!$AF$2:$AF$805,[1]شهریور!$O$2:$O$805,7502,[1]شهریور!$D$2:$D$805,$F$30,[1]شهریور!$AC$2:$AC$805,R3)</f>
        <v>9</v>
      </c>
      <c r="S30" s="353">
        <f>SUMIFS([1]شهریور!$AF$2:$AF$805,[1]شهریور!$O$2:$O$805,7502,[1]شهریور!$D$2:$D$805,$F$30,[1]شهریور!$AC$2:$AC$805,S3)</f>
        <v>11</v>
      </c>
      <c r="T30" s="455">
        <f>SUMIFS([1]شهریور!$AF$2:$AF$805,[1]شهریور!$O$2:$O$805,7502,[1]شهریور!$D$2:$D$805,$F$30,[1]شهریور!$AC$2:$AC$805,T3)</f>
        <v>0</v>
      </c>
      <c r="U30" s="455">
        <f>SUMIFS([1]شهریور!$AF$2:$AF$805,[1]شهریور!$O$2:$O$805,7502,[1]شهریور!$D$2:$D$805,$F$30,[1]شهریور!$AC$2:$AC$805,U3)</f>
        <v>0</v>
      </c>
      <c r="V30" s="353">
        <f>SUMIFS([1]مرداد!$AH$2:$AH$805,[1]مرداد!$O$2:$O$805,7502,[1]مرداد!$D$2:$D$805,$F$30,[1]مرداد!$AC$2:$AC$805,V3)</f>
        <v>0</v>
      </c>
      <c r="W30" s="353">
        <f>SUMIFS([1]مرداد!$AH$2:$AH$805,[1]مرداد!$O$2:$O$805,7502,[1]مرداد!$D$2:$D$805,$F$30,[1]مرداد!$AC$2:$AC$805,W3)</f>
        <v>0</v>
      </c>
      <c r="X30" s="353">
        <f>SUMIFS([1]مرداد!$AH$2:$AH$805,[1]مرداد!$O$2:$O$805,7502,[1]مرداد!$D$2:$D$805,$F$30,[1]مرداد!$AC$2:$AC$805,X3)</f>
        <v>0</v>
      </c>
      <c r="Y30" s="353">
        <f>SUMIFS([1]مرداد!$AH$2:$AH$805,[1]مرداد!$O$2:$O$805,7502,[1]مرداد!$D$2:$D$805,$F$30,[1]مرداد!$AC$2:$AC$805,Y3)</f>
        <v>0</v>
      </c>
      <c r="Z30" s="353">
        <f>SUMIFS([1]مرداد!$AH$2:$AH$805,[1]مرداد!$O$2:$O$805,7502,[1]مرداد!$D$2:$D$805,$F$30,[1]مرداد!$AC$2:$AC$805,Z3)</f>
        <v>0</v>
      </c>
      <c r="AA30" s="455">
        <f>SUMIFS([1]مرداد!$AH$2:$AH$805,[1]مرداد!$O$2:$O$805,7502,[1]مرداد!$D$2:$D$805,$F$30,[1]مرداد!$AC$2:$AC$805,AA3)</f>
        <v>0</v>
      </c>
      <c r="AB30" s="455">
        <f>SUMIFS([1]مرداد!$AH$2:$AH$805,[1]مرداد!$O$2:$O$805,7502,[1]مرداد!$D$2:$D$805,$F$30,[1]مرداد!$AC$2:$AC$805,AB3)</f>
        <v>0</v>
      </c>
    </row>
    <row r="31" spans="1:28" ht="33.75" customHeight="1" thickBot="1" x14ac:dyDescent="0.3">
      <c r="A31" s="840"/>
      <c r="B31" s="984"/>
      <c r="C31" s="936"/>
      <c r="D31" s="933"/>
      <c r="E31" s="936"/>
      <c r="F31" s="66"/>
      <c r="G31" s="4">
        <f t="shared" si="0"/>
        <v>0</v>
      </c>
      <c r="H31" s="765">
        <f t="shared" si="1"/>
        <v>0</v>
      </c>
      <c r="I31" s="1">
        <f t="shared" si="2"/>
        <v>0</v>
      </c>
      <c r="J31" s="4">
        <v>0</v>
      </c>
      <c r="K31" s="4">
        <v>0</v>
      </c>
      <c r="L31" s="4">
        <v>0</v>
      </c>
      <c r="M31" s="4"/>
      <c r="N31" s="988"/>
      <c r="O31" s="577">
        <f>SUMIFS([1]مرداد!$AF$2:$AF$805,[1]مرداد!$O$2:$O$805,7502,[1]مرداد!$D$2:$D$805,$F$31,[1]مرداد!$AC$2:$AC$805,O3)</f>
        <v>0</v>
      </c>
      <c r="P31" s="577">
        <f>SUMIFS([1]مرداد!$AF$2:$AF$805,[1]مرداد!$O$2:$O$805,7502,[1]مرداد!$D$2:$D$805,$F$31,[1]مرداد!$AC$2:$AC$805,P3)</f>
        <v>0</v>
      </c>
      <c r="Q31" s="577">
        <f>SUMIFS([1]مرداد!$AF$2:$AF$805,[1]مرداد!$O$2:$O$805,7502,[1]مرداد!$D$2:$D$805,$F$31,[1]مرداد!$AC$2:$AC$805,Q3)</f>
        <v>0</v>
      </c>
      <c r="R31" s="577">
        <f>SUMIFS([1]مرداد!$AF$2:$AF$805,[1]مرداد!$O$2:$O$805,7502,[1]مرداد!$D$2:$D$805,$F$31,[1]مرداد!$AC$2:$AC$805,R3)</f>
        <v>0</v>
      </c>
      <c r="S31" s="577">
        <f>SUMIFS([1]مرداد!$AF$2:$AF$805,[1]مرداد!$O$2:$O$805,7502,[1]مرداد!$D$2:$D$805,$F$31,[1]مرداد!$AC$2:$AC$805,S3)</f>
        <v>0</v>
      </c>
      <c r="T31" s="578">
        <f>SUMIFS([1]مرداد!$AF$2:$AF$805,[1]مرداد!$O$2:$O$805,7502,[1]مرداد!$D$2:$D$805,$F$31,[1]مرداد!$AC$2:$AC$805,T3)</f>
        <v>0</v>
      </c>
      <c r="U31" s="578">
        <f>SUMIFS([1]مرداد!$AF$2:$AF$805,[1]مرداد!$O$2:$O$805,7502,[1]مرداد!$D$2:$D$805,$F$31,[1]مرداد!$AC$2:$AC$805,U3)</f>
        <v>0</v>
      </c>
      <c r="V31" s="577">
        <f>SUMIFS([1]مرداد!$AH$2:$AH$805,[1]مرداد!$O$2:$O$805,7502,[1]مرداد!$D$2:$D$805,$F$31,[1]مرداد!$AC$2:$AC$805,V3)</f>
        <v>0</v>
      </c>
      <c r="W31" s="577">
        <f>SUMIFS([1]مرداد!$AF$2:$AF$805,[1]مرداد!$O$2:$O$805,7502,[1]مرداد!$D$2:$D$805,$F$31,[1]مرداد!$AC$2:$AC$805,W3)</f>
        <v>0</v>
      </c>
      <c r="X31" s="577">
        <f>SUMIFS([1]مرداد!$AF$2:$AF$805,[1]مرداد!$O$2:$O$805,7502,[1]مرداد!$D$2:$D$805,$F$31,[1]مرداد!$AC$2:$AC$805,X3)</f>
        <v>0</v>
      </c>
      <c r="Y31" s="577">
        <f>SUMIFS([1]مرداد!$AF$2:$AF$805,[1]مرداد!$O$2:$O$805,7502,[1]مرداد!$D$2:$D$805,$F$31,[1]مرداد!$AC$2:$AC$805,Y3)</f>
        <v>0</v>
      </c>
      <c r="Z31" s="577">
        <f>SUMIFS([1]مرداد!$AF$2:$AF$805,[1]مرداد!$O$2:$O$805,7502,[1]مرداد!$D$2:$D$805,$F$31,[1]مرداد!$AC$2:$AC$805,Z3)</f>
        <v>0</v>
      </c>
      <c r="AA31" s="578">
        <f>SUMIFS([1]مرداد!$AF$2:$AF$805,[1]مرداد!$O$2:$O$805,7502,[1]مرداد!$D$2:$D$805,$F$31,[1]مرداد!$AC$2:$AC$805,AA3)</f>
        <v>0</v>
      </c>
      <c r="AB31" s="578">
        <f>SUMIFS([1]مرداد!$AF$2:$AF$805,[1]مرداد!$O$2:$O$805,7502,[1]مرداد!$D$2:$D$805,$F$31,[1]مرداد!$AC$2:$AC$805,AB3)</f>
        <v>0</v>
      </c>
    </row>
    <row r="32" spans="1:28" ht="33.75" customHeight="1" x14ac:dyDescent="0.25">
      <c r="A32" s="939">
        <v>14</v>
      </c>
      <c r="B32" s="83" t="s">
        <v>26</v>
      </c>
      <c r="C32" s="809">
        <v>7601</v>
      </c>
      <c r="D32" s="809">
        <f>72-8</f>
        <v>64</v>
      </c>
      <c r="E32" s="914" t="s">
        <v>15</v>
      </c>
      <c r="F32" s="84" t="s">
        <v>27</v>
      </c>
      <c r="G32" s="85">
        <f t="shared" si="0"/>
        <v>35</v>
      </c>
      <c r="H32" s="46">
        <f t="shared" si="1"/>
        <v>0</v>
      </c>
      <c r="I32" s="846">
        <f t="shared" si="2"/>
        <v>0</v>
      </c>
      <c r="J32" s="85">
        <v>0</v>
      </c>
      <c r="K32" s="85">
        <v>0</v>
      </c>
      <c r="L32" s="85">
        <v>0</v>
      </c>
      <c r="M32" s="87">
        <f>(J32+J33+I33+I32+H32+H33+G33+G32+L32+K32)-D32</f>
        <v>-29</v>
      </c>
      <c r="N32" s="941" t="s">
        <v>13</v>
      </c>
      <c r="O32" s="298">
        <f>SUMIFS([1]مرداد!$AF$2:$AF$805,[1]مرداد!$O$2:$O$805,7601,[1]مرداد!$D$2:$D$805,$F$32,[1]مرداد!$AC$2:$AC$805,O3)</f>
        <v>12</v>
      </c>
      <c r="P32" s="298">
        <f>SUMIFS([1]شهریور!$AF$2:$AF$805,[1]شهریور!$O$2:$O$805,7601,[1]شهریور!$D$2:$D$805,$F$32,[1]شهریور!$AC$2:$AC$805,P3)</f>
        <v>0</v>
      </c>
      <c r="Q32" s="298">
        <f>SUMIFS([1]شهریور!$AF$2:$AF$805,[1]شهریور!$O$2:$O$805,7601,[1]شهریور!$D$2:$D$805,$F$32,[1]شهریور!$AC$2:$AC$805,Q3)</f>
        <v>12</v>
      </c>
      <c r="R32" s="298">
        <f>SUMIFS([1]شهریور!$AF$2:$AF$805,[1]شهریور!$O$2:$O$805,7601,[1]شهریور!$D$2:$D$805,$F$32,[1]شهریور!$AC$2:$AC$805,R3)</f>
        <v>11</v>
      </c>
      <c r="S32" s="298">
        <f>SUMIFS([1]شهریور!$AF$2:$AF$805,[1]شهریور!$O$2:$O$805,7601,[1]شهریور!$D$2:$D$805,$F$32,[1]شهریور!$AC$2:$AC$805,S3)</f>
        <v>0</v>
      </c>
      <c r="T32" s="298">
        <f>SUMIFS([1]شهریور!$AF$2:$AF$805,[1]شهریور!$O$2:$O$805,7601,[1]شهریور!$D$2:$D$805,$F$32,[1]شهریور!$AC$2:$AC$805,T3)</f>
        <v>0</v>
      </c>
      <c r="U32" s="298">
        <f>SUMIFS([1]شهریور!$AF$2:$AF$805,[1]شهریور!$O$2:$O$805,7601,[1]شهریور!$D$2:$D$805,$F$32,[1]شهریور!$AC$2:$AC$805,U3)</f>
        <v>0</v>
      </c>
      <c r="V32" s="187">
        <f>SUMIFS([1]مرداد!$AH$2:$AH$805,[1]مرداد!$O$2:$O$805,7601,[1]مرداد!$D$2:$D$805,$F$32,[1]مرداد!$AC$2:$AC$805,V3)</f>
        <v>0</v>
      </c>
      <c r="W32" s="298">
        <f>SUMIFS([1]مرداد!$AH$2:$AH$805,[1]مرداد!$O$2:$O$805,7601,[1]مرداد!$D$2:$D$805,$F$32,[1]مرداد!$AC$2:$AC$805,W3)</f>
        <v>0</v>
      </c>
      <c r="X32" s="298">
        <f>SUMIFS([1]مرداد!$AH$2:$AH$805,[1]مرداد!$O$2:$O$805,7601,[1]مرداد!$D$2:$D$805,$F$32,[1]مرداد!$AC$2:$AC$805,X3)</f>
        <v>0</v>
      </c>
      <c r="Y32" s="298">
        <f>SUMIFS([1]مرداد!$AH$2:$AH$805,[1]مرداد!$O$2:$O$805,7601,[1]مرداد!$D$2:$D$805,$F$32,[1]مرداد!$AC$2:$AC$805,Y3)</f>
        <v>0</v>
      </c>
      <c r="Z32" s="298">
        <f>SUMIFS([1]مرداد!$AH$2:$AH$805,[1]مرداد!$O$2:$O$805,7601,[1]مرداد!$D$2:$D$805,$F$32,[1]مرداد!$AC$2:$AC$805,Z3)</f>
        <v>0</v>
      </c>
      <c r="AA32" s="464">
        <f>SUMIFS([1]مرداد!$AH$2:$AH$805,[1]مرداد!$O$2:$O$805,7601,[1]مرداد!$D$2:$D$805,$F$32,[1]مرداد!$AC$2:$AC$805,AA3)</f>
        <v>0</v>
      </c>
      <c r="AB32" s="465">
        <f>SUMIFS([1]مرداد!$AH$2:$AH$805,[1]مرداد!$O$2:$O$805,7601,[1]مرداد!$D$2:$D$805,$F$32,[1]مرداد!$AC$2:$AC$805,AB3)</f>
        <v>0</v>
      </c>
    </row>
    <row r="33" spans="1:28" ht="33.75" customHeight="1" thickBot="1" x14ac:dyDescent="0.3">
      <c r="A33" s="940"/>
      <c r="B33" s="123"/>
      <c r="C33" s="810"/>
      <c r="D33" s="810"/>
      <c r="E33" s="915"/>
      <c r="F33" s="124"/>
      <c r="G33" s="126">
        <f t="shared" si="0"/>
        <v>0</v>
      </c>
      <c r="H33" s="761">
        <f t="shared" si="1"/>
        <v>0</v>
      </c>
      <c r="I33" s="1">
        <f t="shared" si="2"/>
        <v>0</v>
      </c>
      <c r="J33" s="125">
        <v>0</v>
      </c>
      <c r="K33" s="126">
        <v>0</v>
      </c>
      <c r="L33" s="126">
        <v>0</v>
      </c>
      <c r="M33" s="127"/>
      <c r="N33" s="917"/>
      <c r="O33" s="299">
        <f>SUMIFS([1]مرداد!$AF$2:$AF$805,[1]مرداد!$O$2:$O$805,7601,[1]مرداد!$D$2:$D$805,$F$33,[1]مرداد!$AC$2:$AC$805,O3)</f>
        <v>0</v>
      </c>
      <c r="P33" s="299">
        <f>SUMIFS([1]مرداد!$AF$2:$AF$805,[1]مرداد!$O$2:$O$805,7601,[1]مرداد!$D$2:$D$805,$F$33,[1]مرداد!$AC$2:$AC$805,P3)</f>
        <v>0</v>
      </c>
      <c r="Q33" s="299">
        <f>SUMIFS([1]مرداد!$AF$2:$AF$805,[1]مرداد!$O$2:$O$805,7601,[1]مرداد!$D$2:$D$805,$F$33,[1]مرداد!$AC$2:$AC$805,Q3)</f>
        <v>0</v>
      </c>
      <c r="R33" s="299">
        <f>SUMIFS([1]مرداد!$AF$2:$AF$805,[1]مرداد!$O$2:$O$805,7601,[1]مرداد!$D$2:$D$805,$F$33,[1]مرداد!$AC$2:$AC$805,R3)</f>
        <v>0</v>
      </c>
      <c r="S33" s="299">
        <f>SUMIFS([1]مرداد!$AF$2:$AF$805,[1]مرداد!$O$2:$O$805,7601,[1]مرداد!$D$2:$D$805,$F$33,[1]مرداد!$AC$2:$AC$805,S3)</f>
        <v>0</v>
      </c>
      <c r="T33" s="896">
        <f>SUMIFS([1]مرداد!$AF$2:$AF$805,[1]مرداد!$O$2:$O$805,7601,[1]مرداد!$D$2:$D$805,$F$33,[1]مرداد!$AC$2:$AC$805,T3)</f>
        <v>0</v>
      </c>
      <c r="U33" s="897">
        <f>SUMIFS([1]مرداد!$AF$2:$AF$805,[1]مرداد!$O$2:$O$805,7601,[1]مرداد!$D$2:$D$805,$F$33,[1]مرداد!$AC$2:$AC$805,U3)</f>
        <v>0</v>
      </c>
      <c r="V33" s="274">
        <f>SUMIFS([1]مرداد!$AH$2:$AH$805,[1]مرداد!$O$2:$O$805,7601,[1]مرداد!$D$2:$D$805,$F$33,[1]مرداد!$AC$2:$AC$805,V3)</f>
        <v>0</v>
      </c>
      <c r="W33" s="299">
        <f>SUMIFS([1]مرداد!$AH$2:$AH$805,[1]مرداد!$O$2:$O$805,7601,[1]مرداد!$D$2:$D$805,$F$33,[1]مرداد!$AC$2:$AC$805,W3)</f>
        <v>0</v>
      </c>
      <c r="X33" s="299">
        <f>SUMIFS([1]مرداد!$AH$2:$AH$805,[1]مرداد!$O$2:$O$805,7601,[1]مرداد!$D$2:$D$805,$F$33,[1]مرداد!$AC$2:$AC$805,X3)</f>
        <v>0</v>
      </c>
      <c r="Y33" s="299">
        <f>SUMIFS([1]مرداد!$AH$2:$AH$805,[1]مرداد!$O$2:$O$805,7601,[1]مرداد!$D$2:$D$805,$F$33,[1]مرداد!$AC$2:$AC$805,Y3)</f>
        <v>0</v>
      </c>
      <c r="Z33" s="299">
        <f>SUMIFS([1]مرداد!$AH$2:$AH$805,[1]مرداد!$O$2:$O$805,7601,[1]مرداد!$D$2:$D$805,$F$33,[1]مرداد!$AC$2:$AC$805,Z3)</f>
        <v>0</v>
      </c>
      <c r="AA33" s="896">
        <f>SUMIFS([1]مرداد!$AH$2:$AH$805,[1]مرداد!$O$2:$O$805,7601,[1]مرداد!$D$2:$D$805,$F$33,[1]مرداد!$AC$2:$AC$805,AA3)</f>
        <v>0</v>
      </c>
      <c r="AB33" s="897">
        <f>SUMIFS([1]مرداد!$AH$2:$AH$805,[1]مرداد!$O$2:$O$805,7601,[1]مرداد!$D$2:$D$805,$F$33,[1]مرداد!$AC$2:$AC$805,AB3)</f>
        <v>0</v>
      </c>
    </row>
    <row r="34" spans="1:28" ht="33.75" customHeight="1" x14ac:dyDescent="0.25">
      <c r="A34" s="912">
        <v>15</v>
      </c>
      <c r="B34" s="83" t="s">
        <v>26</v>
      </c>
      <c r="C34" s="809">
        <v>7602</v>
      </c>
      <c r="D34" s="809">
        <v>64</v>
      </c>
      <c r="E34" s="914" t="s">
        <v>15</v>
      </c>
      <c r="F34" s="84" t="s">
        <v>27</v>
      </c>
      <c r="G34" s="846">
        <f t="shared" si="0"/>
        <v>22</v>
      </c>
      <c r="H34" s="46">
        <f t="shared" si="1"/>
        <v>0</v>
      </c>
      <c r="I34" s="846">
        <f t="shared" si="2"/>
        <v>0</v>
      </c>
      <c r="J34" s="85">
        <v>0</v>
      </c>
      <c r="K34" s="85">
        <v>0</v>
      </c>
      <c r="L34" s="85">
        <v>0</v>
      </c>
      <c r="M34" s="87">
        <f>(J34+J35+I35+I34+H34+H35+G35+G34)-D34</f>
        <v>-42</v>
      </c>
      <c r="N34" s="916" t="s">
        <v>13</v>
      </c>
      <c r="O34" s="292">
        <f>SUMIFS([1]مرداد!$AF$2:$AF$805,[1]مرداد!$O$2:$O$805,7602,[1]مرداد!$D$2:$D$805,$F$34,[1]مرداد!$AC$2:$AC$805,O3)</f>
        <v>0</v>
      </c>
      <c r="P34" s="292">
        <f>SUMIFS([1]شهریور!$AF$2:$AF$805,[1]شهریور!$O$2:$O$805,7602,[1]شهریور!$D$2:$D$805,$F$34,[1]شهریور!$AC$2:$AC$805,P3)</f>
        <v>0</v>
      </c>
      <c r="Q34" s="292">
        <f>SUMIFS([1]شهریور!$AF$2:$AF$805,[1]شهریور!$O$2:$O$805,7602,[1]شهریور!$D$2:$D$805,$F$34,[1]شهریور!$AC$2:$AC$805,Q3)</f>
        <v>11</v>
      </c>
      <c r="R34" s="292">
        <f>SUMIFS([1]شهریور!$AF$2:$AF$805,[1]شهریور!$O$2:$O$805,7602,[1]شهریور!$D$2:$D$805,$F$34,[1]شهریور!$AC$2:$AC$805,R3)</f>
        <v>11</v>
      </c>
      <c r="S34" s="292">
        <f>SUMIFS([1]شهریور!$AF$2:$AF$805,[1]شهریور!$O$2:$O$805,7602,[1]شهریور!$D$2:$D$805,$F$34,[1]شهریور!$AC$2:$AC$805,S3)</f>
        <v>0</v>
      </c>
      <c r="T34" s="292">
        <f>SUMIFS([1]شهریور!$AF$2:$AF$805,[1]شهریور!$O$2:$O$805,7602,[1]شهریور!$D$2:$D$805,$F$34,[1]شهریور!$AC$2:$AC$805,T3)</f>
        <v>0</v>
      </c>
      <c r="U34" s="292">
        <f>SUMIFS([1]شهریور!$AF$2:$AF$805,[1]شهریور!$O$2:$O$805,7602,[1]شهریور!$D$2:$D$805,$F$34,[1]شهریور!$AC$2:$AC$805,U3)</f>
        <v>0</v>
      </c>
      <c r="V34" s="165">
        <f>SUMIFS([1]مرداد!$AH$2:$AH$805,[1]مرداد!$O$2:$O$805,7602,[1]مرداد!$D$2:$D$805,$F$34,[1]مرداد!$AC$2:$AC$805,V3)</f>
        <v>0</v>
      </c>
      <c r="W34" s="292">
        <f>SUMIFS([1]مرداد!$AH$2:$AH$805,[1]مرداد!$O$2:$O$805,7602,[1]مرداد!$D$2:$D$805,$F$34,[1]مرداد!$AC$2:$AC$805,W3)</f>
        <v>0</v>
      </c>
      <c r="X34" s="292">
        <f>SUMIFS([1]مرداد!$AH$2:$AH$805,[1]مرداد!$O$2:$O$805,7602,[1]مرداد!$D$2:$D$805,$F$34,[1]مرداد!$AC$2:$AC$805,X3)</f>
        <v>0</v>
      </c>
      <c r="Y34" s="292">
        <f>SUMIFS([1]مرداد!$AH$2:$AH$805,[1]مرداد!$O$2:$O$805,7602,[1]مرداد!$D$2:$D$805,$F$34,[1]مرداد!$AC$2:$AC$805,Y3)</f>
        <v>0</v>
      </c>
      <c r="Z34" s="292">
        <f>SUMIFS([1]مرداد!$AH$2:$AH$805,[1]مرداد!$O$2:$O$805,7602,[1]مرداد!$D$2:$D$805,$F$34,[1]مرداد!$AC$2:$AC$805,Z3)</f>
        <v>0</v>
      </c>
      <c r="AA34" s="393">
        <f>SUMIFS([1]مرداد!$AH$2:$AH$805,[1]مرداد!$O$2:$O$805,7602,[1]مرداد!$D$2:$D$805,$F$34,[1]مرداد!$AC$2:$AC$805,AA3)</f>
        <v>0</v>
      </c>
      <c r="AB34" s="454">
        <f>SUMIFS([1]مرداد!$AH$2:$AH$805,[1]مرداد!$O$2:$O$805,7602,[1]مرداد!$D$2:$D$805,$F$34,[1]مرداد!$AC$2:$AC$805,AB3)</f>
        <v>0</v>
      </c>
    </row>
    <row r="35" spans="1:28" ht="33.75" customHeight="1" thickBot="1" x14ac:dyDescent="0.3">
      <c r="A35" s="913"/>
      <c r="B35" s="123"/>
      <c r="C35" s="810"/>
      <c r="D35" s="810"/>
      <c r="E35" s="915"/>
      <c r="F35" s="124"/>
      <c r="G35" s="6">
        <f t="shared" si="0"/>
        <v>0</v>
      </c>
      <c r="H35" s="761">
        <f t="shared" si="1"/>
        <v>0</v>
      </c>
      <c r="I35" s="1">
        <f t="shared" si="2"/>
        <v>0</v>
      </c>
      <c r="J35" s="125">
        <v>0</v>
      </c>
      <c r="K35" s="126">
        <v>0</v>
      </c>
      <c r="L35" s="126">
        <v>0</v>
      </c>
      <c r="M35" s="127"/>
      <c r="N35" s="917"/>
      <c r="O35" s="294">
        <f>SUMIFS([1]اردیبهشت!$AD$2:$AD$805,[1]اردیبهشت!$N$2:$N$805,$C$34,[1]اردیبهشت!$D$2:$D$805,$F$35,[1]اردیبهشت!$AA$2:$AA$805,O3)</f>
        <v>0</v>
      </c>
      <c r="P35" s="172">
        <f>SUMIFS([1]اردیبهشت!$AD$2:$AD$600,[1]اردیبهشت!$N$2:$N$600,$C$34,[1]اردیبهشت!$D$2:$D$600,$F$35,[1]اردیبهشت!$AA$2:$AA$600,P3)</f>
        <v>0</v>
      </c>
      <c r="Q35" s="172">
        <f>SUMIFS([1]اردیبهشت!$AD$2:$AD$600,[1]اردیبهشت!$N$2:$N$600,$C$34,[1]اردیبهشت!$D$2:$D$600,$F$35,[1]اردیبهشت!$AA$2:$AA$600,Q3)</f>
        <v>0</v>
      </c>
      <c r="R35" s="172">
        <f>SUMIFS([1]اردیبهشت!$AD$2:$AD$600,[1]اردیبهشت!$N$2:$N$600,$C$34,[1]اردیبهشت!$D$2:$D$600,$F$35,[1]اردیبهشت!$AA$2:$AA$600,R3)</f>
        <v>0</v>
      </c>
      <c r="S35" s="172">
        <f>SUMIFS([1]اردیبهشت!$AD$2:$AD$600,[1]اردیبهشت!$N$2:$N$600,$C$34,[1]اردیبهشت!$D$2:$D$600,$F$35,[1]اردیبهشت!$AA$2:$AA$600,S3)</f>
        <v>0</v>
      </c>
      <c r="T35" s="103">
        <f>SUMIFS([1]اردیبهشت!$AD$2:$AD$600,[1]اردیبهشت!$N$2:$N$600,$C$34,[1]اردیبهشت!$D$2:$D$600,$F$35,[1]اردیبهشت!$AA$2:$AA$600,T3)</f>
        <v>0</v>
      </c>
      <c r="U35" s="109">
        <f>SUMIFS([1]خرداد!$AF$2:$AF$700,[1]خرداد!$O$2:$O$700,7101,[1]خرداد!$D$2:$D$700,$F$4,[1]خرداد!$AC$2:$AC$700,U34)</f>
        <v>0</v>
      </c>
      <c r="V35" s="171">
        <f>SUMIFS([1]مرداد!$AH$2:$AH$805,[1]مرداد!$O$2:$O$805,7602,[1]مرداد!$D$2:$D$805,$F$35,[1]مرداد!$AC$2:$AC$805,V3)</f>
        <v>0</v>
      </c>
      <c r="W35" s="294">
        <f>SUMIFS([1]مرداد!$AH$2:$AH$805,[1]مرداد!$O$2:$O$805,7602,[1]مرداد!$D$2:$D$805,$F$35,[1]مرداد!$AC$2:$AC$805,W3)</f>
        <v>0</v>
      </c>
      <c r="X35" s="294">
        <f>SUMIFS([1]مرداد!$AH$2:$AH$805,[1]مرداد!$O$2:$O$805,7602,[1]مرداد!$D$2:$D$805,$F$35,[1]مرداد!$AC$2:$AC$805,X3)</f>
        <v>0</v>
      </c>
      <c r="Y35" s="294">
        <f>SUMIFS([1]مرداد!$AH$2:$AH$805,[1]مرداد!$O$2:$O$805,7602,[1]مرداد!$D$2:$D$805,$F$35,[1]مرداد!$AC$2:$AC$805,Y3)</f>
        <v>0</v>
      </c>
      <c r="Z35" s="294">
        <f>SUMIFS([1]مرداد!$AH$2:$AH$805,[1]مرداد!$O$2:$O$805,7602,[1]مرداد!$D$2:$D$805,$F$35,[1]مرداد!$AC$2:$AC$805,Z3)</f>
        <v>0</v>
      </c>
      <c r="AA35" s="904">
        <f>SUMIFS([1]مرداد!$AH$2:$AH$805,[1]مرداد!$O$2:$O$805,7602,[1]مرداد!$D$2:$D$805,$F$35,[1]مرداد!$AC$2:$AC$805,AA3)</f>
        <v>0</v>
      </c>
      <c r="AB35" s="700">
        <f>SUMIFS([1]مرداد!$AH$2:$AH$805,[1]مرداد!$O$2:$O$805,7602,[1]مرداد!$D$2:$D$805,$F$35,[1]مرداد!$AC$2:$AC$805,AB3)</f>
        <v>0</v>
      </c>
    </row>
    <row r="36" spans="1:28" ht="33.75" customHeight="1" x14ac:dyDescent="0.25">
      <c r="A36" s="912">
        <v>16</v>
      </c>
      <c r="B36" s="831" t="s">
        <v>26</v>
      </c>
      <c r="C36" s="832">
        <v>7603</v>
      </c>
      <c r="D36" s="832">
        <v>64</v>
      </c>
      <c r="E36" s="970" t="s">
        <v>15</v>
      </c>
      <c r="F36" s="91" t="s">
        <v>27</v>
      </c>
      <c r="G36" s="1">
        <f t="shared" si="0"/>
        <v>0</v>
      </c>
      <c r="H36" s="49">
        <f t="shared" si="1"/>
        <v>0</v>
      </c>
      <c r="I36" s="846">
        <f t="shared" si="2"/>
        <v>0</v>
      </c>
      <c r="J36" s="1">
        <v>0</v>
      </c>
      <c r="K36" s="1">
        <v>0</v>
      </c>
      <c r="L36" s="1">
        <v>0</v>
      </c>
      <c r="M36" s="60">
        <f>(J36+J37+I37+I36+H36+H37+G37+G36+L36+L37)-D36</f>
        <v>-64</v>
      </c>
      <c r="N36" s="928" t="s">
        <v>13</v>
      </c>
      <c r="O36" s="356">
        <f>SUMIFS([1]مرداد!$AF$2:$AF$805,[1]مرداد!$O$2:$O$805,7603,[1]مرداد!$D$2:$D$805,$F$36,[1]مرداد!$AC$2:$AC$805,O3)</f>
        <v>0</v>
      </c>
      <c r="P36" s="356">
        <f>SUMIFS([1]شهریور!$AF$2:$AF$805,[1]شهریور!$O$2:$O$805,7603,[1]شهریور!$D$2:$D$805,$F$36,[1]شهریور!$AC$2:$AC$805,P3)</f>
        <v>0</v>
      </c>
      <c r="Q36" s="356">
        <f>SUMIFS([1]شهریور!$AF$2:$AF$805,[1]شهریور!$O$2:$O$805,7603,[1]شهریور!$D$2:$D$805,$F$36,[1]شهریور!$AC$2:$AC$805,Q3)</f>
        <v>0</v>
      </c>
      <c r="R36" s="356">
        <f>SUMIFS([1]شهریور!$AF$2:$AF$805,[1]شهریور!$O$2:$O$805,7603,[1]شهریور!$D$2:$D$805,$F$36,[1]شهریور!$AC$2:$AC$805,R3)</f>
        <v>0</v>
      </c>
      <c r="S36" s="356">
        <f>SUMIFS([1]شهریور!$AF$2:$AF$805,[1]شهریور!$O$2:$O$805,7603,[1]شهریور!$D$2:$D$805,$F$36,[1]شهریور!$AC$2:$AC$805,S3)</f>
        <v>0</v>
      </c>
      <c r="T36" s="356">
        <f>SUMIFS([1]شهریور!$AF$2:$AF$805,[1]شهریور!$O$2:$O$805,7603,[1]شهریور!$D$2:$D$805,$F$36,[1]شهریور!$AC$2:$AC$805,T3)</f>
        <v>0</v>
      </c>
      <c r="U36" s="356">
        <f>SUMIFS([1]شهریور!$AF$2:$AF$805,[1]شهریور!$O$2:$O$805,7603,[1]شهریور!$D$2:$D$805,$F$36,[1]شهریور!$AC$2:$AC$805,U3)</f>
        <v>0</v>
      </c>
      <c r="V36" s="165">
        <f>SUMIFS([1]مرداد!$AH$2:$AH$805,[1]مرداد!$O$2:$O$805,7603,[1]مرداد!$D$2:$D$805,$F$36,[1]مرداد!$AC$2:$AC$805,V3)</f>
        <v>0</v>
      </c>
      <c r="W36" s="292">
        <f>SUMIFS([1]مرداد!$AH$2:$AH$805,[1]مرداد!$O$2:$O$805,7603,[1]مرداد!$D$2:$D$805,$F$36,[1]مرداد!$AC$2:$AC$805,W3)</f>
        <v>0</v>
      </c>
      <c r="X36" s="292">
        <f>SUMIFS([1]مرداد!$AH$2:$AH$805,[1]مرداد!$O$2:$O$805,7603,[1]مرداد!$D$2:$D$805,$F$36,[1]مرداد!$AC$2:$AC$805,X3)</f>
        <v>0</v>
      </c>
      <c r="Y36" s="292">
        <f>SUMIFS([1]مرداد!$AH$2:$AH$805,[1]مرداد!$O$2:$O$805,7603,[1]مرداد!$D$2:$D$805,$F$36,[1]مرداد!$AC$2:$AC$805,Y3)</f>
        <v>0</v>
      </c>
      <c r="Z36" s="292">
        <f>SUMIFS([1]مرداد!$AH$2:$AH$805,[1]مرداد!$O$2:$O$805,7603,[1]مرداد!$D$2:$D$805,$F$36,[1]مرداد!$AC$2:$AC$805,Z3)</f>
        <v>0</v>
      </c>
      <c r="AA36" s="393">
        <f>SUMIFS([1]مرداد!$AH$2:$AH$805,[1]مرداد!$O$2:$O$805,7603,[1]مرداد!$D$2:$D$805,$F$36,[1]مرداد!$AC$2:$AC$805,AA3)</f>
        <v>0</v>
      </c>
      <c r="AB36" s="454">
        <f>SUMIFS([1]مرداد!$AH$2:$AH$805,[1]مرداد!$O$2:$O$805,7603,[1]مرداد!$D$2:$D$805,$F$36,[1]مرداد!$AC$2:$AC$805,AB3)</f>
        <v>0</v>
      </c>
    </row>
    <row r="37" spans="1:28" ht="33.75" customHeight="1" thickBot="1" x14ac:dyDescent="0.3">
      <c r="A37" s="942"/>
      <c r="B37" s="825"/>
      <c r="C37" s="828"/>
      <c r="D37" s="828"/>
      <c r="E37" s="966"/>
      <c r="F37" s="24"/>
      <c r="G37" s="4">
        <f t="shared" si="0"/>
        <v>0</v>
      </c>
      <c r="H37" s="765">
        <f t="shared" si="1"/>
        <v>0</v>
      </c>
      <c r="I37" s="1">
        <f t="shared" si="2"/>
        <v>0</v>
      </c>
      <c r="J37" s="25">
        <v>0</v>
      </c>
      <c r="K37" s="4">
        <v>0</v>
      </c>
      <c r="L37" s="4">
        <v>0</v>
      </c>
      <c r="M37" s="65"/>
      <c r="N37" s="950"/>
      <c r="O37" s="352">
        <f>SUMIFS([1]اردیبهشت!$AD$2:$AD$805,[1]اردیبهشت!$N$2:$N$805,$C$36,[1]اردیبهشت!$D$2:$D$805,$F$37,[1]اردیبهشت!$AA$2:$AA$805,O3)</f>
        <v>0</v>
      </c>
      <c r="P37" s="175">
        <f>SUMIFS([1]اردیبهشت!$AD$2:$AD$600,[1]اردیبهشت!$N$2:$N$600,$C$36,[1]اردیبهشت!$D$2:$D$600,$F$37,[1]اردیبهشت!$AA$2:$AA$600,P3)</f>
        <v>0</v>
      </c>
      <c r="Q37" s="175">
        <f>SUMIFS([1]اردیبهشت!$AD$2:$AD$600,[1]اردیبهشت!$N$2:$N$600,$C$36,[1]اردیبهشت!$D$2:$D$600,$F$37,[1]اردیبهشت!$AA$2:$AA$600,Q3)</f>
        <v>0</v>
      </c>
      <c r="R37" s="175">
        <f>SUMIFS([1]اردیبهشت!$AD$2:$AD$600,[1]اردیبهشت!$N$2:$N$600,$C$36,[1]اردیبهشت!$D$2:$D$600,$F$37,[1]اردیبهشت!$AA$2:$AA$600,R3)</f>
        <v>0</v>
      </c>
      <c r="S37" s="175">
        <f>SUMIFS([1]اردیبهشت!$AD$2:$AD$600,[1]اردیبهشت!$N$2:$N$600,$C$36,[1]اردیبهشت!$D$2:$D$600,$F$37,[1]اردیبهشت!$AA$2:$AA$600,S3)</f>
        <v>0</v>
      </c>
      <c r="T37" s="97">
        <f>SUMIFS([1]اردیبهشت!$AD$2:$AD$600,[1]اردیبهشت!$N$2:$N$600,$C$36,[1]اردیبهشت!$D$2:$D$600,$F$37,[1]اردیبهشت!$AA$2:$AA$600,T3)</f>
        <v>0</v>
      </c>
      <c r="U37" s="793">
        <f>SUMIFS([1]خرداد!$AF$2:$AF$700,[1]خرداد!$O$2:$O$700,7101,[1]خرداد!$D$2:$D$700,$F$4,[1]خرداد!$AC$2:$AC$700,U36)</f>
        <v>0</v>
      </c>
      <c r="V37" s="171">
        <f>SUMIFS([1]مرداد!$AH$2:$AH$805,[1]مرداد!$O$2:$O$805,7603,[1]مرداد!$D$2:$D$805,$F$37,[1]مرداد!$AC$2:$AC$805,V3)</f>
        <v>0</v>
      </c>
      <c r="W37" s="294">
        <f>SUMIFS([1]مرداد!$AH$2:$AH$805,[1]مرداد!$O$2:$O$805,7603,[1]مرداد!$D$2:$D$805,$F$37,[1]مرداد!$AC$2:$AC$805,W3)</f>
        <v>0</v>
      </c>
      <c r="X37" s="294">
        <f>SUMIFS([1]مرداد!$AH$2:$AH$805,[1]مرداد!$O$2:$O$805,7603,[1]مرداد!$D$2:$D$805,$F$37,[1]مرداد!$AC$2:$AC$805,X3)</f>
        <v>0</v>
      </c>
      <c r="Y37" s="294">
        <f>SUMIFS([1]مرداد!$AH$2:$AH$805,[1]مرداد!$O$2:$O$805,7603,[1]مرداد!$D$2:$D$805,$F$37,[1]مرداد!$AC$2:$AC$805,Y3)</f>
        <v>0</v>
      </c>
      <c r="Z37" s="294">
        <f>SUMIFS([1]مرداد!$AH$2:$AH$805,[1]مرداد!$O$2:$O$805,7603,[1]مرداد!$D$2:$D$805,$F$37,[1]مرداد!$AC$2:$AC$805,Z3)</f>
        <v>0</v>
      </c>
      <c r="AA37" s="904">
        <f>SUMIFS([1]مرداد!$AH$2:$AH$805,[1]مرداد!$O$2:$O$805,7603,[1]مرداد!$D$2:$D$805,$F$37,[1]مرداد!$AC$2:$AC$805,AA3)</f>
        <v>0</v>
      </c>
      <c r="AB37" s="700">
        <f>SUMIFS([1]مرداد!$AH$2:$AH$805,[1]مرداد!$O$2:$O$805,7603,[1]مرداد!$D$2:$D$805,$F$37,[1]مرداد!$AC$2:$AC$805,AB3)</f>
        <v>0</v>
      </c>
    </row>
    <row r="38" spans="1:28" ht="33.75" customHeight="1" x14ac:dyDescent="0.25">
      <c r="A38" s="912">
        <v>17</v>
      </c>
      <c r="B38" s="833" t="s">
        <v>26</v>
      </c>
      <c r="C38" s="771">
        <v>7604</v>
      </c>
      <c r="D38" s="809">
        <v>64</v>
      </c>
      <c r="E38" s="914" t="s">
        <v>15</v>
      </c>
      <c r="F38" s="84" t="s">
        <v>27</v>
      </c>
      <c r="G38" s="85">
        <f>SUM(O38:T38)</f>
        <v>17</v>
      </c>
      <c r="H38" s="46">
        <f t="shared" si="1"/>
        <v>0</v>
      </c>
      <c r="I38" s="846">
        <f t="shared" si="2"/>
        <v>0</v>
      </c>
      <c r="J38" s="85">
        <v>0</v>
      </c>
      <c r="K38" s="85">
        <v>0</v>
      </c>
      <c r="L38" s="85">
        <v>0</v>
      </c>
      <c r="M38" s="87"/>
      <c r="N38" s="955" t="s">
        <v>13</v>
      </c>
      <c r="O38" s="187">
        <f>SUMIFS([1]مرداد!$AF$2:$AF$805,[1]مرداد!$O$2:$O$805,7604,[1]مرداد!$D$2:$D$805,$F$38,[1]مرداد!$AC$2:$AC$805,O3)</f>
        <v>12</v>
      </c>
      <c r="P38" s="298">
        <f>SUMIFS([1]شهریور!$AF$2:$AF$805,[1]شهریور!$O$2:$O$805,7604,[1]شهریور!$D$2:$D$805,$F$38,[1]شهریور!$AC$2:$AC$805,P3)</f>
        <v>0</v>
      </c>
      <c r="Q38" s="298">
        <f>SUMIFS([1]شهریور!$AF$2:$AF$805,[1]شهریور!$O$2:$O$805,7604,[1]شهریور!$D$2:$D$805,$F$38,[1]شهریور!$AC$2:$AC$805,Q3)</f>
        <v>5</v>
      </c>
      <c r="R38" s="298">
        <f>SUMIFS([1]شهریور!$AF$2:$AF$805,[1]شهریور!$O$2:$O$805,7604,[1]شهریور!$D$2:$D$805,$F$38,[1]شهریور!$AC$2:$AC$805,R3)</f>
        <v>0</v>
      </c>
      <c r="S38" s="298">
        <f>SUMIFS([1]شهریور!$AF$2:$AF$805,[1]شهریور!$O$2:$O$805,7604,[1]شهریور!$D$2:$D$805,$F$38,[1]شهریور!$AC$2:$AC$805,S3)</f>
        <v>0</v>
      </c>
      <c r="T38" s="298">
        <f>SUMIFS([1]شهریور!$AF$2:$AF$805,[1]شهریور!$O$2:$O$805,7604,[1]شهریور!$D$2:$D$805,$F$38,[1]شهریور!$AC$2:$AC$805,T3)</f>
        <v>0</v>
      </c>
      <c r="U38" s="298">
        <f>SUMIFS([1]شهریور!$AF$2:$AF$805,[1]شهریور!$O$2:$O$805,7604,[1]شهریور!$D$2:$D$805,$F$38,[1]شهریور!$AC$2:$AC$805,U3)</f>
        <v>0</v>
      </c>
      <c r="V38" s="187">
        <f>SUMIFS([1]مرداد!$AH$2:$AH$805,[1]مرداد!$O$2:$O$805,7604,[1]مرداد!$D$2:$D$805,$F$38,[1]مرداد!$AC$2:$AC$805,V3)</f>
        <v>0</v>
      </c>
      <c r="W38" s="188">
        <f>SUMIFS([1]مرداد!$AH$2:$AH$805,[1]مرداد!$O$2:$O$805,7604,[1]مرداد!$D$2:$D$805,$F$38,[1]مرداد!$AC$2:$AC$805,W3)</f>
        <v>0</v>
      </c>
      <c r="X38" s="188">
        <f>SUMIFS([1]مرداد!$AH$2:$AH$805,[1]مرداد!$O$2:$O$805,7604,[1]مرداد!$D$2:$D$805,$F$38,[1]مرداد!$AC$2:$AC$805,X3)</f>
        <v>0</v>
      </c>
      <c r="Y38" s="188">
        <f>SUMIFS([1]مرداد!$AH$2:$AH$805,[1]مرداد!$O$2:$O$805,7604,[1]مرداد!$D$2:$D$805,$F$38,[1]مرداد!$AC$2:$AC$805,Y3)</f>
        <v>0</v>
      </c>
      <c r="Z38" s="188">
        <f>SUMIFS([1]مرداد!$AH$2:$AH$805,[1]مرداد!$O$2:$O$805,7604,[1]مرداد!$D$2:$D$805,$F$38,[1]مرداد!$AC$2:$AC$805,Z3)</f>
        <v>0</v>
      </c>
      <c r="AA38" s="145">
        <f>SUMIFS([1]مرداد!$AH$2:$AH$805,[1]مرداد!$O$2:$O$805,7604,[1]مرداد!$D$2:$D$805,$F$38,[1]مرداد!$AC$2:$AC$805,AA3)</f>
        <v>0</v>
      </c>
      <c r="AB38" s="128">
        <f>SUMIFS([1]مرداد!$AH$2:$AH$805,[1]مرداد!$O$2:$O$805,7604,[1]مرداد!$D$2:$D$805,$F$38,[1]مرداد!$AC$2:$AC$805,AB3)</f>
        <v>0</v>
      </c>
    </row>
    <row r="39" spans="1:28" ht="41.25" customHeight="1" thickBot="1" x14ac:dyDescent="0.3">
      <c r="A39" s="913"/>
      <c r="B39" s="834"/>
      <c r="C39" s="772"/>
      <c r="D39" s="810"/>
      <c r="E39" s="915"/>
      <c r="F39" s="124"/>
      <c r="G39" s="126">
        <f t="shared" si="0"/>
        <v>0</v>
      </c>
      <c r="H39" s="761">
        <f t="shared" si="1"/>
        <v>0</v>
      </c>
      <c r="I39" s="1">
        <f t="shared" si="2"/>
        <v>0</v>
      </c>
      <c r="J39" s="125">
        <v>0</v>
      </c>
      <c r="K39" s="126">
        <v>0</v>
      </c>
      <c r="L39" s="126">
        <v>0</v>
      </c>
      <c r="M39" s="154"/>
      <c r="N39" s="917"/>
      <c r="O39" s="274"/>
      <c r="P39" s="275"/>
      <c r="Q39" s="275"/>
      <c r="R39" s="275"/>
      <c r="S39" s="275"/>
      <c r="T39" s="890"/>
      <c r="U39" s="795"/>
      <c r="V39" s="274">
        <f>SUMIFS([1]مرداد!$AH$2:$AH$805,[1]مرداد!$O$2:$O$805,7604,[1]مرداد!$D$2:$D$805,$F$39,[1]مرداد!$AC$2:$AC$805,V3)</f>
        <v>0</v>
      </c>
      <c r="W39" s="275">
        <f>SUMIFS([1]مرداد!$AH$2:$AH$805,[1]مرداد!$O$2:$O$805,7604,[1]مرداد!$D$2:$D$805,$F$39,[1]مرداد!$AC$2:$AC$805,W3)</f>
        <v>0</v>
      </c>
      <c r="X39" s="275">
        <f>SUMIFS([1]مرداد!$AH$2:$AH$805,[1]مرداد!$O$2:$O$805,7604,[1]مرداد!$D$2:$D$805,$F$39,[1]مرداد!$AC$2:$AC$805,X3)</f>
        <v>0</v>
      </c>
      <c r="Y39" s="275">
        <f>SUMIFS([1]مرداد!$AH$2:$AH$805,[1]مرداد!$O$2:$O$805,7604,[1]مرداد!$D$2:$D$805,$F$39,[1]مرداد!$AC$2:$AC$805,Y3)</f>
        <v>0</v>
      </c>
      <c r="Z39" s="275">
        <f>SUMIFS([1]مرداد!$AH$2:$AH$805,[1]مرداد!$O$2:$O$805,7604,[1]مرداد!$D$2:$D$805,$F$39,[1]مرداد!$AC$2:$AC$805,Z3)</f>
        <v>0</v>
      </c>
      <c r="AA39" s="890">
        <f>SUMIFS([1]مرداد!$AH$2:$AH$805,[1]مرداد!$O$2:$O$805,7604,[1]مرداد!$D$2:$D$805,$F$39,[1]مرداد!$AC$2:$AC$805,AA3)</f>
        <v>0</v>
      </c>
      <c r="AB39" s="121">
        <f>SUMIFS([1]مرداد!$AH$2:$AH$805,[1]مرداد!$O$2:$O$805,7604,[1]مرداد!$D$2:$D$805,$F$39,[1]مرداد!$AC$2:$AC$805,AB3)</f>
        <v>0</v>
      </c>
    </row>
    <row r="40" spans="1:28" ht="33.75" customHeight="1" x14ac:dyDescent="0.25">
      <c r="A40" s="954">
        <v>18</v>
      </c>
      <c r="B40" s="769" t="s">
        <v>26</v>
      </c>
      <c r="C40" s="830">
        <v>7605</v>
      </c>
      <c r="D40" s="830">
        <v>64</v>
      </c>
      <c r="E40" s="968" t="s">
        <v>15</v>
      </c>
      <c r="F40" s="91" t="s">
        <v>27</v>
      </c>
      <c r="G40" s="93">
        <f t="shared" si="0"/>
        <v>29</v>
      </c>
      <c r="H40" s="49">
        <f t="shared" si="1"/>
        <v>0</v>
      </c>
      <c r="I40" s="846">
        <f t="shared" si="2"/>
        <v>0</v>
      </c>
      <c r="J40" s="93">
        <v>0</v>
      </c>
      <c r="K40" s="93">
        <v>0</v>
      </c>
      <c r="L40" s="314">
        <v>0</v>
      </c>
      <c r="M40" s="94">
        <f>(G40+H40+I40+J40+K40+L40)-D40</f>
        <v>-35</v>
      </c>
      <c r="N40" s="971" t="s">
        <v>13</v>
      </c>
      <c r="O40" s="770">
        <f>SUMIFS([1]مرداد!$AF$2:$AF$805,[1]مرداد!$O$2:$O$805,7605,[1]مرداد!$D$2:$D$805,$F$40,[1]مرداد!$AC$2:$AC$805,O3)</f>
        <v>12</v>
      </c>
      <c r="P40" s="770">
        <f>SUMIFS([1]شهریور!$AF$2:$AF$805,[1]شهریور!$O$2:$O$805,7605,[1]شهریور!$D$2:$D$805,$F$40,[1]شهریور!$AC$2:$AC$805,P3)</f>
        <v>0</v>
      </c>
      <c r="Q40" s="770">
        <f>SUMIFS([1]شهریور!$AF$2:$AF$805,[1]شهریور!$O$2:$O$805,7605,[1]شهریور!$D$2:$D$805,$F$40,[1]شهریور!$AC$2:$AC$805,Q3)</f>
        <v>6</v>
      </c>
      <c r="R40" s="770">
        <f>SUMIFS([1]شهریور!$AF$2:$AF$805,[1]شهریور!$O$2:$O$805,7605,[1]شهریور!$D$2:$D$805,$F$40,[1]شهریور!$AC$2:$AC$805,R3)</f>
        <v>11</v>
      </c>
      <c r="S40" s="770">
        <f>SUMIFS([1]شهریور!$AF$2:$AF$805,[1]شهریور!$O$2:$O$805,7605,[1]شهریور!$D$2:$D$805,$F$40,[1]شهریور!$AC$2:$AC$805,S3)</f>
        <v>0</v>
      </c>
      <c r="T40" s="770">
        <f>SUMIFS([1]شهریور!$AF$2:$AF$805,[1]شهریور!$O$2:$O$805,7605,[1]شهریور!$D$2:$D$805,$F$40,[1]شهریور!$AC$2:$AC$805,T3)</f>
        <v>0</v>
      </c>
      <c r="U40" s="770">
        <f>SUMIFS([1]شهریور!$AF$2:$AF$805,[1]شهریور!$O$2:$O$805,7605,[1]شهریور!$D$2:$D$805,$F$40,[1]شهریور!$AC$2:$AC$805,U3)</f>
        <v>0</v>
      </c>
      <c r="V40" s="187">
        <f>SUMIFS([1]مرداد!$AH$2:$AH$805,[1]مرداد!$O$2:$O$805,7605,[1]مرداد!$D$2:$D$805,$F$40,[1]مرداد!$AC$2:$AC$805,V3)</f>
        <v>0</v>
      </c>
      <c r="W40" s="298">
        <f>SUMIFS([1]مرداد!$AH$2:$AH$805,[1]مرداد!$O$2:$O$805,7605,[1]مرداد!$D$2:$D$805,$F$40,[1]مرداد!$AC$2:$AC$805,W3)</f>
        <v>0</v>
      </c>
      <c r="X40" s="298">
        <f>SUMIFS([1]مرداد!$AH$2:$AH$805,[1]مرداد!$O$2:$O$805,7605,[1]مرداد!$D$2:$D$805,$F$40,[1]مرداد!$AC$2:$AC$805,X3)</f>
        <v>0</v>
      </c>
      <c r="Y40" s="298">
        <f>SUMIFS([1]مرداد!$AH$2:$AH$805,[1]مرداد!$O$2:$O$805,7605,[1]مرداد!$D$2:$D$805,$F$40,[1]مرداد!$AC$2:$AC$805,Y3)</f>
        <v>0</v>
      </c>
      <c r="Z40" s="298">
        <f>SUMIFS([1]مرداد!$AH$2:$AH$805,[1]مرداد!$O$2:$O$805,7605,[1]مرداد!$D$2:$D$805,$F$40,[1]مرداد!$AC$2:$AC$805,Z3)</f>
        <v>0</v>
      </c>
      <c r="AA40" s="464">
        <f>SUMIFS([1]مرداد!$AH$2:$AH$805,[1]مرداد!$O$2:$O$805,7605,[1]مرداد!$D$2:$D$805,$F$40,[1]مرداد!$AC$2:$AC$805,AA3)</f>
        <v>0</v>
      </c>
      <c r="AB40" s="465">
        <f>SUMIFS([1]مرداد!$AH$2:$AH$805,[1]مرداد!$O$2:$O$805,7605,[1]مرداد!$D$2:$D$805,$F$40,[1]مرداد!$AC$2:$AC$805,AB3)</f>
        <v>0</v>
      </c>
    </row>
    <row r="41" spans="1:28" ht="33.75" customHeight="1" thickBot="1" x14ac:dyDescent="0.3">
      <c r="A41" s="942"/>
      <c r="B41" s="589"/>
      <c r="C41" s="845"/>
      <c r="D41" s="845"/>
      <c r="E41" s="997"/>
      <c r="F41" s="461"/>
      <c r="G41" s="89">
        <f t="shared" si="0"/>
        <v>0</v>
      </c>
      <c r="H41" s="765">
        <f t="shared" si="1"/>
        <v>0</v>
      </c>
      <c r="I41" s="1">
        <f t="shared" si="2"/>
        <v>0</v>
      </c>
      <c r="J41" s="462">
        <v>0</v>
      </c>
      <c r="K41" s="89">
        <v>0</v>
      </c>
      <c r="L41" s="89">
        <v>0</v>
      </c>
      <c r="M41" s="94"/>
      <c r="N41" s="998"/>
      <c r="O41" s="584">
        <f>SUMIFS([1]اردیبهشت!$AD$2:$AD$805,[1]اردیبهشت!$N$2:$N$805,$C$40,[1]اردیبهشت!$D$2:$D$805,$F$41,[1]اردیبهشت!$AA$2:$AA$805,O3)</f>
        <v>0</v>
      </c>
      <c r="P41" s="191">
        <f>SUMIFS([1]اردیبهشت!$AD$2:$AD$600,[1]اردیبهشت!$N$2:$N$600,$C$40,[1]اردیبهشت!$D$2:$D$600,$F$41,[1]اردیبهشت!$AA$2:$AA$600,P3)</f>
        <v>0</v>
      </c>
      <c r="Q41" s="191">
        <f>SUMIFS([1]اردیبهشت!$AD$2:$AD$600,[1]اردیبهشت!$N$2:$N$600,$C$40,[1]اردیبهشت!$D$2:$D$600,$F$41,[1]اردیبهشت!$AA$2:$AA$600,Q3)</f>
        <v>0</v>
      </c>
      <c r="R41" s="191">
        <f>SUMIFS([1]اردیبهشت!$AD$2:$AD$600,[1]اردیبهشت!$N$2:$N$600,$C$40,[1]اردیبهشت!$D$2:$D$600,$F$41,[1]اردیبهشت!$AA$2:$AA$600,R3)</f>
        <v>0</v>
      </c>
      <c r="S41" s="191">
        <f>SUMIFS([1]اردیبهشت!$AD$2:$AD$600,[1]اردیبهشت!$N$2:$N$600,$C$40,[1]اردیبهشت!$D$2:$D$600,$F$41,[1]اردیبهشت!$AA$2:$AA$600,S3)</f>
        <v>0</v>
      </c>
      <c r="T41" s="102">
        <f>SUMIFS([1]اردیبهشت!$AD$2:$AD$600,[1]اردیبهشت!$N$2:$N$600,$C$40,[1]اردیبهشت!$D$2:$D$600,$F$41,[1]اردیبهشت!$AA$2:$AA$600,T3)</f>
        <v>0</v>
      </c>
      <c r="U41" s="797">
        <f>SUMIFS([1]اردیبهشت!$AD$2:$AD$600,[1]اردیبهشت!$N$2:$N$600,$C$40,[1]اردیبهشت!$D$2:$D$600,$F$41,[1]اردیبهشت!$AA$2:$AA$600,U3)</f>
        <v>0</v>
      </c>
      <c r="V41" s="190">
        <f>SUMIFS([1]مرداد!$AH$2:$AH$805,[1]مرداد!$O$2:$O$805,7605,[1]مرداد!$D$2:$D$805,$F$41,[1]مرداد!$AC$2:$AC$805,V3)</f>
        <v>0</v>
      </c>
      <c r="W41" s="584">
        <f>SUMIFS([1]مرداد!$AH$2:$AH$805,[1]مرداد!$O$2:$O$805,7605,[1]مرداد!$D$2:$D$805,$F$41,[1]مرداد!$AC$2:$AC$805,W3)</f>
        <v>0</v>
      </c>
      <c r="X41" s="584">
        <f>SUMIFS([1]مرداد!$AH$2:$AH$805,[1]مرداد!$O$2:$O$805,7605,[1]مرداد!$D$2:$D$805,$F$41,[1]مرداد!$AC$2:$AC$805,X3)</f>
        <v>0</v>
      </c>
      <c r="Y41" s="584">
        <f>SUMIFS([1]مرداد!$AH$2:$AH$805,[1]مرداد!$O$2:$O$805,7605,[1]مرداد!$D$2:$D$805,$F$41,[1]مرداد!$AC$2:$AC$805,Y3)</f>
        <v>0</v>
      </c>
      <c r="Z41" s="584">
        <f>SUMIFS([1]مرداد!$AH$2:$AH$805,[1]مرداد!$O$2:$O$805,7605,[1]مرداد!$D$2:$D$805,$F$41,[1]مرداد!$AC$2:$AC$805,Z3)</f>
        <v>0</v>
      </c>
      <c r="AA41" s="908">
        <f>SUMIFS([1]مرداد!$AH$2:$AH$805,[1]مرداد!$O$2:$O$805,7605,[1]مرداد!$D$2:$D$805,$F$41,[1]مرداد!$AC$2:$AC$805,AA3)</f>
        <v>0</v>
      </c>
      <c r="AB41" s="909">
        <f>SUMIFS([1]مرداد!$AH$2:$AH$805,[1]مرداد!$O$2:$O$805,7605,[1]مرداد!$D$2:$D$805,$F$41,[1]مرداد!$AC$2:$AC$805,AB3)</f>
        <v>0</v>
      </c>
    </row>
    <row r="42" spans="1:28" ht="33.75" customHeight="1" x14ac:dyDescent="0.25">
      <c r="A42" s="838"/>
      <c r="B42" s="823"/>
      <c r="C42" s="817"/>
      <c r="D42" s="817"/>
      <c r="E42" s="932" t="s">
        <v>15</v>
      </c>
      <c r="F42" s="84" t="s">
        <v>27</v>
      </c>
      <c r="G42" s="846">
        <f t="shared" si="0"/>
        <v>0</v>
      </c>
      <c r="H42" s="46">
        <f t="shared" si="1"/>
        <v>0</v>
      </c>
      <c r="I42" s="846">
        <f t="shared" si="2"/>
        <v>0</v>
      </c>
      <c r="J42" s="846">
        <v>0</v>
      </c>
      <c r="K42" s="846">
        <v>0</v>
      </c>
      <c r="L42" s="846">
        <v>0</v>
      </c>
      <c r="M42" s="28"/>
      <c r="N42" s="945" t="s">
        <v>183</v>
      </c>
      <c r="O42" s="292">
        <f>SUMIFS([1]مرداد!$AF$2:$AF$805,[1]مرداد!$O$2:$O$805,7701,[1]مرداد!$D$2:$D$805,$F$42,[1]مرداد!$AC$2:$AC$805,O3)</f>
        <v>0</v>
      </c>
      <c r="P42" s="292">
        <f>SUMIFS([1]شهریور!$AF$2:$AF$805,[1]شهریور!$O$2:$O$805,7701,[1]شهریور!$D$2:$D$805,$F$42,[1]شهریور!$AC$2:$AC$805,P3)</f>
        <v>0</v>
      </c>
      <c r="Q42" s="292">
        <f>SUMIFS([1]شهریور!$AF$2:$AF$805,[1]شهریور!$O$2:$O$805,7701,[1]شهریور!$D$2:$D$805,$F$42,[1]شهریور!$AC$2:$AC$805,Q3)</f>
        <v>0</v>
      </c>
      <c r="R42" s="292">
        <f>SUMIFS([1]شهریور!$AF$2:$AF$805,[1]شهریور!$O$2:$O$805,7701,[1]شهریور!$D$2:$D$805,$F$42,[1]شهریور!$AC$2:$AC$805,R3)</f>
        <v>0</v>
      </c>
      <c r="S42" s="292">
        <f>SUMIFS([1]شهریور!$AF$2:$AF$805,[1]شهریور!$O$2:$O$805,7701,[1]شهریور!$D$2:$D$805,$F$42,[1]شهریور!$AC$2:$AC$805,S3)</f>
        <v>0</v>
      </c>
      <c r="T42" s="292">
        <f>SUMIFS([1]شهریور!$AF$2:$AF$805,[1]شهریور!$O$2:$O$805,7701,[1]شهریور!$D$2:$D$805,$F$42,[1]شهریور!$AC$2:$AC$805,T3)</f>
        <v>0</v>
      </c>
      <c r="U42" s="292">
        <f>SUMIFS([1]شهریور!$AF$2:$AF$805,[1]شهریور!$O$2:$O$805,7701,[1]شهریور!$D$2:$D$805,$F$42,[1]شهریور!$AC$2:$AC$805,U3)</f>
        <v>0</v>
      </c>
      <c r="V42" s="165">
        <f>SUMIFS([1]مرداد!$AH$2:$AH$805,[1]مرداد!$O$2:$O$805,7701,[1]مرداد!$D$2:$D$805,$F$42,[1]مرداد!$AC$2:$AC$805,V3)</f>
        <v>0</v>
      </c>
      <c r="W42" s="169">
        <f>SUMIFS([1]مرداد!$AH$2:$AH$805,[1]مرداد!$O$2:$O$805,7701,[1]مرداد!$D$2:$D$805,$F$42,[1]مرداد!$AC$2:$AC$805,W3)</f>
        <v>0</v>
      </c>
      <c r="X42" s="169">
        <f>SUMIFS([1]مرداد!$AH$2:$AH$805,[1]مرداد!$O$2:$O$805,7701,[1]مرداد!$D$2:$D$805,$F$42,[1]مرداد!$AC$2:$AC$805,X3)</f>
        <v>0</v>
      </c>
      <c r="Y42" s="169">
        <f>SUMIFS([1]مرداد!$AH$2:$AH$805,[1]مرداد!$O$2:$O$805,7701,[1]مرداد!$D$2:$D$805,$F$42,[1]مرداد!$AC$2:$AC$805,Y3)</f>
        <v>0</v>
      </c>
      <c r="Z42" s="169">
        <f>SUMIFS([1]مرداد!$AH$2:$AH$805,[1]مرداد!$O$2:$O$805,7701,[1]مرداد!$D$2:$D$805,$F$42,[1]مرداد!$AC$2:$AC$805,Z3)</f>
        <v>0</v>
      </c>
      <c r="AA42" s="98">
        <f>SUMIFS([1]مرداد!$AH$2:$AH$805,[1]مرداد!$O$2:$O$805,7701,[1]مرداد!$D$2:$D$805,$F$42,[1]مرداد!$AC$2:$AC$805,AA3)</f>
        <v>0</v>
      </c>
      <c r="AB42" s="107">
        <f>SUMIFS([1]مرداد!$AH$2:$AH$805,[1]مرداد!$O$2:$O$805,7701,[1]مرداد!$D$2:$D$805,$F$42,[1]مرداد!$AC$2:$AC$805,AB3)</f>
        <v>0</v>
      </c>
    </row>
    <row r="43" spans="1:28" ht="39" customHeight="1" x14ac:dyDescent="0.25">
      <c r="A43" s="839">
        <v>19</v>
      </c>
      <c r="B43" s="824" t="s">
        <v>30</v>
      </c>
      <c r="C43" s="827">
        <v>7701</v>
      </c>
      <c r="D43" s="827">
        <v>55</v>
      </c>
      <c r="E43" s="933"/>
      <c r="F43" s="29"/>
      <c r="G43" s="3">
        <f t="shared" si="0"/>
        <v>0</v>
      </c>
      <c r="H43" s="47">
        <f t="shared" si="1"/>
        <v>0</v>
      </c>
      <c r="I43" s="3">
        <f t="shared" si="2"/>
        <v>0</v>
      </c>
      <c r="J43" s="25">
        <v>0</v>
      </c>
      <c r="K43" s="25">
        <v>0</v>
      </c>
      <c r="L43" s="70">
        <v>0</v>
      </c>
      <c r="M43" s="4">
        <f>(J42+J43+J44+I44+I43+I42+H42+H43+H44+G44+G43+G42)-D43</f>
        <v>-55</v>
      </c>
      <c r="N43" s="956"/>
      <c r="O43" s="293">
        <f>SUMIFS([1]اردیبهشت!$AD$2:$AD$805,[1]اردیبهشت!$N$2:$N$805,$C$43,[1]اردیبهشت!$D$2:$D$805,$F$43,[1]اردیبهشت!$AA$2:$AA$805,O3)</f>
        <v>0</v>
      </c>
      <c r="P43" s="168">
        <f>SUMIFS([1]اردیبهشت!$AD$2:$AD$805,[1]اردیبهشت!$N$2:$N$805,$C$43,[1]اردیبهشت!$D$2:$D$805,$F$43,[1]اردیبهشت!$AA$2:$AA$805,P3)</f>
        <v>0</v>
      </c>
      <c r="Q43" s="168">
        <f>SUMIFS([1]اردیبهشت!$AD$2:$AD$805,[1]اردیبهشت!$N$2:$N$805,$C$43,[1]اردیبهشت!$D$2:$D$805,$F$43,[1]اردیبهشت!$AA$2:$AA$805,Q3)</f>
        <v>0</v>
      </c>
      <c r="R43" s="168">
        <f>SUMIFS([1]اردیبهشت!$AD$2:$AD$805,[1]اردیبهشت!$N$2:$N$805,$C$43,[1]اردیبهشت!$D$2:$D$805,$F$43,[1]اردیبهشت!$AA$2:$AA$805,R3)</f>
        <v>0</v>
      </c>
      <c r="S43" s="168">
        <f>SUMIFS([1]اردیبهشت!$AD$2:$AD$805,[1]اردیبهشت!$N$2:$N$805,$C$43,[1]اردیبهشت!$D$2:$D$805,$F$43,[1]اردیبهشت!$AA$2:$AA$805,S3)</f>
        <v>0</v>
      </c>
      <c r="T43" s="96">
        <f>SUMIFS([1]اردیبهشت!$AD$2:$AD$805,[1]اردیبهشت!$N$2:$N$805,$C$43,[1]اردیبهشت!$D$2:$D$805,$F$43,[1]اردیبهشت!$AA$2:$AA$805,T3)</f>
        <v>0</v>
      </c>
      <c r="U43" s="800">
        <f>SUMIFS([1]اردیبهشت!$AD$2:$AD$600,[1]اردیبهشت!$N$2:$N$600,$C$43,[1]اردیبهشت!$D$2:$D$600,$F$43,[1]اردیبهشت!$AA$2:$AA$600,U3)</f>
        <v>0</v>
      </c>
      <c r="V43" s="166">
        <f>SUMIFS([1]مرداد!$AH$2:$AH$805,[1]مرداد!$O$2:$O$805,7701,[1]مرداد!$D$2:$D$805,$F$43,[1]مرداد!$AC$2:$AC$805,V3)</f>
        <v>0</v>
      </c>
      <c r="W43" s="168">
        <f>SUMIFS([1]مرداد!$AH$2:$AH$805,[1]مرداد!$O$2:$O$805,7701,[1]مرداد!$D$2:$D$805,$F$43,[1]مرداد!$AC$2:$AC$805,W3)</f>
        <v>0</v>
      </c>
      <c r="X43" s="168">
        <f>SUMIFS([1]مرداد!$AH$2:$AH$805,[1]مرداد!$O$2:$O$805,7701,[1]مرداد!$D$2:$D$805,$F$43,[1]مرداد!$AC$2:$AC$805,X3)</f>
        <v>0</v>
      </c>
      <c r="Y43" s="168">
        <f>SUMIFS([1]مرداد!$AH$2:$AH$805,[1]مرداد!$O$2:$O$805,7701,[1]مرداد!$D$2:$D$805,$F$43,[1]مرداد!$AC$2:$AC$805,Y3)</f>
        <v>0</v>
      </c>
      <c r="Z43" s="168">
        <f>SUMIFS([1]مرداد!$AH$2:$AH$805,[1]مرداد!$O$2:$O$805,7701,[1]مرداد!$D$2:$D$805,$F$43,[1]مرداد!$AC$2:$AC$805,Z3)</f>
        <v>0</v>
      </c>
      <c r="AA43" s="96">
        <f>SUMIFS([1]مرداد!$AH$2:$AH$805,[1]مرداد!$O$2:$O$805,7701,[1]مرداد!$D$2:$D$805,$F$43,[1]مرداد!$AC$2:$AC$805,AA3)</f>
        <v>0</v>
      </c>
      <c r="AB43" s="108">
        <f>SUMIFS([1]مرداد!$AH$2:$AH$805,[1]مرداد!$O$2:$O$805,7701,[1]مرداد!$D$2:$D$805,$F$43,[1]مرداد!$AC$2:$AC$805,AB3)</f>
        <v>0</v>
      </c>
    </row>
    <row r="44" spans="1:28" ht="40.5" customHeight="1" thickBot="1" x14ac:dyDescent="0.3">
      <c r="A44" s="839"/>
      <c r="B44" s="826"/>
      <c r="C44" s="818"/>
      <c r="D44" s="818"/>
      <c r="E44" s="934"/>
      <c r="F44" s="30"/>
      <c r="G44" s="6">
        <f t="shared" si="0"/>
        <v>0</v>
      </c>
      <c r="H44" s="761">
        <f t="shared" si="1"/>
        <v>0</v>
      </c>
      <c r="I44" s="1">
        <f t="shared" si="2"/>
        <v>0</v>
      </c>
      <c r="J44" s="7">
        <v>0</v>
      </c>
      <c r="K44" s="7">
        <v>0</v>
      </c>
      <c r="L44" s="7">
        <v>0</v>
      </c>
      <c r="M44" s="8"/>
      <c r="N44" s="946"/>
      <c r="O44" s="294">
        <f>SUMIFS([1]اردیبهشت!$AD$2:$AD$805,[1]اردیبهشت!$N$2:$N$805,$C$43,[1]اردیبهشت!$D$2:$D$805,$F$44,[1]اردیبهشت!$AA$2:$AA$805,O3)</f>
        <v>0</v>
      </c>
      <c r="P44" s="172">
        <f>SUMIFS([1]اردیبهشت!$AD$2:$AD$805,[1]اردیبهشت!$N$2:$N$805,$C$43,[1]اردیبهشت!$D$2:$D$805,$F$44,[1]اردیبهشت!$AA$2:$AA$805,P3)</f>
        <v>0</v>
      </c>
      <c r="Q44" s="172">
        <f>SUMIFS([1]اردیبهشت!$AD$2:$AD$805,[1]اردیبهشت!$N$2:$N$805,$C$43,[1]اردیبهشت!$D$2:$D$805,$F$44,[1]اردیبهشت!$AA$2:$AA$805,Q3)</f>
        <v>0</v>
      </c>
      <c r="R44" s="172">
        <f>SUMIFS([1]اردیبهشت!$AD$2:$AD$805,[1]اردیبهشت!$N$2:$N$805,$C$43,[1]اردیبهشت!$D$2:$D$805,$F$44,[1]اردیبهشت!$AA$2:$AA$805,R3)</f>
        <v>0</v>
      </c>
      <c r="S44" s="172">
        <f>SUMIFS([1]اردیبهشت!$AD$2:$AD$805,[1]اردیبهشت!$N$2:$N$805,$C$43,[1]اردیبهشت!$D$2:$D$805,$F$44,[1]اردیبهشت!$AA$2:$AA$805,S3)</f>
        <v>0</v>
      </c>
      <c r="T44" s="103">
        <f>SUMIFS([1]اردیبهشت!$AD$2:$AD$805,[1]اردیبهشت!$N$2:$N$805,$C$43,[1]اردیبهشت!$D$2:$D$805,$F$44,[1]اردیبهشت!$AA$2:$AA$805,T3)</f>
        <v>0</v>
      </c>
      <c r="U44" s="802">
        <f>SUMIFS([1]اردیبهشت!$AD$2:$AD$600,[1]اردیبهشت!$N$2:$N$600,$C$43,[1]اردیبهشت!$D$2:$D$600,$F$44,[1]اردیبهشت!$AA$2:$AA$600,U3)</f>
        <v>0</v>
      </c>
      <c r="V44" s="763">
        <f>SUMIFS([1]مرداد!$AH$2:$AH$805,[1]مرداد!$O$2:$O$805,7701,[1]مرداد!$D$2:$D$805,$F$44,[1]مرداد!$AC$2:$AC$805,V3)</f>
        <v>0</v>
      </c>
      <c r="W44" s="353">
        <f>SUMIFS([1]مرداد!$AH$2:$AH$805,[1]مرداد!$O$2:$O$805,7701,[1]مرداد!$D$2:$D$805,$F$44,[1]مرداد!$AC$2:$AC$805,W3)</f>
        <v>0</v>
      </c>
      <c r="X44" s="353">
        <f>SUMIFS([1]مرداد!$AH$2:$AH$805,[1]مرداد!$O$2:$O$805,7701,[1]مرداد!$D$2:$D$805,$F$44,[1]مرداد!$AC$2:$AC$805,X3)</f>
        <v>0</v>
      </c>
      <c r="Y44" s="353">
        <f>SUMIFS([1]مرداد!$AH$2:$AH$805,[1]مرداد!$O$2:$O$805,7701,[1]مرداد!$D$2:$D$805,$F$44,[1]مرداد!$AC$2:$AC$805,Y3)</f>
        <v>0</v>
      </c>
      <c r="Z44" s="353">
        <f>SUMIFS([1]مرداد!$AH$2:$AH$805,[1]مرداد!$O$2:$O$805,7701,[1]مرداد!$D$2:$D$805,$F$44,[1]مرداد!$AC$2:$AC$805,Z3)</f>
        <v>0</v>
      </c>
      <c r="AA44" s="455">
        <f>SUMIFS([1]مرداد!$AH$2:$AH$805,[1]مرداد!$O$2:$O$805,7701,[1]مرداد!$D$2:$D$805,$F$44,[1]مرداد!$AC$2:$AC$805,AA3)</f>
        <v>0</v>
      </c>
      <c r="AB44" s="426">
        <f>SUMIFS([1]مرداد!$AH$2:$AH$805,[1]مرداد!$O$2:$O$805,7701,[1]مرداد!$D$2:$D$805,$F$44,[1]مرداد!$AC$2:$AC$805,AB3)</f>
        <v>0</v>
      </c>
    </row>
    <row r="45" spans="1:28" ht="42.75" customHeight="1" thickBot="1" x14ac:dyDescent="0.3">
      <c r="A45" s="45">
        <v>20</v>
      </c>
      <c r="B45" s="836" t="s">
        <v>63</v>
      </c>
      <c r="C45" s="815">
        <v>8001</v>
      </c>
      <c r="D45" s="815">
        <v>55</v>
      </c>
      <c r="E45" s="815" t="s">
        <v>15</v>
      </c>
      <c r="F45" s="54" t="s">
        <v>54</v>
      </c>
      <c r="G45" s="4">
        <f t="shared" si="0"/>
        <v>7</v>
      </c>
      <c r="H45" s="67">
        <f t="shared" si="1"/>
        <v>0</v>
      </c>
      <c r="I45" s="846">
        <f t="shared" si="2"/>
        <v>0</v>
      </c>
      <c r="J45" s="4">
        <v>0</v>
      </c>
      <c r="K45" s="4">
        <v>0</v>
      </c>
      <c r="L45" s="4">
        <v>0</v>
      </c>
      <c r="M45" s="4">
        <f>SUM(G45:J45)-62</f>
        <v>-55</v>
      </c>
      <c r="N45" s="841" t="s">
        <v>31</v>
      </c>
      <c r="O45" s="580">
        <f>SUMIFS([1]مرداد!$AF$2:$AF$805,[1]مرداد!$O$2:$O$805,8001,[1]مرداد!$D$2:$D$805,"*",[1]مرداد!$AC$2:$AC$805,O3)</f>
        <v>2</v>
      </c>
      <c r="P45" s="580">
        <f>SUMIFS([1]شهریور!$AF$2:$AF$805,[1]شهریور!$O$2:$O$805,8001,[1]شهریور!$D$2:$D$805,$F$45,[1]شهریور!$AC$2:$AC$805,P3)</f>
        <v>2</v>
      </c>
      <c r="Q45" s="580">
        <f>SUMIFS([1]شهریور!$AF$2:$AF$805,[1]شهریور!$O$2:$O$805,8001,[1]شهریور!$D$2:$D$805,$F$45,[1]شهریور!$AC$2:$AC$805,Q3)</f>
        <v>0</v>
      </c>
      <c r="R45" s="580">
        <f>SUMIFS([1]شهریور!$AF$2:$AF$805,[1]شهریور!$O$2:$O$805,8001,[1]شهریور!$D$2:$D$805,$F$45,[1]شهریور!$AC$2:$AC$805,R3)</f>
        <v>3</v>
      </c>
      <c r="S45" s="580">
        <f>SUMIFS([1]شهریور!$AF$2:$AF$805,[1]شهریور!$O$2:$O$805,8001,[1]شهریور!$D$2:$D$805,$F$45,[1]شهریور!$AC$2:$AC$805,S3)</f>
        <v>0</v>
      </c>
      <c r="T45" s="580">
        <f>SUMIFS([1]شهریور!$AF$2:$AF$805,[1]شهریور!$O$2:$O$805,8001,[1]شهریور!$D$2:$D$805,$F$45,[1]شهریور!$AC$2:$AC$805,T3)</f>
        <v>0</v>
      </c>
      <c r="U45" s="580">
        <f>SUMIFS([1]شهریور!$AF$2:$AF$805,[1]شهریور!$O$2:$O$805,8001,[1]شهریور!$D$2:$D$805,$F$45,[1]شهریور!$AC$2:$AC$805,U3)</f>
        <v>0</v>
      </c>
      <c r="V45" s="181">
        <f>SUMIFS([1]مرداد!$AH$2:$AH$805,[1]مرداد!$O$2:$O$805,8001,[1]مرداد!$D$2:$D$805,$F$45,[1]مرداد!$AC$2:$AC$805,V3)</f>
        <v>0</v>
      </c>
      <c r="W45" s="297">
        <f>SUMIFS([1]مرداد!$AH$2:$AH$805,[1]مرداد!$O$2:$O$805,8001,[1]مرداد!$D$2:$D$805,$F$45,[1]مرداد!$AC$2:$AC$805,W3)</f>
        <v>0</v>
      </c>
      <c r="X45" s="297">
        <f>SUMIFS([1]مرداد!$AH$2:$AH$805,[1]مرداد!$O$2:$O$805,8001,[1]مرداد!$D$2:$D$805,$F$45,[1]مرداد!$AC$2:$AC$805,X3)</f>
        <v>0</v>
      </c>
      <c r="Y45" s="297">
        <f>SUMIFS([1]مرداد!$AH$2:$AH$805,[1]مرداد!$O$2:$O$805,8001,[1]مرداد!$D$2:$D$805,$F$45,[1]مرداد!$AC$2:$AC$805,Y3)</f>
        <v>0</v>
      </c>
      <c r="Z45" s="297">
        <f>SUMIFS([1]مرداد!$AH$2:$AH$805,[1]مرداد!$O$2:$O$805,8001,[1]مرداد!$D$2:$D$805,$F$45,[1]مرداد!$AC$2:$AC$805,Z3)</f>
        <v>0</v>
      </c>
      <c r="AA45" s="892">
        <f>SUMIFS([1]مرداد!$AH$2:$AH$805,[1]مرداد!$O$2:$O$805,8001,[1]مرداد!$D$2:$D$805,$F$45,[1]مرداد!$AC$2:$AC$805,AA3)</f>
        <v>0</v>
      </c>
      <c r="AB45" s="893">
        <f>SUMIFS([1]مرداد!$AH$2:$AH$805,[1]مرداد!$O$2:$O$805,8001,[1]مرداد!$D$2:$D$805,$F$45,[1]مرداد!$AC$2:$AC$805,AB3)</f>
        <v>0</v>
      </c>
    </row>
    <row r="46" spans="1:28" ht="39" customHeight="1" thickBot="1" x14ac:dyDescent="0.3">
      <c r="A46" s="45">
        <v>21</v>
      </c>
      <c r="B46" s="12" t="s">
        <v>32</v>
      </c>
      <c r="C46" s="13">
        <v>8002</v>
      </c>
      <c r="D46" s="13">
        <v>44</v>
      </c>
      <c r="E46" s="13" t="s">
        <v>15</v>
      </c>
      <c r="F46" s="31" t="s">
        <v>55</v>
      </c>
      <c r="G46" s="14">
        <f t="shared" si="0"/>
        <v>0</v>
      </c>
      <c r="H46" s="48">
        <f t="shared" si="1"/>
        <v>0</v>
      </c>
      <c r="I46" s="1">
        <f t="shared" si="2"/>
        <v>0</v>
      </c>
      <c r="J46" s="14">
        <v>0</v>
      </c>
      <c r="K46" s="14">
        <v>0</v>
      </c>
      <c r="L46" s="14">
        <v>0</v>
      </c>
      <c r="M46" s="14">
        <f>SUM(G46:L46)-(D46)</f>
        <v>-44</v>
      </c>
      <c r="N46" s="17" t="s">
        <v>40</v>
      </c>
      <c r="O46" s="297">
        <f>SUMIFS([1]مرداد!$AF$2:$AF$805,[1]مرداد!$O$2:$O$805,8002,[1]مرداد!$D$2:$D$805,$F$46,[1]مرداد!$AC$2:$AC$805,O3)</f>
        <v>0</v>
      </c>
      <c r="P46" s="297">
        <f>SUMIFS([1]شهریور!$AF$2:$AF$805,[1]شهریور!$O$2:$O$805,8002,[1]شهریور!$D$2:$D$805,$F$46,[1]شهریور!$AC$2:$AC$805,P3)</f>
        <v>0</v>
      </c>
      <c r="Q46" s="297">
        <f>SUMIFS([1]شهریور!$AF$2:$AF$805,[1]شهریور!$O$2:$O$805,8002,[1]شهریور!$D$2:$D$805,$F$46,[1]شهریور!$AC$2:$AC$805,Q3)</f>
        <v>0</v>
      </c>
      <c r="R46" s="297">
        <f>SUMIFS([1]شهریور!$AF$2:$AF$805,[1]شهریور!$O$2:$O$805,8002,[1]شهریور!$D$2:$D$805,$F$46,[1]شهریور!$AC$2:$AC$805,R3)</f>
        <v>0</v>
      </c>
      <c r="S46" s="297">
        <f>SUMIFS([1]شهریور!$AF$2:$AF$805,[1]شهریور!$O$2:$O$805,8002,[1]شهریور!$D$2:$D$805,$F$46,[1]شهریور!$AC$2:$AC$805,S3)</f>
        <v>0</v>
      </c>
      <c r="T46" s="297">
        <f>SUMIFS([1]شهریور!$AF$2:$AF$805,[1]شهریور!$O$2:$O$805,8002,[1]شهریور!$D$2:$D$805,$F$46,[1]شهریور!$AC$2:$AC$805,T3)</f>
        <v>0</v>
      </c>
      <c r="U46" s="297">
        <f>SUMIFS([1]شهریور!$AF$2:$AF$805,[1]شهریور!$O$2:$O$805,8002,[1]شهریور!$D$2:$D$805,$F$46,[1]شهریور!$AC$2:$AC$805,U3)</f>
        <v>0</v>
      </c>
      <c r="V46" s="181">
        <f>SUMIFS([1]مرداد!$AH$2:$AH$805,[1]مرداد!$O$2:$O$805,8002,[1]مرداد!$D$2:$D$805,$F$46,[1]مرداد!$AC$2:$AC$805,V3)</f>
        <v>0</v>
      </c>
      <c r="W46" s="297">
        <f>SUMIFS([1]مرداد!$AH$2:$AH$805,[1]مرداد!$O$2:$O$805,8002,[1]مرداد!$D$2:$D$805,$F$46,[1]مرداد!$AC$2:$AC$805,W3)</f>
        <v>0</v>
      </c>
      <c r="X46" s="297">
        <f>SUMIFS([1]مرداد!$AH$2:$AH$805,[1]مرداد!$O$2:$O$805,8002,[1]مرداد!$D$2:$D$805,$F$46,[1]مرداد!$AC$2:$AC$805,X3)</f>
        <v>0</v>
      </c>
      <c r="Y46" s="297">
        <f>SUMIFS([1]مرداد!$AH$2:$AH$805,[1]مرداد!$O$2:$O$805,8002,[1]مرداد!$D$2:$D$805,$F$46,[1]مرداد!$AC$2:$AC$805,Y3)</f>
        <v>0</v>
      </c>
      <c r="Z46" s="297">
        <f>SUMIFS([1]مرداد!$AH$2:$AH$805,[1]مرداد!$O$2:$O$805,8002,[1]مرداد!$D$2:$D$805,$F$46,[1]مرداد!$AC$2:$AC$805,Z3)</f>
        <v>0</v>
      </c>
      <c r="AA46" s="892">
        <f>SUMIFS([1]مرداد!$AH$2:$AH$805,[1]مرداد!$O$2:$O$805,8002,[1]مرداد!$D$2:$D$805,$F$46,[1]مرداد!$AC$2:$AC$805,AA3)</f>
        <v>0</v>
      </c>
      <c r="AB46" s="893">
        <f>SUMIFS([1]مرداد!$AH$2:$AH$805,[1]مرداد!$O$2:$O$805,8002,[1]مرداد!$D$2:$D$805,$F$46,[1]مرداد!$AC$2:$AC$805,AB3)</f>
        <v>0</v>
      </c>
    </row>
    <row r="47" spans="1:28" ht="33.75" customHeight="1" x14ac:dyDescent="0.25">
      <c r="A47" s="957">
        <v>22</v>
      </c>
      <c r="B47" s="974" t="s">
        <v>33</v>
      </c>
      <c r="C47" s="943" t="s">
        <v>33</v>
      </c>
      <c r="D47" s="932">
        <v>55</v>
      </c>
      <c r="E47" s="1002"/>
      <c r="F47" s="32" t="s">
        <v>16</v>
      </c>
      <c r="G47" s="846">
        <f t="shared" si="0"/>
        <v>32</v>
      </c>
      <c r="H47" s="46">
        <f t="shared" si="1"/>
        <v>0</v>
      </c>
      <c r="I47" s="846">
        <f t="shared" si="2"/>
        <v>0</v>
      </c>
      <c r="J47" s="846">
        <v>0</v>
      </c>
      <c r="K47" s="846">
        <v>0</v>
      </c>
      <c r="L47" s="846">
        <v>0</v>
      </c>
      <c r="M47" s="846">
        <f>(SUM(G47:L47))-D47</f>
        <v>-23</v>
      </c>
      <c r="N47" s="33"/>
      <c r="O47" s="292">
        <f>SUMIFS([1]مرداد!$AF$2:$AF$805,[1]مرداد!$O$2:$O$805,"مونتاژ",[1]مرداد!$D$2:$D$805,$F$47,[1]مرداد!$AC$2:$AC$805,O3)</f>
        <v>4</v>
      </c>
      <c r="P47" s="292">
        <f>SUMIFS([1]شهریور!$AF$2:$AF$805,[1]شهریور!$O$2:$O$805,"مونتاژ",[1]شهریور!$D$2:$D$805,$F$47,[1]شهریور!$AC$2:$AC$805,P3)</f>
        <v>9</v>
      </c>
      <c r="Q47" s="292">
        <f>SUMIFS([1]شهریور!$AF$2:$AF$805,[1]شهریور!$O$2:$O$805,"مونتاژ",[1]شهریور!$D$2:$D$805,$F$47,[1]شهریور!$AC$2:$AC$805,Q3)</f>
        <v>0</v>
      </c>
      <c r="R47" s="292">
        <f>SUMIFS([1]شهریور!$AF$2:$AF$805,[1]شهریور!$O$2:$O$805,"مونتاژ",[1]شهریور!$D$2:$D$805,$F$47,[1]شهریور!$AC$2:$AC$805,R3)</f>
        <v>0</v>
      </c>
      <c r="S47" s="292">
        <f>SUMIFS([1]شهریور!$AF$2:$AF$805,[1]شهریور!$O$2:$O$805,"مونتاژ",[1]شهریور!$D$2:$D$805,$F$47,[1]شهریور!$AC$2:$AC$805,S3)</f>
        <v>19</v>
      </c>
      <c r="T47" s="292">
        <f>SUMIFS([1]شهریور!$AF$2:$AF$805,[1]شهریور!$O$2:$O$805,"مونتاژ",[1]شهریور!$D$2:$D$805,$F$47,[1]شهریور!$AC$2:$AC$805,T3)</f>
        <v>0</v>
      </c>
      <c r="U47" s="292">
        <f>SUMIFS([1]شهریور!$AF$2:$AF$805,[1]شهریور!$O$2:$O$805,"مونتاژ",[1]شهریور!$D$2:$D$805,$F$47,[1]شهریور!$AC$2:$AC$805,U3)</f>
        <v>0</v>
      </c>
      <c r="V47" s="165" cm="1">
        <f t="array" ref="V47">SUMIFS([1]مرداد!$AH$2:$AH$805,[1]مرداد!$O$2:$O$805,مونتاژ,[1]مرداد!$D$2:$D$805,$F$47,[1]مرداد!$AC$2:$AC$805,V3)</f>
        <v>0</v>
      </c>
      <c r="W47" s="292" cm="1">
        <f t="array" ref="W47">SUMIFS([1]مرداد!$AH$2:$AH$805,[1]مرداد!$O$2:$O$805,مونتاژ,[1]مرداد!$D$2:$D$805,$F$47,[1]مرداد!$AC$2:$AC$805,W3)</f>
        <v>0</v>
      </c>
      <c r="X47" s="292" cm="1">
        <f t="array" ref="X47">SUMIFS([1]مرداد!$AH$2:$AH$805,[1]مرداد!$O$2:$O$805,مونتاژ,[1]مرداد!$D$2:$D$805,$F$47,[1]مرداد!$AC$2:$AC$805,X3)</f>
        <v>0</v>
      </c>
      <c r="Y47" s="292" cm="1">
        <f t="array" ref="Y47">SUMIFS([1]مرداد!$AH$2:$AH$805,[1]مرداد!$O$2:$O$805,مونتاژ,[1]مرداد!$D$2:$D$805,$F$47,[1]مرداد!$AC$2:$AC$805,Y3)</f>
        <v>0</v>
      </c>
      <c r="Z47" s="292" cm="1">
        <f t="array" ref="Z47">SUMIFS([1]مرداد!$AH$2:$AH$805,[1]مرداد!$O$2:$O$805,مونتاژ,[1]مرداد!$D$2:$D$805,$F$47,[1]مرداد!$AC$2:$AC$805,Z3)</f>
        <v>0</v>
      </c>
      <c r="AA47" s="393" cm="1">
        <f t="array" ref="AA47">SUMIFS([1]مرداد!$AH$2:$AH$805,[1]مرداد!$O$2:$O$805,مونتاژ,[1]مرداد!$D$2:$D$805,$F$47,[1]مرداد!$AC$2:$AC$805,AA3)</f>
        <v>0</v>
      </c>
      <c r="AB47" s="454" cm="1">
        <f t="array" ref="AB47">SUMIFS([1]مرداد!$AH$2:$AH$805,[1]مرداد!$O$2:$O$805,مونتاژ,[1]مرداد!$D$2:$D$805,$F$47,[1]مرداد!$AC$2:$AC$805,AB3)</f>
        <v>0</v>
      </c>
    </row>
    <row r="48" spans="1:28" ht="33.75" customHeight="1" x14ac:dyDescent="0.25">
      <c r="A48" s="958"/>
      <c r="B48" s="975"/>
      <c r="C48" s="965"/>
      <c r="D48" s="933"/>
      <c r="E48" s="965"/>
      <c r="F48" s="29" t="s">
        <v>17</v>
      </c>
      <c r="G48" s="3">
        <f>SUM(O48:T48)</f>
        <v>6</v>
      </c>
      <c r="H48" s="47">
        <f t="shared" si="1"/>
        <v>0</v>
      </c>
      <c r="I48" s="3">
        <f t="shared" si="2"/>
        <v>0</v>
      </c>
      <c r="J48" s="3">
        <v>0</v>
      </c>
      <c r="K48" s="3">
        <v>0</v>
      </c>
      <c r="L48" s="3">
        <v>0</v>
      </c>
      <c r="M48" s="3">
        <f>(SUM(G48:L48))-D47</f>
        <v>-49</v>
      </c>
      <c r="N48" s="58"/>
      <c r="O48" s="293">
        <f>SUMIFS([1]مرداد!$AF$2:$AF$805,[1]مرداد!$O$2:$O$805,"مونتاژ",[1]مرداد!$D$2:$D$805,$F$48,[1]مرداد!$AC$2:$AC$805,O3)</f>
        <v>0</v>
      </c>
      <c r="P48" s="293">
        <f>SUMIFS([1]شهریور!$AF$2:$AF$805,[1]شهریور!$O$2:$O$805,"مونتاژ",[1]شهریور!$D$2:$D$805,$F$48,[1]شهریور!$AC$2:$AC$805,P3)</f>
        <v>3</v>
      </c>
      <c r="Q48" s="293">
        <f>SUMIFS([1]شهریور!$AF$2:$AF$805,[1]شهریور!$O$2:$O$805,"مونتاژ",[1]شهریور!$D$2:$D$805,$F$48,[1]شهریور!$AC$2:$AC$805,Q3)</f>
        <v>3</v>
      </c>
      <c r="R48" s="293">
        <f>SUMIFS([1]شهریور!$AF$2:$AF$805,[1]شهریور!$O$2:$O$805,"مونتاژ",[1]شهریور!$D$2:$D$805,$F$48,[1]شهریور!$AC$2:$AC$805,R3)</f>
        <v>0</v>
      </c>
      <c r="S48" s="293">
        <f>SUMIFS([1]شهریور!$AF$2:$AF$805,[1]شهریور!$O$2:$O$805,"مونتاژ",[1]شهریور!$D$2:$D$805,$F$48,[1]شهریور!$AC$2:$AC$805,S3)</f>
        <v>0</v>
      </c>
      <c r="T48" s="293">
        <f>SUMIFS([1]شهریور!$AF$2:$AF$805,[1]شهریور!$O$2:$O$805,"مونتاژ",[1]شهریور!$D$2:$D$805,$F$48,[1]شهریور!$AC$2:$AC$805,T3)</f>
        <v>0</v>
      </c>
      <c r="U48" s="293">
        <f>SUMIFS([1]شهریور!$AF$2:$AF$805,[1]شهریور!$O$2:$O$805,"مونتاژ",[1]شهریور!$D$2:$D$805,$F$48,[1]شهریور!$AC$2:$AC$805,U3)</f>
        <v>0</v>
      </c>
      <c r="V48" s="166" cm="1">
        <f t="array" ref="V48">SUMIFS([1]مرداد!$AH$2:$AH$805,[1]مرداد!$O$2:$O$805,مونتاژ,[1]مرداد!$D$2:$D$805,$F$48,[1]مرداد!$AC$2:$AC$805,V3)</f>
        <v>0</v>
      </c>
      <c r="W48" s="293" cm="1">
        <f t="array" ref="W48">SUMIFS([1]مرداد!$AH$2:$AH$805,[1]مرداد!$O$2:$O$805,مونتاژ,[1]مرداد!$D$2:$D$805,$F$48,[1]مرداد!$AC$2:$AC$805,W3)</f>
        <v>0</v>
      </c>
      <c r="X48" s="293" cm="1">
        <f t="array" ref="X48">SUMIFS([1]مرداد!$AH$2:$AH$805,[1]مرداد!$O$2:$O$805,مونتاژ,[1]مرداد!$D$2:$D$805,$F$48,[1]مرداد!$AC$2:$AC$805,X3)</f>
        <v>0</v>
      </c>
      <c r="Y48" s="293" cm="1">
        <f t="array" ref="Y48">SUMIFS([1]مرداد!$AH$2:$AH$805,[1]مرداد!$O$2:$O$805,مونتاژ,[1]مرداد!$D$2:$D$805,$F$48,[1]مرداد!$AC$2:$AC$805,Y3)</f>
        <v>0</v>
      </c>
      <c r="Z48" s="293" cm="1">
        <f t="array" ref="Z48">SUMIFS([1]مرداد!$AH$2:$AH$805,[1]مرداد!$O$2:$O$805,مونتاژ,[1]مرداد!$D$2:$D$805,$F$48,[1]مرداد!$AC$2:$AC$805,Z3)</f>
        <v>0</v>
      </c>
      <c r="AA48" s="891" cm="1">
        <f t="array" ref="AA48">SUMIFS([1]مرداد!$AH$2:$AH$805,[1]مرداد!$O$2:$O$805,مونتاژ,[1]مرداد!$D$2:$D$805,$F$48,[1]مرداد!$AC$2:$AC$805,AA3)</f>
        <v>0</v>
      </c>
      <c r="AB48" s="901" cm="1">
        <f t="array" ref="AB48">SUMIFS([1]مرداد!$AH$2:$AH$805,[1]مرداد!$O$2:$O$805,مونتاژ,[1]مرداد!$D$2:$D$805,$F$48,[1]مرداد!$AC$2:$AC$805,AB3)</f>
        <v>0</v>
      </c>
    </row>
    <row r="49" spans="1:28" ht="33.75" customHeight="1" x14ac:dyDescent="0.25">
      <c r="A49" s="959"/>
      <c r="B49" s="975"/>
      <c r="C49" s="966"/>
      <c r="D49" s="933"/>
      <c r="E49" s="966"/>
      <c r="F49" s="29" t="s">
        <v>54</v>
      </c>
      <c r="G49" s="3">
        <f t="shared" ref="G49:G54" si="3">SUM(O49:T49)</f>
        <v>28</v>
      </c>
      <c r="H49" s="47">
        <f t="shared" si="1"/>
        <v>0</v>
      </c>
      <c r="I49" s="3">
        <f t="shared" si="2"/>
        <v>0</v>
      </c>
      <c r="J49" s="3">
        <v>0</v>
      </c>
      <c r="K49" s="3">
        <v>0</v>
      </c>
      <c r="L49" s="3">
        <v>0</v>
      </c>
      <c r="M49" s="3">
        <f>(SUM(G49:L49))-62</f>
        <v>-34</v>
      </c>
      <c r="N49" s="62"/>
      <c r="O49" s="293">
        <f>SUMIFS([1]مرداد!$AF$2:$AF$805,[1]مرداد!$O$2:$O$805,"مونتاژ",[1]مرداد!$D$2:$D$805,$F$49,[1]مرداد!$AC$2:$AC$805,O3)</f>
        <v>4</v>
      </c>
      <c r="P49" s="293">
        <f>SUMIFS([1]شهریور!$AF$2:$AF$805,[1]شهریور!$O$2:$O$805,"مونتاژ",[1]شهریور!$D$2:$D$805,$F$49,[1]شهریور!$AC$2:$AC$805,P3)</f>
        <v>9</v>
      </c>
      <c r="Q49" s="293">
        <f>SUMIFS([1]شهریور!$AF$2:$AF$805,[1]شهریور!$O$2:$O$805,"مونتاژ",[1]شهریور!$D$2:$D$805,$F$49,[1]شهریور!$AC$2:$AC$805,Q3)</f>
        <v>9</v>
      </c>
      <c r="R49" s="293">
        <f>SUMIFS([1]شهریور!$AF$2:$AF$805,[1]شهریور!$O$2:$O$805,"مونتاژ",[1]شهریور!$D$2:$D$805,$F$49,[1]شهریور!$AC$2:$AC$805,R3)</f>
        <v>6</v>
      </c>
      <c r="S49" s="293">
        <f>SUMIFS([1]شهریور!$AF$2:$AF$805,[1]شهریور!$O$2:$O$805,"مونتاژ",[1]شهریور!$D$2:$D$805,$F$49,[1]شهریور!$AC$2:$AC$805,S3)</f>
        <v>0</v>
      </c>
      <c r="T49" s="293">
        <f>SUMIFS([1]شهریور!$AF$2:$AF$805,[1]شهریور!$O$2:$O$805,"مونتاژ",[1]شهریور!$D$2:$D$805,$F$49,[1]شهریور!$AC$2:$AC$805,T3)</f>
        <v>0</v>
      </c>
      <c r="U49" s="293">
        <f>SUMIFS([1]شهریور!$AF$2:$AF$805,[1]شهریور!$O$2:$O$805,"مونتاژ",[1]شهریور!$D$2:$D$805,$F$49,[1]شهریور!$AC$2:$AC$805,U3)</f>
        <v>0</v>
      </c>
      <c r="V49" s="166" cm="1">
        <f t="array" ref="V49">SUMIFS([1]مرداد!$AH$2:$AH$805,[1]مرداد!$O$2:$O$805,مونتاژ,[1]مرداد!$D$2:$D$805,$F$49,[1]مرداد!$AC$2:$AC$805,V3)</f>
        <v>0</v>
      </c>
      <c r="W49" s="293" cm="1">
        <f t="array" ref="W49">SUMIFS([1]مرداد!$AH$2:$AH$805,[1]مرداد!$O$2:$O$805,مونتاژ,[1]مرداد!$D$2:$D$805,$F$49,[1]مرداد!$AC$2:$AC$805,W3)</f>
        <v>0</v>
      </c>
      <c r="X49" s="293" cm="1">
        <f t="array" ref="X49">SUMIFS([1]مرداد!$AH$2:$AH$805,[1]مرداد!$O$2:$O$805,مونتاژ,[1]مرداد!$D$2:$D$805,$F$49,[1]مرداد!$AC$2:$AC$805,X3)</f>
        <v>0</v>
      </c>
      <c r="Y49" s="293" cm="1">
        <f t="array" ref="Y49">SUMIFS([1]مرداد!$AH$2:$AH$805,[1]مرداد!$O$2:$O$805,مونتاژ,[1]مرداد!$D$2:$D$805,$F$49,[1]مرداد!$AC$2:$AC$805,Y3)</f>
        <v>0</v>
      </c>
      <c r="Z49" s="293" cm="1">
        <f t="array" ref="Z49">SUMIFS([1]مرداد!$AH$2:$AH$805,[1]مرداد!$O$2:$O$805,مونتاژ,[1]مرداد!$D$2:$D$805,$F$49,[1]مرداد!$AC$2:$AC$805,Z3)</f>
        <v>0</v>
      </c>
      <c r="AA49" s="891" cm="1">
        <f t="array" ref="AA49">SUMIFS([1]مرداد!$AH$2:$AH$805,[1]مرداد!$O$2:$O$805,مونتاژ,[1]مرداد!$D$2:$D$805,$F$49,[1]مرداد!$AC$2:$AC$805,AA3)</f>
        <v>0</v>
      </c>
      <c r="AB49" s="901" cm="1">
        <f t="array" ref="AB49">SUMIFS([1]مرداد!$AH$2:$AH$805,[1]مرداد!$O$2:$O$805,مونتاژ,[1]مرداد!$D$2:$D$805,$F$49,[1]مرداد!$AC$2:$AC$805,AB3)</f>
        <v>0</v>
      </c>
    </row>
    <row r="50" spans="1:28" ht="33.75" customHeight="1" thickBot="1" x14ac:dyDescent="0.3">
      <c r="A50" s="960"/>
      <c r="B50" s="975"/>
      <c r="C50" s="944"/>
      <c r="D50" s="934"/>
      <c r="E50" s="944"/>
      <c r="F50" s="30" t="s">
        <v>36</v>
      </c>
      <c r="G50" s="6">
        <f t="shared" si="3"/>
        <v>0</v>
      </c>
      <c r="H50" s="765">
        <f t="shared" si="1"/>
        <v>0</v>
      </c>
      <c r="I50" s="1">
        <f t="shared" si="2"/>
        <v>0</v>
      </c>
      <c r="J50" s="7">
        <v>0</v>
      </c>
      <c r="K50" s="7">
        <v>0</v>
      </c>
      <c r="L50" s="7">
        <v>0</v>
      </c>
      <c r="M50" s="7">
        <f>SUM(G50:J50)-62</f>
        <v>-62</v>
      </c>
      <c r="N50" s="34"/>
      <c r="O50" s="352">
        <f>SUMIFS([1]مرداد!$AF$2:$AF$805,[1]مرداد!$O$2:$O$805,"مونتاژ",[1]مرداد!$D$2:$D$805,$F$50,[1]مرداد!$AC$2:$AC$805,O3)</f>
        <v>0</v>
      </c>
      <c r="P50" s="352">
        <f>SUMIFS([1]شهریور!$AF$2:$AF$805,[1]شهریور!$O$2:$O$805,"مونتاژ",[1]شهریور!$D$2:$D$805,$F$50,[1]شهریور!$AC$2:$AC$805,P3)</f>
        <v>0</v>
      </c>
      <c r="Q50" s="352">
        <f>SUMIFS([1]شهریور!$AF$2:$AF$805,[1]شهریور!$O$2:$O$805,"مونتاژ",[1]شهریور!$D$2:$D$805,$F$50,[1]شهریور!$AC$2:$AC$805,Q3)</f>
        <v>0</v>
      </c>
      <c r="R50" s="352">
        <f>SUMIFS([1]شهریور!$AF$2:$AF$805,[1]شهریور!$O$2:$O$805,"مونتاژ",[1]شهریور!$D$2:$D$805,$F$50,[1]شهریور!$AC$2:$AC$805,R3)</f>
        <v>0</v>
      </c>
      <c r="S50" s="352">
        <f>SUMIFS([1]شهریور!$AF$2:$AF$805,[1]شهریور!$O$2:$O$805,"مونتاژ",[1]شهریور!$D$2:$D$805,$F$50,[1]شهریور!$AC$2:$AC$805,S3)</f>
        <v>0</v>
      </c>
      <c r="T50" s="352">
        <f>SUMIFS([1]شهریور!$AF$2:$AF$805,[1]شهریور!$O$2:$O$805,"مونتاژ",[1]شهریور!$D$2:$D$805,$F$50,[1]شهریور!$AC$2:$AC$805,T3)</f>
        <v>0</v>
      </c>
      <c r="U50" s="352">
        <f>SUMIFS([1]شهریور!$AF$2:$AF$805,[1]شهریور!$O$2:$O$805,"مونتاژ",[1]شهریور!$D$2:$D$805,$F$50,[1]شهریور!$AC$2:$AC$805,U3)</f>
        <v>0</v>
      </c>
      <c r="V50" s="171" cm="1">
        <f t="array" ref="V50">SUMIFS([1]مرداد!$AH$2:$AH$805,[1]مرداد!$O$2:$O$805,مونتاژ,[1]مرداد!$D$2:$D$805,$F$50,[1]مرداد!$AC$2:$AC$805,V3)</f>
        <v>0</v>
      </c>
      <c r="W50" s="294" cm="1">
        <f t="array" ref="W50">SUMIFS([1]مرداد!$AH$2:$AH$805,[1]مرداد!$O$2:$O$805,مونتاژ,[1]مرداد!$D$2:$D$805,$F$50,[1]مرداد!$AC$2:$AC$805,W3)</f>
        <v>0</v>
      </c>
      <c r="X50" s="294" cm="1">
        <f t="array" ref="X50">SUMIFS([1]مرداد!$AH$2:$AH$805,[1]مرداد!$O$2:$O$805,مونتاژ,[1]مرداد!$D$2:$D$805,$F$50,[1]مرداد!$AC$2:$AC$805,X3)</f>
        <v>0</v>
      </c>
      <c r="Y50" s="294" cm="1">
        <f t="array" ref="Y50">SUMIFS([1]مرداد!$AH$2:$AH$805,[1]مرداد!$O$2:$O$805,مونتاژ,[1]مرداد!$D$2:$D$805,$F$50,[1]مرداد!$AC$2:$AC$805,Y3)</f>
        <v>0</v>
      </c>
      <c r="Z50" s="294" cm="1">
        <f t="array" ref="Z50">SUMIFS([1]مرداد!$AH$2:$AH$805,[1]مرداد!$O$2:$O$805,مونتاژ,[1]مرداد!$D$2:$D$805,$F$50,[1]مرداد!$AC$2:$AC$805,Z3)</f>
        <v>0</v>
      </c>
      <c r="AA50" s="904" cm="1">
        <f t="array" ref="AA50">SUMIFS([1]مرداد!$AH$2:$AH$805,[1]مرداد!$O$2:$O$805,مونتاژ,[1]مرداد!$D$2:$D$805,$F$50,[1]مرداد!$AC$2:$AC$805,AA3)</f>
        <v>0</v>
      </c>
      <c r="AB50" s="700" cm="1">
        <f t="array" ref="AB50">SUMIFS([1]مرداد!$AH$2:$AH$805,[1]مرداد!$O$2:$O$805,مونتاژ,[1]مرداد!$D$2:$D$805,$F$50,[1]مرداد!$AC$2:$AC$805,AB3)</f>
        <v>0</v>
      </c>
    </row>
    <row r="51" spans="1:28" ht="33.75" customHeight="1" x14ac:dyDescent="0.25">
      <c r="A51" s="967">
        <v>23</v>
      </c>
      <c r="B51" s="975"/>
      <c r="C51" s="943" t="s">
        <v>34</v>
      </c>
      <c r="D51" s="932">
        <v>55</v>
      </c>
      <c r="E51" s="932"/>
      <c r="F51" s="32" t="s">
        <v>16</v>
      </c>
      <c r="G51" s="59">
        <f t="shared" si="3"/>
        <v>0</v>
      </c>
      <c r="H51" s="46">
        <f t="shared" si="1"/>
        <v>0</v>
      </c>
      <c r="I51" s="910">
        <f t="shared" si="2"/>
        <v>0</v>
      </c>
      <c r="J51" s="846">
        <v>0</v>
      </c>
      <c r="K51" s="846">
        <v>0</v>
      </c>
      <c r="L51" s="846">
        <v>0</v>
      </c>
      <c r="M51" s="846">
        <f>SUM(G51:L51)-62</f>
        <v>-62</v>
      </c>
      <c r="N51" s="56"/>
      <c r="O51" s="292">
        <f>SUMIFS([1]مرداد!$AF$2:$AF$805,[1]مرداد!$O$2:$O$805,"دمونتاژ",[1]مرداد!$D$2:$D$805,$F$51,[1]مرداد!$AC$2:$AC$805,O3)</f>
        <v>0</v>
      </c>
      <c r="P51" s="292">
        <f>SUMIFS([1]مرداد!$AF$2:$AF$805,[1]مرداد!$O$2:$O$805,"دمونتاژ",[1]مرداد!$D$2:$D$805,$F$51,[1]مرداد!$AC$2:$AC$805,P3)</f>
        <v>0</v>
      </c>
      <c r="Q51" s="292">
        <f>SUMIFS([1]مرداد!$AF$2:$AF$805,[1]مرداد!$O$2:$O$805,"دمونتاژ",[1]مرداد!$D$2:$D$805,$F$51,[1]مرداد!$AC$2:$AC$805,Q3)</f>
        <v>0</v>
      </c>
      <c r="R51" s="292">
        <f>SUMIFS([1]مرداد!$AF$2:$AF$805,[1]مرداد!$O$2:$O$805,"دمونتاژ",[1]مرداد!$D$2:$D$805,$F$51,[1]مرداد!$AC$2:$AC$805,R3)</f>
        <v>0</v>
      </c>
      <c r="S51" s="292">
        <f>SUMIFS([1]مرداد!$AF$2:$AF$805,[1]مرداد!$O$2:$O$805,"دمونتاژ",[1]مرداد!$D$2:$D$805,$F$51,[1]مرداد!$AC$2:$AC$805,S3)</f>
        <v>0</v>
      </c>
      <c r="T51" s="393">
        <f>SUMIFS([1]مرداد!$AF$2:$AF$805,[1]مرداد!$O$2:$O$805,"دمونتاژ",[1]مرداد!$D$2:$D$805,$F$51,[1]مرداد!$AC$2:$AC$805,T3)</f>
        <v>0</v>
      </c>
      <c r="U51" s="899">
        <f>SUMIFS([1]مرداد!$AF$2:$AF$805,[1]مرداد!$O$2:$O$805,"دمونتاژ",[1]مرداد!$D$2:$D$805,$F$51,[1]مرداد!$AC$2:$AC$805,U3)</f>
        <v>0</v>
      </c>
      <c r="V51" s="165" cm="1">
        <f t="array" ref="V51">SUMIFS([1]مرداد!$AH$2:$AH$805,[1]مرداد!$O$2:$O$805,دمونتاژ,[1]مرداد!$D$2:$D$805,$F$51,[1]مرداد!$AC$2:$AC$805,V3)</f>
        <v>0</v>
      </c>
      <c r="W51" s="292" cm="1">
        <f t="array" ref="W51">SUMIFS([1]مرداد!$AH$2:$AH$805,[1]مرداد!$O$2:$O$805,دمونتاژ,[1]مرداد!$D$2:$D$805,$F$51,[1]مرداد!$AC$2:$AC$805,W3)</f>
        <v>0</v>
      </c>
      <c r="X51" s="292" cm="1">
        <f t="array" ref="X51">SUMIFS([1]مرداد!$AH$2:$AH$805,[1]مرداد!$O$2:$O$805,دمونتاژ,[1]مرداد!$D$2:$D$805,$F$51,[1]مرداد!$AC$2:$AC$805,X3)</f>
        <v>0</v>
      </c>
      <c r="Y51" s="292" cm="1">
        <f t="array" ref="Y51">SUMIFS([1]مرداد!$AH$2:$AH$805,[1]مرداد!$O$2:$O$805,دمونتاژ,[1]مرداد!$D$2:$D$805,$F$51,[1]مرداد!$AC$2:$AC$805,Y3)</f>
        <v>0</v>
      </c>
      <c r="Z51" s="292" cm="1">
        <f t="array" ref="Z51">SUMIFS([1]مرداد!$AH$2:$AH$805,[1]مرداد!$O$2:$O$805,دمونتاژ,[1]مرداد!$D$2:$D$805,$F$51,[1]مرداد!$AC$2:$AC$805,Z3)</f>
        <v>0</v>
      </c>
      <c r="AA51" s="393" cm="1">
        <f t="array" ref="AA51">SUMIFS([1]مرداد!$AH$2:$AH$805,[1]مرداد!$O$2:$O$805,دمونتاژ,[1]مرداد!$D$2:$D$805,$F$51,[1]مرداد!$AC$2:$AC$805,AA3)</f>
        <v>0</v>
      </c>
      <c r="AB51" s="454" cm="1">
        <f t="array" ref="AB51">SUMIFS([1]مرداد!$AH$2:$AH$805,[1]مرداد!$O$2:$O$805,دمونتاژ,[1]مرداد!$D$2:$D$805,$F$51,[1]مرداد!$AC$2:$AC$805,AB3)</f>
        <v>0</v>
      </c>
    </row>
    <row r="52" spans="1:28" ht="33.75" customHeight="1" x14ac:dyDescent="0.25">
      <c r="A52" s="967"/>
      <c r="B52" s="975"/>
      <c r="C52" s="965"/>
      <c r="D52" s="933"/>
      <c r="E52" s="933"/>
      <c r="F52" s="29" t="s">
        <v>55</v>
      </c>
      <c r="G52" s="3">
        <f t="shared" si="3"/>
        <v>0</v>
      </c>
      <c r="H52" s="49">
        <f t="shared" si="1"/>
        <v>0</v>
      </c>
      <c r="I52" s="3">
        <f t="shared" si="2"/>
        <v>0</v>
      </c>
      <c r="J52" s="3">
        <v>0</v>
      </c>
      <c r="K52" s="3">
        <v>0</v>
      </c>
      <c r="L52" s="3">
        <v>0</v>
      </c>
      <c r="M52" s="3">
        <f>SUM(G52:L52)-62</f>
        <v>-62</v>
      </c>
      <c r="N52" s="62"/>
      <c r="O52" s="293">
        <f>SUMIFS([1]مرداد!$AF$2:$AF$805,[1]مرداد!$O$2:$O$805,"دمونتاژ",[1]مرداد!$D$2:$D$805,$F$52,[1]مرداد!$AC$2:$AC$805,O3)</f>
        <v>0</v>
      </c>
      <c r="P52" s="293">
        <f>SUMIFS([1]مرداد!$AF$2:$AF$805,[1]مرداد!$O$2:$O$805,"دمونتاژ",[1]مرداد!$D$2:$D$805,$F$52,[1]مرداد!$AC$2:$AC$805,P3)</f>
        <v>0</v>
      </c>
      <c r="Q52" s="293">
        <f>SUMIFS([1]مرداد!$AF$2:$AF$805,[1]مرداد!$O$2:$O$805,"دمونتاژ",[1]مرداد!$D$2:$D$805,$F$52,[1]مرداد!$AC$2:$AC$805,Q3)</f>
        <v>0</v>
      </c>
      <c r="R52" s="293">
        <f>SUMIFS([1]مرداد!$AF$2:$AF$805,[1]مرداد!$O$2:$O$805,"دمونتاژ",[1]مرداد!$D$2:$D$805,$F$52,[1]مرداد!$AC$2:$AC$805,R3)</f>
        <v>0</v>
      </c>
      <c r="S52" s="293">
        <f>SUMIFS([1]مرداد!$AF$2:$AF$805,[1]مرداد!$O$2:$O$805,"دمونتاژ",[1]مرداد!$D$2:$D$805,$F$52,[1]مرداد!$AC$2:$AC$805,S3)</f>
        <v>0</v>
      </c>
      <c r="T52" s="891">
        <f>SUMIFS([1]مرداد!$AF$2:$AF$805,[1]مرداد!$O$2:$O$805,"دمونتاژ",[1]مرداد!$D$2:$D$805,$F$52,[1]مرداد!$AC$2:$AC$805,T3)</f>
        <v>0</v>
      </c>
      <c r="U52" s="903">
        <f>SUMIFS([1]مرداد!$AF$2:$AF$805,[1]مرداد!$O$2:$O$805,"دمونتاژ",[1]مرداد!$D$2:$D$805,$F$52,[1]مرداد!$AC$2:$AC$805,U3)</f>
        <v>0</v>
      </c>
      <c r="V52" s="166" cm="1">
        <f t="array" ref="V52">SUMIFS([1]مرداد!$AH$2:$AH$805,[1]مرداد!$O$2:$O$805,دمونتاژ,[1]مرداد!$D$2:$D$805,$F$52,[1]مرداد!$AC$2:$AC$805,V3)</f>
        <v>0</v>
      </c>
      <c r="W52" s="293" cm="1">
        <f t="array" ref="W52">SUMIFS([1]مرداد!$AH$2:$AH$805,[1]مرداد!$O$2:$O$805,دمونتاژ,[1]مرداد!$D$2:$D$805,$F$52,[1]مرداد!$AC$2:$AC$805,W3)</f>
        <v>0</v>
      </c>
      <c r="X52" s="293" cm="1">
        <f t="array" ref="X52">SUMIFS([1]مرداد!$AH$2:$AH$805,[1]مرداد!$O$2:$O$805,دمونتاژ,[1]مرداد!$D$2:$D$805,$F$52,[1]مرداد!$AC$2:$AC$805,X3)</f>
        <v>0</v>
      </c>
      <c r="Y52" s="293" cm="1">
        <f t="array" ref="Y52">SUMIFS([1]مرداد!$AH$2:$AH$805,[1]مرداد!$O$2:$O$805,دمونتاژ,[1]مرداد!$D$2:$D$805,$F$52,[1]مرداد!$AC$2:$AC$805,Y3)</f>
        <v>0</v>
      </c>
      <c r="Z52" s="293" cm="1">
        <f t="array" ref="Z52">SUMIFS([1]مرداد!$AH$2:$AH$805,[1]مرداد!$O$2:$O$805,دمونتاژ,[1]مرداد!$D$2:$D$805,$F$52,[1]مرداد!$AC$2:$AC$805,Z3)</f>
        <v>0</v>
      </c>
      <c r="AA52" s="891" cm="1">
        <f t="array" ref="AA52">SUMIFS([1]مرداد!$AH$2:$AH$805,[1]مرداد!$O$2:$O$805,دمونتاژ,[1]مرداد!$D$2:$D$805,$F$52,[1]مرداد!$AC$2:$AC$805,AA3)</f>
        <v>0</v>
      </c>
      <c r="AB52" s="901" cm="1">
        <f t="array" ref="AB52">SUMIFS([1]مرداد!$AH$2:$AH$805,[1]مرداد!$O$2:$O$805,دمونتاژ,[1]مرداد!$D$2:$D$805,$F$52,[1]مرداد!$AC$2:$AC$805,AB3)</f>
        <v>0</v>
      </c>
    </row>
    <row r="53" spans="1:28" ht="33.75" customHeight="1" x14ac:dyDescent="0.25">
      <c r="A53" s="967"/>
      <c r="B53" s="975"/>
      <c r="C53" s="965"/>
      <c r="D53" s="933"/>
      <c r="E53" s="933"/>
      <c r="F53" s="29" t="s">
        <v>54</v>
      </c>
      <c r="G53" s="3">
        <f t="shared" si="3"/>
        <v>3</v>
      </c>
      <c r="H53" s="47">
        <f t="shared" si="1"/>
        <v>0</v>
      </c>
      <c r="I53" s="3">
        <f t="shared" si="2"/>
        <v>0</v>
      </c>
      <c r="J53" s="3">
        <v>0</v>
      </c>
      <c r="K53" s="3">
        <v>0</v>
      </c>
      <c r="L53" s="3">
        <v>0</v>
      </c>
      <c r="M53" s="3">
        <f>SUM(G53:L53)-62</f>
        <v>-59</v>
      </c>
      <c r="N53" s="62"/>
      <c r="O53" s="293">
        <f>SUMIFS([1]مرداد!$AF$2:$AF$805,[1]مرداد!$O$2:$O$805,"دمونتاژ",[1]مرداد!$D$2:$D$805,$F$53,[1]مرداد!$AC$2:$AC$805,O3)</f>
        <v>3</v>
      </c>
      <c r="P53" s="293">
        <f>SUMIFS([1]مرداد!$AF$2:$AF$805,[1]مرداد!$O$2:$O$805,"دمونتاژ",[1]مرداد!$D$2:$D$805,$F$53,[1]مرداد!$AC$2:$AC$805,P3)</f>
        <v>0</v>
      </c>
      <c r="Q53" s="293">
        <f>SUMIFS([1]مرداد!$AF$2:$AF$805,[1]مرداد!$O$2:$O$805,"دمونتاژ",[1]مرداد!$D$2:$D$805,$F$53,[1]مرداد!$AC$2:$AC$805,Q3)</f>
        <v>0</v>
      </c>
      <c r="R53" s="293">
        <f>SUMIFS([1]مرداد!$AF$2:$AF$805,[1]مرداد!$O$2:$O$805,"دمونتاژ",[1]مرداد!$D$2:$D$805,$F$53,[1]مرداد!$AC$2:$AC$805,R3)</f>
        <v>0</v>
      </c>
      <c r="S53" s="293">
        <f>SUMIFS([1]مرداد!$AF$2:$AF$805,[1]مرداد!$O$2:$O$805,"دمونتاژ",[1]مرداد!$D$2:$D$805,$F$53,[1]مرداد!$AC$2:$AC$805,S3)</f>
        <v>0</v>
      </c>
      <c r="T53" s="891">
        <f>SUMIFS([1]مرداد!$AF$2:$AF$805,[1]مرداد!$O$2:$O$805,"دمونتاژ",[1]مرداد!$D$2:$D$805,$F$53,[1]مرداد!$AC$2:$AC$805,T3)</f>
        <v>0</v>
      </c>
      <c r="U53" s="903">
        <f>SUMIFS([1]مرداد!$AF$2:$AF$805,[1]مرداد!$O$2:$O$805,"دمونتاژ",[1]مرداد!$D$2:$D$805,$F$53,[1]مرداد!$AC$2:$AC$805,U3)</f>
        <v>0</v>
      </c>
      <c r="V53" s="166" cm="1">
        <f t="array" ref="V53">SUMIFS([1]مرداد!$AH$2:$AH$805,[1]مرداد!$O$2:$O$805,دمونتاژ,[1]مرداد!$D$2:$D$805,$F$53,[1]مرداد!$AC$2:$AC$805,V3)</f>
        <v>0</v>
      </c>
      <c r="W53" s="293" cm="1">
        <f t="array" ref="W53">SUMIFS([1]مرداد!$AH$2:$AH$805,[1]مرداد!$O$2:$O$805,دمونتاژ,[1]مرداد!$D$2:$D$805,$F$53,[1]مرداد!$AC$2:$AC$805,W3)</f>
        <v>0</v>
      </c>
      <c r="X53" s="293" cm="1">
        <f t="array" ref="X53">SUMIFS([1]مرداد!$AH$2:$AH$805,[1]مرداد!$O$2:$O$805,دمونتاژ,[1]مرداد!$D$2:$D$805,$F$53,[1]مرداد!$AC$2:$AC$805,X3)</f>
        <v>0</v>
      </c>
      <c r="Y53" s="293" cm="1">
        <f t="array" ref="Y53">SUMIFS([1]مرداد!$AH$2:$AH$805,[1]مرداد!$O$2:$O$805,دمونتاژ,[1]مرداد!$D$2:$D$805,$F$53,[1]مرداد!$AC$2:$AC$805,Y3)</f>
        <v>0</v>
      </c>
      <c r="Z53" s="293" cm="1">
        <f t="array" ref="Z53">SUMIFS([1]مرداد!$AH$2:$AH$805,[1]مرداد!$O$2:$O$805,دمونتاژ,[1]مرداد!$D$2:$D$805,$F$53,[1]مرداد!$AC$2:$AC$805,Z3)</f>
        <v>0</v>
      </c>
      <c r="AA53" s="891" cm="1">
        <f t="array" ref="AA53">SUMIFS([1]مرداد!$AH$2:$AH$805,[1]مرداد!$O$2:$O$805,دمونتاژ,[1]مرداد!$D$2:$D$805,$F$53,[1]مرداد!$AC$2:$AC$805,AA3)</f>
        <v>0</v>
      </c>
      <c r="AB53" s="901" cm="1">
        <f t="array" ref="AB53">SUMIFS([1]مرداد!$AH$2:$AH$805,[1]مرداد!$O$2:$O$805,دمونتاژ,[1]مرداد!$D$2:$D$805,$F$53,[1]مرداد!$AC$2:$AC$805,AB3)</f>
        <v>0</v>
      </c>
    </row>
    <row r="54" spans="1:28" ht="33.75" customHeight="1" thickBot="1" x14ac:dyDescent="0.3">
      <c r="A54" s="967"/>
      <c r="B54" s="975"/>
      <c r="C54" s="966"/>
      <c r="D54" s="933"/>
      <c r="E54" s="933"/>
      <c r="F54" s="828"/>
      <c r="G54" s="4">
        <f t="shared" si="3"/>
        <v>0</v>
      </c>
      <c r="H54" s="765">
        <f t="shared" si="1"/>
        <v>0</v>
      </c>
      <c r="I54" s="4">
        <f t="shared" si="2"/>
        <v>0</v>
      </c>
      <c r="J54" s="25">
        <v>0</v>
      </c>
      <c r="K54" s="25">
        <v>0</v>
      </c>
      <c r="L54" s="25">
        <v>0</v>
      </c>
      <c r="M54" s="25">
        <f>SUM(G54:L54)-62</f>
        <v>-62</v>
      </c>
      <c r="N54" s="58"/>
      <c r="O54" s="294">
        <f>SUMIFS([1]مرداد!$AF$2:$AF$805,[1]مرداد!$O$2:$O$805,"نظافت",[1]مرداد!$D$2:$D$805,"*",[1]مرداد!$AC$2:$AC$805,O3)</f>
        <v>0</v>
      </c>
      <c r="P54" s="294">
        <f>SUMIFS([1]مرداد!$AF$2:$AF$805,[1]مرداد!$O$2:$O$805,"نظافت",[1]مرداد!$D$2:$D$805,"*",[1]مرداد!$AC$2:$AC$805,P3)</f>
        <v>0</v>
      </c>
      <c r="Q54" s="294">
        <f>SUMIFS([1]مرداد!$AF$2:$AF$805,[1]مرداد!$O$2:$O$805,"نظافت",[1]مرداد!$D$2:$D$805,"*",[1]مرداد!$AC$2:$AC$805,Q3)</f>
        <v>0</v>
      </c>
      <c r="R54" s="294">
        <f>SUMIFS([1]مرداد!$AF$2:$AF$805,[1]مرداد!$O$2:$O$805,"نظافت",[1]مرداد!$D$2:$D$805,"*",[1]مرداد!$AC$2:$AC$805,R3)</f>
        <v>0</v>
      </c>
      <c r="S54" s="294">
        <f>SUMIFS([1]مرداد!$AF$2:$AF$805,[1]مرداد!$O$2:$O$805,"نظافت",[1]مرداد!$D$2:$D$805,"*",[1]مرداد!$AC$2:$AC$805,S3)</f>
        <v>0</v>
      </c>
      <c r="T54" s="904">
        <f>SUMIFS([1]مرداد!$AF$2:$AF$805,[1]مرداد!$O$2:$O$805,"نظافت",[1]مرداد!$D$2:$D$805,"*",[1]مرداد!$AC$2:$AC$805,T3)</f>
        <v>0</v>
      </c>
      <c r="U54" s="905">
        <f>SUMIFS([1]مرداد!$AF$2:$AF$805,[1]مرداد!$O$2:$O$805,"نظافت",[1]مرداد!$D$2:$D$805,"*",[1]مرداد!$AC$2:$AC$805,U3)</f>
        <v>0</v>
      </c>
      <c r="V54" s="171" cm="1">
        <f t="array" ref="V54">SUMIFS([1]مرداد!$AH$2:$AH$805,[1]مرداد!$O$2:$O$805,دمونتاژ,[1]مرداد!$D$2:$D$805,$F$54,[1]مرداد!$AC$2:$AC$805,V3)</f>
        <v>0</v>
      </c>
      <c r="W54" s="294" cm="1">
        <f t="array" ref="W54">SUMIFS([1]مرداد!$AH$2:$AH$805,[1]مرداد!$O$2:$O$805,دمونتاژ,[1]مرداد!$D$2:$D$805,$F$54,[1]مرداد!$AC$2:$AC$805,W3)</f>
        <v>0</v>
      </c>
      <c r="X54" s="294" cm="1">
        <f t="array" ref="X54">SUMIFS([1]مرداد!$AH$2:$AH$805,[1]مرداد!$O$2:$O$805,دمونتاژ,[1]مرداد!$D$2:$D$805,$F$54,[1]مرداد!$AC$2:$AC$805,X3)</f>
        <v>0</v>
      </c>
      <c r="Y54" s="294" cm="1">
        <f t="array" ref="Y54">SUMIFS([1]مرداد!$AH$2:$AH$805,[1]مرداد!$O$2:$O$805,دمونتاژ,[1]مرداد!$D$2:$D$805,$F$54,[1]مرداد!$AC$2:$AC$805,Y3)</f>
        <v>0</v>
      </c>
      <c r="Z54" s="294" cm="1">
        <f t="array" ref="Z54">SUMIFS([1]مرداد!$AH$2:$AH$805,[1]مرداد!$O$2:$O$805,دمونتاژ,[1]مرداد!$D$2:$D$805,$F$54,[1]مرداد!$AC$2:$AC$805,Z3)</f>
        <v>0</v>
      </c>
      <c r="AA54" s="904" cm="1">
        <f t="array" ref="AA54">SUMIFS([1]مرداد!$AH$2:$AH$805,[1]مرداد!$O$2:$O$805,دمونتاژ,[1]مرداد!$D$2:$D$805,$F$54,[1]مرداد!$AC$2:$AC$805,AA3)</f>
        <v>0</v>
      </c>
      <c r="AB54" s="700" cm="1">
        <f t="array" ref="AB54">SUMIFS([1]مرداد!$AH$2:$AH$805,[1]مرداد!$O$2:$O$805,دمونتاژ,[1]مرداد!$D$2:$D$805,$F$54,[1]مرداد!$AC$2:$AC$805,AB3)</f>
        <v>0</v>
      </c>
    </row>
    <row r="55" spans="1:28" ht="48.75" customHeight="1" thickBot="1" x14ac:dyDescent="0.3">
      <c r="A55" s="951" t="s">
        <v>49</v>
      </c>
      <c r="B55" s="952"/>
      <c r="C55" s="952"/>
      <c r="D55" s="952"/>
      <c r="E55" s="952"/>
      <c r="F55" s="953"/>
      <c r="G55" s="148">
        <f t="shared" ref="G55:L55" si="4">SUM(G4:G54)</f>
        <v>629</v>
      </c>
      <c r="H55" s="148">
        <f t="shared" si="4"/>
        <v>0</v>
      </c>
      <c r="I55" s="148">
        <f t="shared" si="4"/>
        <v>10.5</v>
      </c>
      <c r="J55" s="148">
        <f t="shared" si="4"/>
        <v>110</v>
      </c>
      <c r="K55" s="148">
        <f t="shared" si="4"/>
        <v>0</v>
      </c>
      <c r="L55" s="148">
        <f t="shared" si="4"/>
        <v>0</v>
      </c>
      <c r="M55" s="149">
        <f>SUMIFS(M4:M54,F4:F54,"*")</f>
        <v>-758.5</v>
      </c>
      <c r="N55" s="306"/>
      <c r="O55" s="302">
        <f>SUM(O4:O54)</f>
        <v>140.5</v>
      </c>
      <c r="P55" s="198">
        <f t="shared" ref="P55:U55" si="5">SUM(P4:P54)</f>
        <v>111.5</v>
      </c>
      <c r="Q55" s="198">
        <f t="shared" si="5"/>
        <v>126.5</v>
      </c>
      <c r="R55" s="198">
        <f t="shared" si="5"/>
        <v>143</v>
      </c>
      <c r="S55" s="198">
        <f t="shared" si="5"/>
        <v>107.5</v>
      </c>
      <c r="T55" s="199">
        <f t="shared" si="5"/>
        <v>0</v>
      </c>
      <c r="U55" s="150">
        <f t="shared" si="5"/>
        <v>0</v>
      </c>
      <c r="V55" s="302">
        <f>SUM(V4:V54)</f>
        <v>1.5</v>
      </c>
      <c r="W55" s="198">
        <f t="shared" ref="W55:AB55" si="6">SUM(W4:W54)</f>
        <v>4</v>
      </c>
      <c r="X55" s="198">
        <f t="shared" si="6"/>
        <v>0</v>
      </c>
      <c r="Y55" s="198">
        <f t="shared" si="6"/>
        <v>1</v>
      </c>
      <c r="Z55" s="198">
        <f t="shared" si="6"/>
        <v>4</v>
      </c>
      <c r="AA55" s="199">
        <f t="shared" si="6"/>
        <v>0</v>
      </c>
      <c r="AB55" s="150">
        <f t="shared" si="6"/>
        <v>0</v>
      </c>
    </row>
    <row r="56" spans="1:28" x14ac:dyDescent="0.25">
      <c r="G56" s="582"/>
    </row>
    <row r="57" spans="1:28" x14ac:dyDescent="0.25">
      <c r="G57" s="660"/>
    </row>
    <row r="61" spans="1:28" x14ac:dyDescent="0.25">
      <c r="G61" s="660"/>
    </row>
  </sheetData>
  <mergeCells count="52">
    <mergeCell ref="E7:E9"/>
    <mergeCell ref="A1:L2"/>
    <mergeCell ref="O1:U2"/>
    <mergeCell ref="V1:AB2"/>
    <mergeCell ref="E4:E6"/>
    <mergeCell ref="N4:N6"/>
    <mergeCell ref="A15:A16"/>
    <mergeCell ref="B15:B16"/>
    <mergeCell ref="C15:C16"/>
    <mergeCell ref="D15:D16"/>
    <mergeCell ref="E15:E16"/>
    <mergeCell ref="A12:A14"/>
    <mergeCell ref="B12:B14"/>
    <mergeCell ref="C12:C14"/>
    <mergeCell ref="D12:D14"/>
    <mergeCell ref="E12:E14"/>
    <mergeCell ref="E19:E21"/>
    <mergeCell ref="N19:N21"/>
    <mergeCell ref="E23:E25"/>
    <mergeCell ref="N23:N25"/>
    <mergeCell ref="B30:B31"/>
    <mergeCell ref="C30:C31"/>
    <mergeCell ref="D30:D31"/>
    <mergeCell ref="E30:E31"/>
    <mergeCell ref="N30:N31"/>
    <mergeCell ref="A32:A33"/>
    <mergeCell ref="E32:E33"/>
    <mergeCell ref="N32:N33"/>
    <mergeCell ref="A34:A35"/>
    <mergeCell ref="E34:E35"/>
    <mergeCell ref="N34:N35"/>
    <mergeCell ref="A36:A37"/>
    <mergeCell ref="E36:E37"/>
    <mergeCell ref="N36:N37"/>
    <mergeCell ref="A38:A39"/>
    <mergeCell ref="E38:E39"/>
    <mergeCell ref="N38:N39"/>
    <mergeCell ref="A47:A50"/>
    <mergeCell ref="B47:B54"/>
    <mergeCell ref="C47:C50"/>
    <mergeCell ref="D47:D50"/>
    <mergeCell ref="E47:E50"/>
    <mergeCell ref="A40:A41"/>
    <mergeCell ref="E40:E41"/>
    <mergeCell ref="N40:N41"/>
    <mergeCell ref="E42:E44"/>
    <mergeCell ref="N42:N44"/>
    <mergeCell ref="A51:A54"/>
    <mergeCell ref="C51:C54"/>
    <mergeCell ref="D51:D54"/>
    <mergeCell ref="E51:E54"/>
    <mergeCell ref="A55:F55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 M8" formulaRange="1"/>
    <ignoredError sqref="W5" formula="1"/>
  </ignoredErrors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BE69-1E5B-4CD1-A019-629F46175EEC}">
  <sheetPr>
    <pageSetUpPr fitToPage="1"/>
  </sheetPr>
  <dimension ref="A1:AB61"/>
  <sheetViews>
    <sheetView rightToLeft="1" view="pageLayout" zoomScale="85" zoomScaleNormal="100" zoomScalePageLayoutView="85" workbookViewId="0">
      <selection activeCell="J27" sqref="J27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42578125" customWidth="1"/>
    <col min="15" max="15" width="6.42578125" style="52" hidden="1" customWidth="1"/>
    <col min="16" max="16" width="6.42578125" style="51" hidden="1" customWidth="1"/>
    <col min="17" max="19" width="6.42578125" style="52" hidden="1" customWidth="1"/>
    <col min="20" max="21" width="6.42578125" style="51" hidden="1" customWidth="1"/>
    <col min="22" max="22" width="5.5703125" hidden="1" customWidth="1"/>
    <col min="23" max="23" width="5.5703125" style="51" hidden="1" customWidth="1"/>
    <col min="24" max="26" width="5.5703125" hidden="1" customWidth="1"/>
    <col min="27" max="28" width="5.5703125" style="51" hidden="1" customWidth="1"/>
  </cols>
  <sheetData>
    <row r="1" spans="1:28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  <c r="V1" s="923" t="s">
        <v>215</v>
      </c>
      <c r="W1" s="923"/>
      <c r="X1" s="923"/>
      <c r="Y1" s="923"/>
      <c r="Z1" s="923"/>
      <c r="AA1" s="923"/>
      <c r="AB1" s="924"/>
    </row>
    <row r="2" spans="1:28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24</v>
      </c>
      <c r="O2" s="926"/>
      <c r="P2" s="926"/>
      <c r="Q2" s="926"/>
      <c r="R2" s="926"/>
      <c r="S2" s="926"/>
      <c r="T2" s="926"/>
      <c r="U2" s="927"/>
      <c r="V2" s="926"/>
      <c r="W2" s="926"/>
      <c r="X2" s="926"/>
      <c r="Y2" s="926"/>
      <c r="Z2" s="926"/>
      <c r="AA2" s="926"/>
      <c r="AB2" s="927"/>
    </row>
    <row r="3" spans="1:28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806" t="s">
        <v>223</v>
      </c>
      <c r="P3" s="911" t="s">
        <v>224</v>
      </c>
      <c r="Q3" s="806" t="s">
        <v>225</v>
      </c>
      <c r="R3" s="806" t="s">
        <v>226</v>
      </c>
      <c r="S3" s="806" t="s">
        <v>227</v>
      </c>
      <c r="T3" s="911" t="s">
        <v>228</v>
      </c>
      <c r="U3" s="911" t="s">
        <v>229</v>
      </c>
      <c r="V3" s="806" t="s">
        <v>223</v>
      </c>
      <c r="W3" s="911" t="s">
        <v>224</v>
      </c>
      <c r="X3" s="806" t="s">
        <v>225</v>
      </c>
      <c r="Y3" s="806" t="s">
        <v>226</v>
      </c>
      <c r="Z3" s="806" t="s">
        <v>227</v>
      </c>
      <c r="AA3" s="911" t="s">
        <v>228</v>
      </c>
      <c r="AB3" s="911" t="s">
        <v>229</v>
      </c>
    </row>
    <row r="4" spans="1:28" ht="33.75" customHeight="1" x14ac:dyDescent="0.25">
      <c r="A4" s="820"/>
      <c r="B4" s="835"/>
      <c r="C4" s="42"/>
      <c r="D4" s="842"/>
      <c r="E4" s="932" t="s">
        <v>15</v>
      </c>
      <c r="F4" s="817" t="s">
        <v>55</v>
      </c>
      <c r="G4" s="846">
        <f>SUM(O4:T4)</f>
        <v>26</v>
      </c>
      <c r="H4" s="46">
        <f>U4</f>
        <v>0</v>
      </c>
      <c r="I4" s="846">
        <f>SUM(V4:AB4)</f>
        <v>0</v>
      </c>
      <c r="J4" s="846">
        <v>0</v>
      </c>
      <c r="K4" s="846">
        <v>0</v>
      </c>
      <c r="L4" s="846">
        <v>0</v>
      </c>
      <c r="M4" s="28"/>
      <c r="N4" s="945" t="str">
        <f>IF(I17&gt;0,"②","")</f>
        <v/>
      </c>
      <c r="O4" s="169">
        <f>SUMIFS([1]شهریور!$AF$2:$AF$805,[1]شهریور!$O$2:$O$805,7101,[1]شهریور!$D$2:$D$805,$F$4,[1]شهریور!$AC$2:$AC$805,O3)</f>
        <v>11</v>
      </c>
      <c r="P4" s="98">
        <f>SUMIFS([1]شهریور!$AF$2:$AF$805,[1]شهریور!$O$2:$O$805,7101,[1]شهریور!$D$2:$D$805,$F$4,[1]شهریور!$AC$2:$AC$805,P3)</f>
        <v>0</v>
      </c>
      <c r="Q4" s="169">
        <f>SUMIFS([1]شهریور!$AF$2:$AF$805,[1]شهریور!$O$2:$O$805,7101,[1]شهریور!$D$2:$D$805,$F$4,[1]شهریور!$AC$2:$AC$805,Q3)</f>
        <v>11</v>
      </c>
      <c r="R4" s="169">
        <f>SUMIFS([1]شهریور!$AF$2:$AF$805,[1]شهریور!$O$2:$O$805,7101,[1]شهریور!$D$2:$D$805,$F$4,[1]شهریور!$AC$2:$AC$805,R3)</f>
        <v>4</v>
      </c>
      <c r="S4" s="169">
        <f>SUMIFS([1]شهریور!$AF$2:$AF$805,[1]شهریور!$O$2:$O$805,7101,[1]شهریور!$D$2:$D$805,$F$4,[1]شهریور!$AC$2:$AC$805,S3)</f>
        <v>0</v>
      </c>
      <c r="T4" s="98">
        <f>SUMIFS([1]شهریور!$AF$2:$AF$805,[1]شهریور!$O$2:$O$805,7101,[1]شهریور!$D$2:$D$805,$F$4,[1]شهریور!$AC$2:$AC$805,T3)</f>
        <v>0</v>
      </c>
      <c r="U4" s="98">
        <f>SUMIFS([1]شهریور!$AF$2:$AF$805,[1]شهریور!$O$2:$O$805,7101,[1]شهریور!$D$2:$D$805,$F$4,[1]شهریور!$AC$2:$AC$805,U3)</f>
        <v>0</v>
      </c>
      <c r="V4" s="169">
        <f>SUMIFS([1]شهریور!$AH$2:$AH$805,[1]شهریور!$O$2:$O$805,7101,[1]شهریور!$D$2:$D$805,$F$4,[1]شهریور!$AC$2:$AC$805,V3)</f>
        <v>0</v>
      </c>
      <c r="W4" s="98">
        <f>SUMIFS([1]شهریور!$AH$2:$AH$805,[1]شهریور!$O$2:$O$805,7101,[1]شهریور!$D$2:$D$805,$F$4,[1]شهریور!$AC$2:$AC$805,W3)</f>
        <v>0</v>
      </c>
      <c r="X4" s="169">
        <f>SUMIFS([1]شهریور!$AH$2:$AH$805,[1]شهریور!$O$2:$O$805,7101,[1]شهریور!$D$2:$D$805,$F$4,[1]شهریور!$AC$2:$AC$805,X3)</f>
        <v>0</v>
      </c>
      <c r="Y4" s="169">
        <f>SUMIFS([1]شهریور!$AH$2:$AH$805,[1]شهریور!$O$2:$O$805,7101,[1]شهریور!$D$2:$D$805,$F$4,[1]شهریور!$AC$2:$AC$805,Y3)</f>
        <v>0</v>
      </c>
      <c r="Z4" s="169">
        <f>SUMIFS([1]شهریور!$AH$2:$AH$805,[1]شهریور!$O$2:$O$805,7101,[1]شهریور!$D$2:$D$805,$F$4,[1]شهریور!$AC$2:$AC$805,Z3)</f>
        <v>0</v>
      </c>
      <c r="AA4" s="98">
        <f>SUMIFS([1]شهریور!$AH$2:$AH$805,[1]شهریور!$O$2:$O$805,7101,[1]شهریور!$D$2:$D$805,$F$4,[1]شهریور!$AC$2:$AC$805,AA3)</f>
        <v>0</v>
      </c>
      <c r="AB4" s="98">
        <f>SUMIFS([1]شهریور!$AH$2:$AH$805,[1]شهریور!$O$2:$O$805,7101,[1]شهریور!$D$2:$D$805,$F$4,[1]شهریور!$AC$2:$AC$805,AB3)</f>
        <v>0</v>
      </c>
    </row>
    <row r="5" spans="1:28" ht="33.75" customHeight="1" x14ac:dyDescent="0.25">
      <c r="A5" s="821">
        <v>1</v>
      </c>
      <c r="B5" s="829" t="s">
        <v>14</v>
      </c>
      <c r="C5" s="815">
        <v>7101</v>
      </c>
      <c r="D5" s="843">
        <f>62.5-7.5</f>
        <v>55</v>
      </c>
      <c r="E5" s="1003"/>
      <c r="F5" s="827" t="s">
        <v>12</v>
      </c>
      <c r="G5" s="3">
        <f t="shared" ref="G5:G47" si="0">SUM(O5:T5)</f>
        <v>0</v>
      </c>
      <c r="H5" s="47">
        <f t="shared" ref="H5:H54" si="1">U5</f>
        <v>0</v>
      </c>
      <c r="I5" s="3">
        <f t="shared" ref="I5:I54" si="2">SUM(V5:AB5)</f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-29</v>
      </c>
      <c r="N5" s="929"/>
      <c r="O5" s="166">
        <f>SUMIFS([1]مرداد!$AF$2:$AF$805,[1]مرداد!$O$2:$O$805,7101,[1]مرداد!$D$2:$D$805,$F$5,[1]مرداد!$AC$2:$AC$805,O3)</f>
        <v>0</v>
      </c>
      <c r="P5" s="96">
        <f>SUMIFS([1]مرداد!$AF$2:$AF$805,[1]مرداد!$O$2:$O$805,7101,[1]مرداد!$D$2:$D$805,$F$5,[1]مرداد!$AC$2:$AC$805,P3)</f>
        <v>0</v>
      </c>
      <c r="Q5" s="168">
        <f>SUMIFS([1]مرداد!$AF$2:$AF$805,[1]مرداد!$O$2:$O$805,7101,[1]مرداد!$D$2:$D$805,$F$5,[1]مرداد!$AC$2:$AC$805,Q3)</f>
        <v>0</v>
      </c>
      <c r="R5" s="168">
        <f>SUMIFS([1]مرداد!$AF$2:$AF$805,[1]مرداد!$O$2:$O$805,7101,[1]مرداد!$D$2:$D$805,$F$5,[1]مرداد!$AC$2:$AC$805,R3)</f>
        <v>0</v>
      </c>
      <c r="S5" s="168">
        <f>SUMIFS([1]مرداد!$AF$2:$AF$805,[1]مرداد!$O$2:$O$805,7101,[1]مرداد!$D$2:$D$805,$F$5,[1]مرداد!$AC$2:$AC$805,S3)</f>
        <v>0</v>
      </c>
      <c r="T5" s="96">
        <f>SUMIFS([1]مرداد!$AF$2:$AF$805,[1]مرداد!$O$2:$O$805,7101,[1]مرداد!$D$2:$D$805,$F$5,[1]مرداد!$AC$2:$AC$805,T3)</f>
        <v>0</v>
      </c>
      <c r="U5" s="800">
        <f>SUMIFS([1]مرداد!$AF$2:$AF$805,[1]مرداد!$O$2:$O$805,7101,[1]مرداد!$D$2:$D$805,$F$5,[1]مرداد!$AC$2:$AC$805,U3)</f>
        <v>0</v>
      </c>
      <c r="V5" s="166">
        <f>SUMIFS([1]مرداد!$AH$2:$AH$805,[1]مرداد!$O$2:$O$805,7101,[1]مرداد!$D$2:$D$805,$F$5,[1]مرداد!$AC$2:$AC$805,V3)</f>
        <v>0</v>
      </c>
      <c r="W5" s="537">
        <f>SUMIFS([1]شهریور!$AH$2:$AH$805,[1]شهریور!$O$2:$O$805,7101,[1]شهریور!$D$2:$D$805,$F$5,[1]شهریور!$AC$2:$AC$805,W3)</f>
        <v>0</v>
      </c>
      <c r="X5" s="174">
        <f>SUMIFS([1]شهریور!$AH$2:$AH$805,[1]شهریور!$O$2:$O$805,7101,[1]شهریور!$D$2:$D$805,$F$5,[1]شهریور!$AC$2:$AC$805,X3)</f>
        <v>0</v>
      </c>
      <c r="Y5" s="174">
        <f>SUMIFS([1]شهریور!$AH$2:$AH$805,[1]شهریور!$O$2:$O$805,7101,[1]شهریور!$D$2:$D$805,$F$5,[1]شهریور!$AC$2:$AC$805,Y3)</f>
        <v>0</v>
      </c>
      <c r="Z5" s="174">
        <f>SUMIFS([1]شهریور!$AH$2:$AH$805,[1]شهریور!$O$2:$O$805,7101,[1]شهریور!$D$2:$D$805,$F$5,[1]شهریور!$AC$2:$AC$805,Z3)</f>
        <v>0</v>
      </c>
      <c r="AA5" s="537">
        <f>SUMIFS([1]شهریور!$AH$2:$AH$805,[1]شهریور!$O$2:$O$805,7101,[1]شهریور!$D$2:$D$805,$F$5,[1]شهریور!$AC$2:$AC$805,AA3)</f>
        <v>0</v>
      </c>
      <c r="AB5" s="537">
        <f>SUMIFS([1]شهریور!$AH$2:$AH$805,[1]شهریور!$O$2:$O$805,7101,[1]شهریور!$D$2:$D$805,$F$5,[1]شهریور!$AC$2:$AC$805,AB3)</f>
        <v>0</v>
      </c>
    </row>
    <row r="6" spans="1:28" ht="33.75" customHeight="1" thickBot="1" x14ac:dyDescent="0.3">
      <c r="A6" s="822"/>
      <c r="B6" s="88"/>
      <c r="C6" s="43"/>
      <c r="D6" s="816"/>
      <c r="E6" s="934"/>
      <c r="F6" s="5"/>
      <c r="G6" s="6">
        <f t="shared" si="0"/>
        <v>0</v>
      </c>
      <c r="H6" s="761">
        <f t="shared" si="1"/>
        <v>0</v>
      </c>
      <c r="I6" s="1">
        <f t="shared" si="2"/>
        <v>0</v>
      </c>
      <c r="J6" s="7">
        <v>0</v>
      </c>
      <c r="K6" s="6">
        <v>0</v>
      </c>
      <c r="L6" s="6">
        <v>0</v>
      </c>
      <c r="M6" s="8"/>
      <c r="N6" s="930"/>
      <c r="O6" s="171">
        <f>SUMIFS([1]مرداد!$AF$2:$AF$805,[1]مرداد!$O$2:$O$805,7101,[1]مرداد!$D$2:$D$805,$F$6,[1]مرداد!$AC$2:$AC$805,O3)</f>
        <v>0</v>
      </c>
      <c r="P6" s="103">
        <f>SUMIFS([1]مرداد!$AF$2:$AF$805,[1]مرداد!$O$2:$O$805,7101,[1]مرداد!$D$2:$D$805,$F$6,[1]مرداد!$AC$2:$AC$805,P3)</f>
        <v>0</v>
      </c>
      <c r="Q6" s="172">
        <f>SUMIFS([1]مرداد!$AF$2:$AF$805,[1]مرداد!$O$2:$O$805,7101,[1]مرداد!$D$2:$D$805,$F$6,[1]مرداد!$AC$2:$AC$805,Q3)</f>
        <v>0</v>
      </c>
      <c r="R6" s="172">
        <f>SUMIFS([1]مرداد!$AF$2:$AF$805,[1]مرداد!$O$2:$O$805,7101,[1]مرداد!$D$2:$D$805,$F$6,[1]مرداد!$AC$2:$AC$805,R3)</f>
        <v>0</v>
      </c>
      <c r="S6" s="172">
        <f>SUMIFS([1]مرداد!$AF$2:$AF$805,[1]مرداد!$O$2:$O$805,7101,[1]مرداد!$D$2:$D$805,$F$6,[1]مرداد!$AC$2:$AC$805,S3)</f>
        <v>0</v>
      </c>
      <c r="T6" s="103">
        <f>SUMIFS([1]مرداد!$AF$2:$AF$805,[1]مرداد!$O$2:$O$805,7101,[1]مرداد!$D$2:$D$805,$F$6,[1]مرداد!$AC$2:$AC$805,T3)</f>
        <v>0</v>
      </c>
      <c r="U6" s="802">
        <f>SUMIFS([1]مرداد!$AF$2:$AF$805,[1]مرداد!$O$2:$O$805,7101,[1]مرداد!$D$2:$D$805,$F$6,[1]مرداد!$AC$2:$AC$805,U3)</f>
        <v>0</v>
      </c>
      <c r="V6" s="171">
        <f>SUMIFS([1]مرداد!$AH$2:$AH$805,[1]مرداد!$O$2:$O$805,7101,[1]مرداد!$D$2:$D$805,$F$6,[1]مرداد!$AC$2:$AC$805,V3)</f>
        <v>0</v>
      </c>
      <c r="W6" s="537">
        <f>SUMIFS([1]شهریور!$AH$2:$AH$805,[1]شهریور!$O$2:$O$805,7101,[1]شهریور!$D$2:$D$805,F6,[1]شهریور!$AC$2:$AC$805,$W$3)</f>
        <v>0</v>
      </c>
      <c r="X6" s="174">
        <f>SUMIFS([1]شهریور!$AH$2:$AH$805,[1]شهریور!$O$2:$O$805,7101,[1]شهریور!$D$2:$D$805,G6,[1]شهریور!$AC$2:$AC$805,$W$3)</f>
        <v>0</v>
      </c>
      <c r="Y6" s="174">
        <f>SUMIFS([1]شهریور!$AH$2:$AH$805,[1]شهریور!$O$2:$O$805,7101,[1]شهریور!$D$2:$D$805,H6,[1]شهریور!$AC$2:$AC$805,$W$3)</f>
        <v>0</v>
      </c>
      <c r="Z6" s="172">
        <f>SUMIFS([1]مرداد!$AH$2:$AH$805,[1]مرداد!$O$2:$O$805,7101,[1]مرداد!$D$2:$D$805,$F$6,[1]مرداد!$AC$2:$AC$805,Z3)</f>
        <v>0</v>
      </c>
      <c r="AA6" s="103">
        <f>SUMIFS([1]مرداد!$AH$2:$AH$805,[1]مرداد!$O$2:$O$805,7101,[1]مرداد!$D$2:$D$805,$F$6,[1]مرداد!$AC$2:$AC$805,AA3)</f>
        <v>0</v>
      </c>
      <c r="AB6" s="109">
        <f>SUMIFS([1]مرداد!$AH$2:$AH$805,[1]مرداد!$O$2:$O$805,7101,[1]مرداد!$D$2:$D$805,$F$6,[1]مرداد!$AC$2:$AC$805,AB3)</f>
        <v>0</v>
      </c>
    </row>
    <row r="7" spans="1:28" ht="33.75" customHeight="1" x14ac:dyDescent="0.25">
      <c r="A7" s="839"/>
      <c r="B7" s="835"/>
      <c r="C7" s="42"/>
      <c r="D7" s="814"/>
      <c r="E7" s="932" t="s">
        <v>15</v>
      </c>
      <c r="F7" s="20" t="s">
        <v>20</v>
      </c>
      <c r="G7" s="846">
        <f t="shared" si="0"/>
        <v>44</v>
      </c>
      <c r="H7" s="46">
        <f t="shared" si="1"/>
        <v>0</v>
      </c>
      <c r="I7" s="846">
        <f t="shared" si="2"/>
        <v>0</v>
      </c>
      <c r="J7" s="846">
        <v>0</v>
      </c>
      <c r="K7" s="846">
        <v>0</v>
      </c>
      <c r="L7" s="846">
        <v>0</v>
      </c>
      <c r="M7" s="10"/>
      <c r="N7" s="819"/>
      <c r="O7" s="169">
        <f>SUMIFS([1]شهریور!$AF$2:$AF$805,[1]شهریور!$O$2:$O$805,7102,[1]شهریور!$D$2:$D$805,F7,[1]شهریور!$AC$2:$AC$805,O3)</f>
        <v>11</v>
      </c>
      <c r="P7" s="98">
        <f>SUMIFS([1]شهریور!$AF$2:$AF$805,[1]شهریور!$O$2:$O$805,7102,[1]شهریور!$D$2:$D$805,F7,[1]شهریور!$AC$2:$AC$805,$P$3)</f>
        <v>0</v>
      </c>
      <c r="Q7" s="292">
        <f>SUMIFS([1]شهریور!$AF$2:$AF$805,[1]شهریور!$O$2:$O$805,7102,[1]شهریور!$D$2:$D$805,$F$7,[1]شهریور!$AC$2:$AC$805,Q3)</f>
        <v>11</v>
      </c>
      <c r="R7" s="292">
        <f>SUMIFS([1]شهریور!$AF$2:$AF$805,[1]شهریور!$O$2:$O$805,7102,[1]شهریور!$D$2:$D$805,$F$7,[1]شهریور!$AC$2:$AC$805,R3)</f>
        <v>11</v>
      </c>
      <c r="S7" s="292">
        <f>SUMIFS([1]شهریور!$AF$2:$AF$805,[1]شهریور!$O$2:$O$805,7102,[1]شهریور!$D$2:$D$805,$F$7,[1]شهریور!$AC$2:$AC$805,S3)</f>
        <v>11</v>
      </c>
      <c r="T7" s="393">
        <f>SUMIFS([1]شهریور!$AF$2:$AF$805,[1]شهریور!$O$2:$O$805,7102,[1]شهریور!$D$2:$D$805,$F$7,[1]شهریور!$AC$2:$AC$805,T3)</f>
        <v>0</v>
      </c>
      <c r="U7" s="393">
        <f>SUMIFS([1]شهریور!$AF$2:$AF$805,[1]شهریور!$O$2:$O$805,7102,[1]شهریور!$D$2:$D$805,$F$7,[1]شهریور!$AC$2:$AC$805,U3)</f>
        <v>0</v>
      </c>
      <c r="V7" s="165">
        <f>SUMIFS([1]مرداد!$AH$2:$AH$805,[1]مرداد!$O$2:$O$805,7101,[1]مرداد!$D$2:$D$805,$F$7,[1]مرداد!$AC$2:$AC$805,V3)</f>
        <v>0</v>
      </c>
      <c r="W7" s="393">
        <f>SUMIFS([1]شهریور!$AH$2:$AH$805,[1]شهریور!$O$2:$O$805,7101,[1]شهریور!$D$2:$D$805,F7,[1]شهریور!$AC$2:$AC$805,$W$3)</f>
        <v>0</v>
      </c>
      <c r="X7" s="292">
        <f>SUMIFS([1]مرداد!$AH$2:$AH$805,[1]مرداد!$O$2:$O$805,7102,[1]مرداد!$D$2:$D$805,$F$7,[1]مرداد!$AC$2:$AC$805,X3)</f>
        <v>0</v>
      </c>
      <c r="Y7" s="292">
        <f>SUMIFS([1]مرداد!$AH$2:$AH$805,[1]مرداد!$O$2:$O$805,7102,[1]مرداد!$D$2:$D$805,$F$7,[1]مرداد!$AC$2:$AC$805,Y3)</f>
        <v>0</v>
      </c>
      <c r="Z7" s="292">
        <f>SUMIFS([1]مرداد!$AH$2:$AH$805,[1]مرداد!$O$2:$O$805,7102,[1]مرداد!$D$2:$D$805,$F$7,[1]مرداد!$AC$2:$AC$805,Z3)</f>
        <v>0</v>
      </c>
      <c r="AA7" s="393">
        <f>SUMIFS([1]مرداد!$AH$2:$AH$805,[1]مرداد!$O$2:$O$805,7102,[1]مرداد!$D$2:$D$805,$F$7,[1]مرداد!$AC$2:$AC$805,AA3)</f>
        <v>0</v>
      </c>
      <c r="AB7" s="454">
        <f>SUMIFS([1]مرداد!$AH$2:$AH$805,[1]مرداد!$O$2:$O$805,7102,[1]مرداد!$D$2:$D$805,$F$7,[1]مرداد!$AC$2:$AC$805,AB3)</f>
        <v>0</v>
      </c>
    </row>
    <row r="8" spans="1:28" ht="33.75" customHeight="1" x14ac:dyDescent="0.25">
      <c r="A8" s="839">
        <v>2</v>
      </c>
      <c r="B8" s="829" t="s">
        <v>14</v>
      </c>
      <c r="C8" s="815">
        <v>7102</v>
      </c>
      <c r="D8" s="586">
        <v>55</v>
      </c>
      <c r="E8" s="1003"/>
      <c r="F8" s="832"/>
      <c r="G8" s="3">
        <f t="shared" si="0"/>
        <v>0</v>
      </c>
      <c r="H8" s="47">
        <f t="shared" si="1"/>
        <v>0</v>
      </c>
      <c r="I8" s="3">
        <f t="shared" si="2"/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-11</v>
      </c>
      <c r="N8" s="812"/>
      <c r="O8" s="293">
        <f>SUMIFS([1]اردیبهشت!$AD$2:$AD$600,[1]اردیبهشت!$N$2:$N$600,7102,[1]اردیبهشت!$D$2:$D$600,$F$8,[1]اردیبهشت!$AA$2:$AA$600,O3)</f>
        <v>0</v>
      </c>
      <c r="P8" s="96">
        <f>SUMIFS([1]شهریور!$AF$2:$AF$805,[1]شهریور!$O$2:$O$805,7102,[1]شهریور!$D$2:$D$805,$F$8,[1]شهریور!$AC$2:$AC$805,P3)</f>
        <v>0</v>
      </c>
      <c r="Q8" s="168">
        <f>SUMIFS([1]شهریور!$AF$2:$AF$805,[1]شهریور!$O$2:$O$805,7102,[1]شهریور!$D$2:$D$805,$F$8,[1]شهریور!$AC$2:$AC$805,Q3)</f>
        <v>0</v>
      </c>
      <c r="R8" s="168">
        <f>SUMIFS([1]شهریور!$AF$2:$AF$805,[1]شهریور!$O$2:$O$805,7102,[1]شهریور!$D$2:$D$805,$F$8,[1]شهریور!$AC$2:$AC$805,R3)</f>
        <v>0</v>
      </c>
      <c r="S8" s="168">
        <f>SUMIFS([1]شهریور!$AF$2:$AF$805,[1]شهریور!$O$2:$O$805,7102,[1]شهریور!$D$2:$D$805,$F$8,[1]شهریور!$AC$2:$AC$805,S3)</f>
        <v>0</v>
      </c>
      <c r="T8" s="96">
        <f>SUMIFS([1]شهریور!$AF$2:$AF$805,[1]شهریور!$O$2:$O$805,7102,[1]شهریور!$D$2:$D$805,$F$8,[1]شهریور!$AC$2:$AC$805,T3)</f>
        <v>0</v>
      </c>
      <c r="U8" s="96">
        <f>SUMIFS([1]شهریور!$AF$2:$AF$805,[1]شهریور!$O$2:$O$805,7102,[1]شهریور!$D$2:$D$805,$F$8,[1]شهریور!$AC$2:$AC$805,U3)</f>
        <v>0</v>
      </c>
      <c r="V8" s="166">
        <f>SUMIFS([1]مرداد!$AH$2:$AH$805,[1]مرداد!$O$2:$O$805,7102,[1]مرداد!$D$2:$D$805,$F$8,[1]مرداد!$AC$2:$AC$805,V3)</f>
        <v>0</v>
      </c>
      <c r="W8" s="891">
        <f>SUMIFS([1]مرداد!$AH$2:$AH$805,[1]مرداد!$O$2:$O$805,7102,[1]مرداد!$D$2:$D$805,$F$8,[1]مرداد!$AC$2:$AC$805,W3)</f>
        <v>0</v>
      </c>
      <c r="X8" s="293">
        <f>SUMIFS([1]مرداد!$AH$2:$AH$805,[1]مرداد!$O$2:$O$805,7102,[1]مرداد!$D$2:$D$805,$F$8,[1]مرداد!$AC$2:$AC$805,X3)</f>
        <v>0</v>
      </c>
      <c r="Y8" s="293">
        <f>SUMIFS([1]مرداد!$AH$2:$AH$805,[1]مرداد!$O$2:$O$805,7102,[1]مرداد!$D$2:$D$805,$F$8,[1]مرداد!$AC$2:$AC$805,Y3)</f>
        <v>0</v>
      </c>
      <c r="Z8" s="293">
        <f>SUMIFS([1]مرداد!$AH$2:$AH$805,[1]مرداد!$O$2:$O$805,7102,[1]مرداد!$D$2:$D$805,$F$8,[1]مرداد!$AC$2:$AC$805,Z3)</f>
        <v>0</v>
      </c>
      <c r="AA8" s="891">
        <f>SUMIFS([1]مرداد!$AH$2:$AH$805,[1]مرداد!$O$2:$O$805,7102,[1]مرداد!$D$2:$D$805,$F$8,[1]مرداد!$AC$2:$AC$805,AA3)</f>
        <v>0</v>
      </c>
      <c r="AB8" s="901">
        <f>SUMIFS([1]مرداد!$AH$2:$AH$805,[1]مرداد!$O$2:$O$805,7102,[1]مرداد!$D$2:$D$805,$F$8,[1]مرداد!$AC$2:$AC$805,AB3)</f>
        <v>0</v>
      </c>
    </row>
    <row r="9" spans="1:28" ht="33.75" customHeight="1" thickBot="1" x14ac:dyDescent="0.3">
      <c r="A9" s="839"/>
      <c r="B9" s="837"/>
      <c r="C9" s="43"/>
      <c r="D9" s="816"/>
      <c r="E9" s="934"/>
      <c r="F9" s="5"/>
      <c r="G9" s="6">
        <f t="shared" si="0"/>
        <v>0</v>
      </c>
      <c r="H9" s="761">
        <f t="shared" si="1"/>
        <v>0</v>
      </c>
      <c r="I9" s="1">
        <f t="shared" si="2"/>
        <v>0</v>
      </c>
      <c r="J9" s="7">
        <v>0</v>
      </c>
      <c r="K9" s="6">
        <v>0</v>
      </c>
      <c r="L9" s="6">
        <v>0</v>
      </c>
      <c r="M9" s="11"/>
      <c r="N9" s="813"/>
      <c r="O9" s="294">
        <f>SUMIFS([1]اردیبهشت!$AD$2:$AD$600,[1]اردیبهشت!$N$2:$N$600,7102,[1]اردیبهشت!$D$2:$D$600,$F$9,[1]اردیبهشت!$AA$2:$AA$600,O3)</f>
        <v>0</v>
      </c>
      <c r="P9" s="395">
        <f>SUMIFS([1]شهریور!$AF$2:$AF$805,[1]شهریور!$O$2:$O$805,7102,[1]شهریور!$D$2:$D$805,$F$9,[1]شهریور!$AC$2:$AC$805,P3)</f>
        <v>0</v>
      </c>
      <c r="Q9" s="356">
        <f>SUMIFS([1]شهریور!$AF$2:$AF$805,[1]شهریور!$O$2:$O$805,7102,[1]شهریور!$D$2:$D$805,$F$9,[1]شهریور!$AC$2:$AC$805,Q3)</f>
        <v>0</v>
      </c>
      <c r="R9" s="356">
        <f>SUMIFS([1]شهریور!$AF$2:$AF$805,[1]شهریور!$O$2:$O$805,7102,[1]شهریور!$D$2:$D$805,$F$9,[1]شهریور!$AC$2:$AC$805,R3)</f>
        <v>0</v>
      </c>
      <c r="S9" s="356">
        <f>SUMIFS([1]شهریور!$AF$2:$AF$805,[1]شهریور!$O$2:$O$805,7102,[1]شهریور!$D$2:$D$805,$F$9,[1]شهریور!$AC$2:$AC$805,S3)</f>
        <v>0</v>
      </c>
      <c r="T9" s="395">
        <f>SUMIFS([1]شهریور!$AF$2:$AF$805,[1]شهریور!$O$2:$O$805,7102,[1]شهریور!$D$2:$D$805,$F$9,[1]شهریور!$AC$2:$AC$805,T3)</f>
        <v>0</v>
      </c>
      <c r="U9" s="395">
        <f>SUMIFS([1]شهریور!$AF$2:$AF$805,[1]شهریور!$O$2:$O$805,7102,[1]شهریور!$D$2:$D$805,$F$9,[1]شهریور!$AC$2:$AC$805,U3)</f>
        <v>0</v>
      </c>
      <c r="V9" s="171">
        <f>SUMIFS([1]مرداد!$AH$2:$AH$805,[1]مرداد!$O$2:$O$805,7102,[1]مرداد!$D$2:$D$805,$F$9,[1]مرداد!$AC$2:$AC$805,V3)</f>
        <v>0</v>
      </c>
      <c r="W9" s="904">
        <f>SUMIFS([1]مرداد!$AH$2:$AH$805,[1]مرداد!$O$2:$O$805,7102,[1]مرداد!$D$2:$D$805,$F$9,[1]مرداد!$AC$2:$AC$805,W3)</f>
        <v>0</v>
      </c>
      <c r="X9" s="294">
        <f>SUMIFS([1]مرداد!$AH$2:$AH$805,[1]مرداد!$O$2:$O$805,7102,[1]مرداد!$D$2:$D$805,$F$9,[1]مرداد!$AC$2:$AC$805,X3)</f>
        <v>0</v>
      </c>
      <c r="Y9" s="294">
        <f>SUMIFS([1]مرداد!$AH$2:$AH$805,[1]مرداد!$O$2:$O$805,7102,[1]مرداد!$D$2:$D$805,$F$9,[1]مرداد!$AC$2:$AC$805,Y3)</f>
        <v>0</v>
      </c>
      <c r="Z9" s="294">
        <f>SUMIFS([1]مرداد!$AH$2:$AH$805,[1]مرداد!$O$2:$O$805,7102,[1]مرداد!$D$2:$D$805,$F$9,[1]مرداد!$AC$2:$AC$805,Z3)</f>
        <v>0</v>
      </c>
      <c r="AA9" s="904">
        <f>SUMIFS([1]مرداد!$AH$2:$AH$805,[1]مرداد!$O$2:$O$805,7102,[1]مرداد!$D$2:$D$805,$F$9,[1]مرداد!$AC$2:$AC$805,AA3)</f>
        <v>0</v>
      </c>
      <c r="AB9" s="700">
        <f>SUMIFS([1]مرداد!$AH$2:$AH$805,[1]مرداد!$O$2:$O$805,7102,[1]مرداد!$D$2:$D$805,$F$9,[1]مرداد!$AC$2:$AC$805,AB3)</f>
        <v>0</v>
      </c>
    </row>
    <row r="10" spans="1:28" ht="33.75" customHeight="1" thickBot="1" x14ac:dyDescent="0.3">
      <c r="A10" s="45">
        <v>3</v>
      </c>
      <c r="B10" s="12" t="s">
        <v>14</v>
      </c>
      <c r="C10" s="13">
        <v>7103</v>
      </c>
      <c r="D10" s="283">
        <v>44</v>
      </c>
      <c r="E10" s="13" t="s">
        <v>15</v>
      </c>
      <c r="F10" s="13" t="s">
        <v>12</v>
      </c>
      <c r="G10" s="14">
        <f t="shared" si="0"/>
        <v>19.5</v>
      </c>
      <c r="H10" s="48">
        <f t="shared" si="1"/>
        <v>0</v>
      </c>
      <c r="I10" s="846">
        <f t="shared" si="2"/>
        <v>0</v>
      </c>
      <c r="J10" s="14">
        <v>0</v>
      </c>
      <c r="K10" s="14">
        <v>0</v>
      </c>
      <c r="L10" s="14">
        <v>0</v>
      </c>
      <c r="M10" s="14">
        <f>SUM(G10:L10)-64</f>
        <v>-44.5</v>
      </c>
      <c r="N10" s="61"/>
      <c r="O10" s="295">
        <f>SUMIFS([1]شهریور!$AF$2:$AF$805,[1]شهریور!$O$2:$O$805,7103,[1]شهریور!$D$2:$D$805,$F$10,[1]شهریور!$AC$2:$AC$805,O3)</f>
        <v>6.5</v>
      </c>
      <c r="P10" s="456">
        <f>SUMIFS([1]شهریور!$AF$2:$AF$805,[1]شهریور!$O$2:$O$805,7103,[1]شهریور!$D$2:$D$805,$F$10,[1]شهریور!$AC$2:$AC$805,P3)</f>
        <v>0</v>
      </c>
      <c r="Q10" s="295">
        <f>SUMIFS([1]شهریور!$AF$2:$AF$805,[1]شهریور!$O$2:$O$805,7103,[1]شهریور!$D$2:$D$805,$F$10,[1]شهریور!$AC$2:$AC$805,Q3)</f>
        <v>6.5</v>
      </c>
      <c r="R10" s="295">
        <f>SUMIFS([1]شهریور!$AF$2:$AF$805,[1]شهریور!$O$2:$O$805,7103,[1]شهریور!$D$2:$D$805,$F$10,[1]شهریور!$AC$2:$AC$805,R3)</f>
        <v>6.5</v>
      </c>
      <c r="S10" s="295">
        <f>SUMIFS([1]شهریور!$AF$2:$AF$805,[1]شهریور!$O$2:$O$805,7103,[1]شهریور!$D$2:$D$805,$F$10,[1]شهریور!$AC$2:$AC$805,S3)</f>
        <v>0</v>
      </c>
      <c r="T10" s="456">
        <f>SUMIFS([1]شهریور!$AF$2:$AF$805,[1]شهریور!$O$2:$O$805,7103,[1]شهریور!$D$2:$D$805,$F$10,[1]شهریور!$AC$2:$AC$805,T3)</f>
        <v>0</v>
      </c>
      <c r="U10" s="456">
        <f>SUMIFS([1]شهریور!$AF$2:$AF$805,[1]شهریور!$O$2:$O$805,7103,[1]شهریور!$D$2:$D$805,$F$10,[1]شهریور!$AC$2:$AC$805,U3)</f>
        <v>0</v>
      </c>
      <c r="V10" s="176">
        <f>SUMIFS([1]مرداد!$AH$2:$AH$805,[1]مرداد!$O$2:$O$805,7103,[1]مرداد!$D$2:$D$805,$F$10,[1]مرداد!$AC$2:$AC$805,V3)</f>
        <v>0</v>
      </c>
      <c r="W10" s="456">
        <f>SUMIFS([1]مرداد!$AH$2:$AH$805,[1]مرداد!$O$2:$O$805,7103,[1]مرداد!$D$2:$D$805,$F$10,[1]مرداد!$AC$2:$AC$805,W3)</f>
        <v>0</v>
      </c>
      <c r="X10" s="295">
        <f>SUMIFS([1]مرداد!$AH$2:$AH$805,[1]مرداد!$O$2:$O$805,7103,[1]مرداد!$D$2:$D$805,$F$10,[1]مرداد!$AC$2:$AC$805,X3)</f>
        <v>0</v>
      </c>
      <c r="Y10" s="295">
        <f>SUMIFS([1]مرداد!$AH$2:$AH$805,[1]مرداد!$O$2:$O$805,7103,[1]مرداد!$D$2:$D$805,$F$10,[1]مرداد!$AC$2:$AC$805,Y3)</f>
        <v>0</v>
      </c>
      <c r="Z10" s="295">
        <f>SUMIFS([1]مرداد!$AH$2:$AH$805,[1]مرداد!$O$2:$O$805,7103,[1]مرداد!$D$2:$D$805,$F$10,[1]مرداد!$AC$2:$AC$805,Z3)</f>
        <v>0</v>
      </c>
      <c r="AA10" s="456">
        <f>SUMIFS([1]مرداد!$AH$2:$AH$805,[1]مرداد!$O$2:$O$805,7103,[1]مرداد!$D$2:$D$805,$F$10,[1]مرداد!$AC$2:$AC$805,AA3)</f>
        <v>0</v>
      </c>
      <c r="AB10" s="701">
        <f>SUMIFS([1]مرداد!$AH$2:$AH$805,[1]مرداد!$O$2:$O$805,7103,[1]مرداد!$D$2:$D$805,$F$10,[1]مرداد!$AC$2:$AC$805,AB3)</f>
        <v>0</v>
      </c>
    </row>
    <row r="11" spans="1:28" ht="33.75" customHeight="1" thickBot="1" x14ac:dyDescent="0.3">
      <c r="A11" s="839">
        <v>4</v>
      </c>
      <c r="B11" s="82" t="s">
        <v>18</v>
      </c>
      <c r="C11" s="72">
        <v>7201</v>
      </c>
      <c r="D11" s="72">
        <v>55</v>
      </c>
      <c r="E11" s="72" t="s">
        <v>19</v>
      </c>
      <c r="F11" s="73"/>
      <c r="G11" s="14">
        <f t="shared" si="0"/>
        <v>0</v>
      </c>
      <c r="H11" s="48">
        <f t="shared" si="1"/>
        <v>0</v>
      </c>
      <c r="I11" s="846">
        <f t="shared" si="2"/>
        <v>0</v>
      </c>
      <c r="J11" s="74">
        <v>55</v>
      </c>
      <c r="K11" s="74">
        <v>0</v>
      </c>
      <c r="L11" s="74">
        <v>0</v>
      </c>
      <c r="M11" s="74">
        <f>SUM(G11:J11)-62</f>
        <v>-7</v>
      </c>
      <c r="N11" s="75" t="str">
        <f>IF(J11&gt;0,"③","")</f>
        <v>③</v>
      </c>
      <c r="O11" s="762"/>
      <c r="P11" s="888"/>
      <c r="Q11" s="285"/>
      <c r="R11" s="285"/>
      <c r="S11" s="285"/>
      <c r="T11" s="888"/>
      <c r="U11" s="139"/>
      <c r="V11" s="784"/>
      <c r="W11" s="906"/>
      <c r="X11" s="785"/>
      <c r="Y11" s="785"/>
      <c r="Z11" s="785"/>
      <c r="AA11" s="906"/>
      <c r="AB11" s="786"/>
    </row>
    <row r="12" spans="1:28" ht="33.75" customHeight="1" x14ac:dyDescent="0.25">
      <c r="A12" s="985">
        <v>5</v>
      </c>
      <c r="B12" s="974" t="s">
        <v>18</v>
      </c>
      <c r="C12" s="932">
        <v>7202</v>
      </c>
      <c r="D12" s="932">
        <v>55</v>
      </c>
      <c r="E12" s="932" t="s">
        <v>15</v>
      </c>
      <c r="F12" s="574" t="s">
        <v>199</v>
      </c>
      <c r="G12" s="21">
        <f t="shared" si="0"/>
        <v>44</v>
      </c>
      <c r="H12" s="46">
        <f t="shared" si="1"/>
        <v>0</v>
      </c>
      <c r="I12" s="846">
        <f t="shared" si="2"/>
        <v>0</v>
      </c>
      <c r="J12" s="21">
        <v>0</v>
      </c>
      <c r="K12" s="21">
        <v>0</v>
      </c>
      <c r="L12" s="21">
        <v>0</v>
      </c>
      <c r="M12" s="21"/>
      <c r="N12" s="811"/>
      <c r="O12" s="186">
        <f>SUMIFS([1]شهریور!$AF$2:$AF$805,[1]شهریور!$O$2:$O$805,7202,[1]شهریور!$D$2:$D$805,$F$12,[1]شهریور!$AC$2:$AC$805,O3)</f>
        <v>11</v>
      </c>
      <c r="P12" s="106">
        <f>SUMIFS([1]شهریور!$AF$2:$AF$805,[1]شهریور!$O$2:$O$805,7202,[1]شهریور!$D$2:$D$805,$F$12,[1]شهریور!$AC$2:$AC$805,P3)</f>
        <v>0</v>
      </c>
      <c r="Q12" s="186">
        <f>SUMIFS([1]شهریور!$AF$2:$AF$805,[1]شهریور!$O$2:$O$805,7202,[1]شهریور!$D$2:$D$805,$F$12,[1]شهریور!$AC$2:$AC$805,Q3)</f>
        <v>11</v>
      </c>
      <c r="R12" s="186">
        <f>SUMIFS([1]شهریور!$AF$2:$AF$805,[1]شهریور!$O$2:$O$805,7202,[1]شهریور!$D$2:$D$805,$F$12,[1]شهریور!$AC$2:$AC$805,R3)</f>
        <v>11</v>
      </c>
      <c r="S12" s="186">
        <f>SUMIFS([1]شهریور!$AF$2:$AF$805,[1]شهریور!$O$2:$O$805,7202,[1]شهریور!$D$2:$D$805,$F$12,[1]شهریور!$AC$2:$AC$805,S3)</f>
        <v>11</v>
      </c>
      <c r="T12" s="106">
        <f>SUMIFS([1]شهریور!$AF$2:$AF$805,[1]شهریور!$O$2:$O$805,7202,[1]شهریور!$D$2:$D$805,$F$12,[1]شهریور!$AC$2:$AC$805,T3)</f>
        <v>0</v>
      </c>
      <c r="U12" s="118">
        <f>SUMIFS([1]شهریور!$AF$2:$AF$805,[1]شهریور!$O$2:$O$805,7202,[1]شهریور!$D$2:$D$805,$F$12,[1]شهریور!$AC$2:$AC$805,U3)</f>
        <v>0</v>
      </c>
      <c r="V12" s="298">
        <f>SUMIFS([1]مرداد!$AH$2:$AH$805,[1]مرداد!$O$2:$O$805,7202,[1]مرداد!$D$2:$D$805,$F$12,[1]مرداد!$AC$2:$AC$805,V3)</f>
        <v>0</v>
      </c>
      <c r="W12" s="145">
        <f>SUMIFS([1]مرداد!$AH$2:$AH$805,[1]مرداد!$O$2:$O$805,7202,[1]مرداد!$D$2:$D$805,$F$12,[1]مرداد!$AC$2:$AC$805,W3)</f>
        <v>0</v>
      </c>
      <c r="X12" s="188">
        <f>SUMIFS([1]مرداد!$AH$2:$AH$805,[1]مرداد!$O$2:$O$805,7202,[1]مرداد!$D$2:$D$805,$F$12,[1]مرداد!$AC$2:$AC$805,X3)</f>
        <v>0</v>
      </c>
      <c r="Y12" s="188">
        <f>SUMIFS([1]مرداد!$AH$2:$AH$805,[1]مرداد!$O$2:$O$805,7202,[1]مرداد!$D$2:$D$805,$F$12,[1]مرداد!$AC$2:$AC$805,Y3)</f>
        <v>0</v>
      </c>
      <c r="Z12" s="188">
        <f>SUMIFS([1]مرداد!$AH$2:$AH$805,[1]مرداد!$O$2:$O$805,7202,[1]مرداد!$D$2:$D$805,$F$12,[1]مرداد!$AC$2:$AC$805,Z3)</f>
        <v>0</v>
      </c>
      <c r="AA12" s="145">
        <f>SUMIFS([1]مرداد!$AH$2:$AH$805,[1]مرداد!$O$2:$O$805,7202,[1]مرداد!$D$2:$D$805,$F$12,[1]مرداد!$AC$2:$AC$805,AA3)</f>
        <v>0</v>
      </c>
      <c r="AB12" s="128">
        <f>SUMIFS([1]مرداد!$AH$2:$AH$805,[1]مرداد!$O$2:$O$805,7202,[1]مرداد!$D$2:$D$805,$F$12,[1]مرداد!$AC$2:$AC$805,AB3)</f>
        <v>0</v>
      </c>
    </row>
    <row r="13" spans="1:28" ht="33.75" customHeight="1" x14ac:dyDescent="0.25">
      <c r="A13" s="986"/>
      <c r="B13" s="975"/>
      <c r="C13" s="933"/>
      <c r="D13" s="933"/>
      <c r="E13" s="933"/>
      <c r="F13" s="22"/>
      <c r="G13" s="3">
        <f t="shared" si="0"/>
        <v>0</v>
      </c>
      <c r="H13" s="47">
        <f t="shared" si="1"/>
        <v>0</v>
      </c>
      <c r="I13" s="3">
        <f t="shared" si="2"/>
        <v>0</v>
      </c>
      <c r="J13" s="3">
        <v>0</v>
      </c>
      <c r="K13" s="3">
        <v>0</v>
      </c>
      <c r="L13" s="3">
        <v>0</v>
      </c>
      <c r="M13" s="3">
        <f>(G12+G13+G14)-(D12)+(J12)</f>
        <v>-11</v>
      </c>
      <c r="N13" s="579"/>
      <c r="O13" s="742">
        <f>SUMIFS([1]مرداد!$AF$2:$AF$805,[1]مرداد!$O$2:$O$805,7202,[1]مرداد!$D$2:$D$805,F13,[1]مرداد!$AC$2:$AC$805,$O$3)</f>
        <v>0</v>
      </c>
      <c r="P13" s="889">
        <f>SUMIFS([1]شهریور!$AF$2:$AF$805,[1]شهریور!$O$2:$O$805,7202,[1]شهریور!$D$2:$D$805,F13,[1]شهریور!$AC$2:$AC$805,$P$3)</f>
        <v>0</v>
      </c>
      <c r="Q13" s="575">
        <f>SUMIFS([1]مرداد!$AF$2:$AF$805,[1]مرداد!$O$2:$O$805,7202,[1]مرداد!$D$2:$D$805,$F$13,[1]مرداد!$AC$2:$AC$805,Q3)</f>
        <v>0</v>
      </c>
      <c r="R13" s="575">
        <f>SUMIFS([1]مرداد!$AF$2:$AF$805,[1]مرداد!$O$2:$O$805,7202,[1]مرداد!$D$2:$D$805,$F$13,[1]مرداد!$AC$2:$AC$805,R3)</f>
        <v>0</v>
      </c>
      <c r="S13" s="575">
        <f>SUMIFS([1]مرداد!$AF$2:$AF$805,[1]مرداد!$O$2:$O$805,7202,[1]مرداد!$D$2:$D$805,$F$13,[1]مرداد!$AC$2:$AC$805,S3)</f>
        <v>0</v>
      </c>
      <c r="T13" s="889">
        <f>SUMIFS([1]مرداد!$AF$2:$AF$805,[1]مرداد!$O$2:$O$805,7202,[1]مرداد!$D$2:$D$805,$F$13,[1]مرداد!$AC$2:$AC$805,T3)</f>
        <v>0</v>
      </c>
      <c r="U13" s="581">
        <f>SUMIFS([1]مرداد!$AF$2:$AF$805,[1]مرداد!$O$2:$O$805,7202,[1]مرداد!$D$2:$D$805,$F$13,[1]مرداد!$AC$2:$AC$805,U3)</f>
        <v>0</v>
      </c>
      <c r="V13" s="583">
        <f>SUMIFS([1]مرداد!$AH$2:$AH$805,[1]مرداد!$O$2:$O$805,7202,[1]مرداد!$D$2:$D$805,$F$13,[1]مرداد!$AC$2:$AC$805,V3)</f>
        <v>0</v>
      </c>
      <c r="W13" s="889">
        <f>SUMIFS([1]مرداد!$AH$2:$AH$805,[1]مرداد!$O$2:$O$805,7202,[1]مرداد!$D$2:$D$805,$F$13,[1]مرداد!$AC$2:$AC$805,W3)</f>
        <v>0</v>
      </c>
      <c r="X13" s="575">
        <f>SUMIFS([1]مرداد!$AH$2:$AH$805,[1]مرداد!$O$2:$O$805,7202,[1]مرداد!$D$2:$D$805,$F$13,[1]مرداد!$AC$2:$AC$805,X3)</f>
        <v>0</v>
      </c>
      <c r="Y13" s="575">
        <f>SUMIFS([1]مرداد!$AH$2:$AH$805,[1]مرداد!$O$2:$O$805,7202,[1]مرداد!$D$2:$D$805,$F$13,[1]مرداد!$AC$2:$AC$805,Y3)</f>
        <v>0</v>
      </c>
      <c r="Z13" s="575">
        <f>SUMIFS([1]مرداد!$AH$2:$AH$805,[1]مرداد!$O$2:$O$805,7202,[1]مرداد!$D$2:$D$805,$F$13,[1]مرداد!$AC$2:$AC$805,Z3)</f>
        <v>0</v>
      </c>
      <c r="AA13" s="889">
        <f>SUMIFS([1]مرداد!$AH$2:$AH$805,[1]مرداد!$O$2:$O$805,7202,[1]مرداد!$D$2:$D$805,$F$13,[1]مرداد!$AC$2:$AC$805,AA3)</f>
        <v>0</v>
      </c>
      <c r="AB13" s="581">
        <f>SUMIFS([1]مرداد!$AH$2:$AH$805,[1]مرداد!$O$2:$O$805,7202,[1]مرداد!$D$2:$D$805,$F$13,[1]مرداد!$AC$2:$AC$805,AB3)</f>
        <v>0</v>
      </c>
    </row>
    <row r="14" spans="1:28" ht="33.75" customHeight="1" thickBot="1" x14ac:dyDescent="0.3">
      <c r="A14" s="986"/>
      <c r="B14" s="976"/>
      <c r="C14" s="934"/>
      <c r="D14" s="934"/>
      <c r="E14" s="934"/>
      <c r="F14" s="745" t="s">
        <v>191</v>
      </c>
      <c r="G14" s="6">
        <f t="shared" si="0"/>
        <v>0</v>
      </c>
      <c r="H14" s="761">
        <f t="shared" si="1"/>
        <v>0</v>
      </c>
      <c r="I14" s="1">
        <f t="shared" si="2"/>
        <v>0</v>
      </c>
      <c r="J14" s="6">
        <v>0</v>
      </c>
      <c r="K14" s="6">
        <v>0</v>
      </c>
      <c r="L14" s="6">
        <v>0</v>
      </c>
      <c r="M14" s="6"/>
      <c r="N14" s="777"/>
      <c r="O14" s="275">
        <f>SUMIFS([1]شهریور!$AF$2:$AF$805,[1]شهریور!$O$2:$O$805,7202,[1]شهریور!$D$2:$D$805,$F$14,[1]شهریور!$AC$2:$AC$805,O3)</f>
        <v>0</v>
      </c>
      <c r="P14" s="890">
        <f>SUMIFS([1]شهریور!$AF$2:$AF$805,[1]شهریور!$O$2:$O$805,7202,[1]شهریور!$D$2:$D$805,$F$14,[1]شهریور!$AC$2:$AC$805,P3)</f>
        <v>0</v>
      </c>
      <c r="Q14" s="275">
        <f>SUMIFS([1]شهریور!$AF$2:$AF$805,[1]شهریور!$O$2:$O$805,7202,[1]شهریور!$D$2:$D$805,$F$14,[1]شهریور!$AC$2:$AC$805,Q3)</f>
        <v>0</v>
      </c>
      <c r="R14" s="275">
        <f>SUMIFS([1]شهریور!$AF$2:$AF$805,[1]شهریور!$O$2:$O$805,7202,[1]شهریور!$D$2:$D$805,$F$14,[1]شهریور!$AC$2:$AC$805,R3)</f>
        <v>0</v>
      </c>
      <c r="S14" s="275">
        <f>SUMIFS([1]شهریور!$AF$2:$AF$805,[1]شهریور!$O$2:$O$805,7202,[1]شهریور!$D$2:$D$805,$F$14,[1]شهریور!$AC$2:$AC$805,S3)</f>
        <v>0</v>
      </c>
      <c r="T14" s="890">
        <f>SUMIFS([1]شهریور!$AF$2:$AF$805,[1]شهریور!$O$2:$O$805,7202,[1]شهریور!$D$2:$D$805,$F$14,[1]شهریور!$AC$2:$AC$805,T3)</f>
        <v>0</v>
      </c>
      <c r="U14" s="121">
        <f>SUMIFS([1]شهریور!$AF$2:$AF$805,[1]شهریور!$O$2:$O$805,7202,[1]شهریور!$D$2:$D$805,$F$14,[1]شهریور!$AC$2:$AC$805,U3)</f>
        <v>0</v>
      </c>
      <c r="V14" s="299">
        <f>SUMIFS([1]مرداد!$AH$2:$AH$805,[1]مرداد!$O$2:$O$805,7202,[1]مرداد!$D$2:$D$805,$F$14,[1]مرداد!$AC$2:$AC$805,V3)</f>
        <v>0</v>
      </c>
      <c r="W14" s="890">
        <f>SUMIFS([1]مرداد!$AH$2:$AH$805,[1]مرداد!$O$2:$O$805,7202,[1]مرداد!$D$2:$D$805,$F$14,[1]مرداد!$AC$2:$AC$805,W3)</f>
        <v>0</v>
      </c>
      <c r="X14" s="275">
        <f>SUMIFS([1]مرداد!$AH$2:$AH$805,[1]مرداد!$O$2:$O$805,7202,[1]مرداد!$D$2:$D$805,$F$14,[1]مرداد!$AC$2:$AC$805,X3)</f>
        <v>0</v>
      </c>
      <c r="Y14" s="275">
        <f>SUMIFS([1]مرداد!$AH$2:$AH$805,[1]مرداد!$O$2:$O$805,7202,[1]مرداد!$D$2:$D$805,$F$14,[1]مرداد!$AC$2:$AC$805,Y3)</f>
        <v>0</v>
      </c>
      <c r="Z14" s="275">
        <f>SUMIFS([1]مرداد!$AH$2:$AH$805,[1]مرداد!$O$2:$O$805,7202,[1]مرداد!$D$2:$D$805,$F$14,[1]مرداد!$AC$2:$AC$805,Z3)</f>
        <v>0</v>
      </c>
      <c r="AA14" s="890">
        <f>SUMIFS([1]مرداد!$AH$2:$AH$805,[1]مرداد!$O$2:$O$805,7202,[1]مرداد!$D$2:$D$805,$F$14,[1]مرداد!$AC$2:$AC$805,AA3)</f>
        <v>0</v>
      </c>
      <c r="AB14" s="121">
        <f>SUMIFS([1]مرداد!$AH$2:$AH$805,[1]مرداد!$O$2:$O$805,7202,[1]مرداد!$D$2:$D$805,$F$14,[1]مرداد!$AC$2:$AC$805,AB3)</f>
        <v>0</v>
      </c>
    </row>
    <row r="15" spans="1:28" ht="33.75" customHeight="1" x14ac:dyDescent="0.25">
      <c r="A15" s="985">
        <v>6</v>
      </c>
      <c r="B15" s="974" t="s">
        <v>18</v>
      </c>
      <c r="C15" s="932">
        <v>7203</v>
      </c>
      <c r="D15" s="932">
        <v>55</v>
      </c>
      <c r="E15" s="932" t="s">
        <v>15</v>
      </c>
      <c r="F15" s="20" t="s">
        <v>191</v>
      </c>
      <c r="G15" s="846">
        <f t="shared" si="0"/>
        <v>11</v>
      </c>
      <c r="H15" s="46">
        <f t="shared" si="1"/>
        <v>0</v>
      </c>
      <c r="I15" s="846">
        <f t="shared" si="2"/>
        <v>0</v>
      </c>
      <c r="J15" s="846">
        <v>0</v>
      </c>
      <c r="K15" s="846">
        <v>0</v>
      </c>
      <c r="L15" s="846">
        <v>0</v>
      </c>
      <c r="M15" s="846"/>
      <c r="N15" s="756"/>
      <c r="O15" s="356">
        <f>SUMIFS([1]شهریور!$AF$2:$AF$805,[1]شهریور!$O$2:$O$805,7203,[1]شهریور!$D$2:$D$805,F15,[1]شهریور!$AC$2:$AC$805,$O$3)</f>
        <v>0</v>
      </c>
      <c r="P15" s="395">
        <f>SUMIFS([1]شهریور!$AF$2:$AF$805,[1]شهریور!$O$2:$O$805,7203,[1]شهریور!$D$2:$D$805,$F$15,[1]شهریور!$AC$2:$AC$805,P3)</f>
        <v>0</v>
      </c>
      <c r="Q15" s="356">
        <f>SUMIFS([1]شهریور!$AF$2:$AF$805,[1]شهریور!$O$2:$O$805,7203,[1]شهریور!$D$2:$D$805,$F$15,[1]شهریور!$AC$2:$AC$805,Q3)</f>
        <v>11</v>
      </c>
      <c r="R15" s="356">
        <f>SUMIFS([1]شهریور!$AF$2:$AF$805,[1]شهریور!$O$2:$O$805,7203,[1]شهریور!$D$2:$D$805,$F$15,[1]شهریور!$AC$2:$AC$805,R3)</f>
        <v>0</v>
      </c>
      <c r="S15" s="356">
        <f>SUMIFS([1]شهریور!$AF$2:$AF$805,[1]شهریور!$O$2:$O$805,7203,[1]شهریور!$D$2:$D$805,$F$15,[1]شهریور!$AC$2:$AC$805,S3)</f>
        <v>0</v>
      </c>
      <c r="T15" s="395">
        <f>SUMIFS([1]شهریور!$AF$2:$AF$805,[1]شهریور!$O$2:$O$805,7203,[1]شهریور!$D$2:$D$805,$F$15,[1]شهریور!$AC$2:$AC$805,T3)</f>
        <v>0</v>
      </c>
      <c r="U15" s="395">
        <f>SUMIFS([1]شهریور!$AF$2:$AF$805,[1]شهریور!$O$2:$O$805,7203,[1]شهریور!$D$2:$D$805,$F$15,[1]شهریور!$AC$2:$AC$805,U3)</f>
        <v>0</v>
      </c>
      <c r="V15" s="165">
        <f>SUMIFS([1]مرداد!$AH$2:$AH$805,[1]مرداد!$O$2:$O$805,7203,[1]مرداد!$D$2:$D$805,$F$15,[1]مرداد!$AC$2:$AC$805,V3)</f>
        <v>0</v>
      </c>
      <c r="W15" s="393">
        <f>SUMIFS([1]مرداد!$AH$2:$AH$805,[1]مرداد!$O$2:$O$805,7203,[1]مرداد!$D$2:$D$805,$F$15,[1]مرداد!$AC$2:$AC$805,W3)</f>
        <v>0</v>
      </c>
      <c r="X15" s="292">
        <f>SUMIFS([1]مرداد!$AH$2:$AH$805,[1]مرداد!$O$2:$O$805,7203,[1]مرداد!$D$2:$D$805,$F$15,[1]مرداد!$AC$2:$AC$805,X3)</f>
        <v>0</v>
      </c>
      <c r="Y15" s="292">
        <f>SUMIFS([1]مرداد!$AH$2:$AH$805,[1]مرداد!$O$2:$O$805,7203,[1]مرداد!$D$2:$D$805,$F$15,[1]مرداد!$AC$2:$AC$805,Y3)</f>
        <v>0</v>
      </c>
      <c r="Z15" s="292">
        <f>SUMIFS([1]مرداد!$AH$2:$AH$805,[1]مرداد!$O$2:$O$805,7203,[1]مرداد!$D$2:$D$805,$F$15,[1]مرداد!$AC$2:$AC$805,Z3)</f>
        <v>0</v>
      </c>
      <c r="AA15" s="393">
        <f>SUMIFS([1]مرداد!$AH$2:$AH$805,[1]مرداد!$O$2:$O$805,7203,[1]مرداد!$D$2:$D$805,$F$15,[1]مرداد!$AC$2:$AC$805,AA3)</f>
        <v>0</v>
      </c>
      <c r="AB15" s="454">
        <f>SUMIFS([1]مرداد!$AH$2:$AH$805,[1]مرداد!$O$2:$O$805,7203,[1]مرداد!$D$2:$D$805,$F$15,[1]مرداد!$AC$2:$AC$805,AB3)</f>
        <v>0</v>
      </c>
    </row>
    <row r="16" spans="1:28" ht="33.75" customHeight="1" thickBot="1" x14ac:dyDescent="0.3">
      <c r="A16" s="987"/>
      <c r="B16" s="976"/>
      <c r="C16" s="934"/>
      <c r="D16" s="934"/>
      <c r="E16" s="934"/>
      <c r="F16" s="745" t="s">
        <v>230</v>
      </c>
      <c r="G16" s="6">
        <f t="shared" si="0"/>
        <v>44</v>
      </c>
      <c r="H16" s="761">
        <f t="shared" si="1"/>
        <v>0</v>
      </c>
      <c r="I16" s="1">
        <f t="shared" si="2"/>
        <v>0</v>
      </c>
      <c r="J16" s="6">
        <v>0</v>
      </c>
      <c r="K16" s="6">
        <v>0</v>
      </c>
      <c r="L16" s="6">
        <v>0</v>
      </c>
      <c r="M16" s="6">
        <f>(G16+H16+I16+J16+K16)-D15</f>
        <v>-11</v>
      </c>
      <c r="N16" s="844"/>
      <c r="O16" s="356">
        <f>SUMIFS([1]شهریور!$AF$2:$AF$805,[1]شهریور!$O$2:$O$805,7203,[1]شهریور!$D$2:$D$805,$F$16,[1]شهریور!$AC$2:$AC$805,O3)</f>
        <v>22</v>
      </c>
      <c r="P16" s="395">
        <f>SUMIFS([1]شهریور!$AF$2:$AF$805,[1]شهریور!$O$2:$O$805,7203,[1]شهریور!$D$2:$D$805,$F$16,[1]شهریور!$AC$2:$AC$805,P3)</f>
        <v>0</v>
      </c>
      <c r="Q16" s="356">
        <f>SUMIFS([1]شهریور!$AF$2:$AF$805,[1]شهریور!$O$2:$O$805,7203,[1]شهریور!$D$2:$D$805,$F$16,[1]شهریور!$AC$2:$AC$805,Q3)</f>
        <v>0</v>
      </c>
      <c r="R16" s="356">
        <f>SUMIFS([1]شهریور!$AF$2:$AF$805,[1]شهریور!$O$2:$O$805,7203,[1]شهریور!$D$2:$D$805,$F$16,[1]شهریور!$AC$2:$AC$805,R3)</f>
        <v>11</v>
      </c>
      <c r="S16" s="356">
        <f>SUMIFS([1]شهریور!$AF$2:$AF$805,[1]شهریور!$O$2:$O$805,7203,[1]شهریور!$D$2:$D$805,$F$16,[1]شهریور!$AC$2:$AC$805,S3)</f>
        <v>11</v>
      </c>
      <c r="T16" s="395">
        <f>SUMIFS([1]شهریور!$AF$2:$AF$805,[1]شهریور!$O$2:$O$805,7203,[1]شهریور!$D$2:$D$805,$F$16,[1]شهریور!$AC$2:$AC$805,T3)</f>
        <v>0</v>
      </c>
      <c r="U16" s="395">
        <f>SUMIFS([1]شهریور!$AF$2:$AF$805,[1]شهریور!$O$2:$O$805,7203,[1]شهریور!$D$2:$D$805,$F$16,[1]شهریور!$AC$2:$AC$805,U3)</f>
        <v>0</v>
      </c>
      <c r="V16" s="184">
        <f>SUMIFS([1]مرداد!$AH$2:$AH$805,[1]مرداد!$O$2:$O$805,7203,[1]مرداد!$D$2:$D$805,$F$16,[1]مرداد!$AC$2:$AC$805,V3)</f>
        <v>0</v>
      </c>
      <c r="W16" s="578">
        <f>SUMIFS([1]مرداد!$AH$2:$AH$805,[1]مرداد!$O$2:$O$805,7203,[1]مرداد!$D$2:$D$805,$F$16,[1]مرداد!$AC$2:$AC$805,W3)</f>
        <v>0</v>
      </c>
      <c r="X16" s="577">
        <f>SUMIFS([1]مرداد!$AH$2:$AH$805,[1]مرداد!$O$2:$O$805,7203,[1]مرداد!$D$2:$D$805,$F$16,[1]مرداد!$AC$2:$AC$805,X3)</f>
        <v>0</v>
      </c>
      <c r="Y16" s="577">
        <f>SUMIFS([1]مرداد!$AH$2:$AH$805,[1]مرداد!$O$2:$O$805,7203,[1]مرداد!$D$2:$D$805,$F$16,[1]مرداد!$AC$2:$AC$805,Y3)</f>
        <v>0</v>
      </c>
      <c r="Z16" s="577">
        <f>SUMIFS([1]مرداد!$AH$2:$AH$805,[1]مرداد!$O$2:$O$805,7203,[1]مرداد!$D$2:$D$805,$F$16,[1]مرداد!$AC$2:$AC$805,Z3)</f>
        <v>0</v>
      </c>
      <c r="AA16" s="578">
        <f>SUMIFS([1]مرداد!$AH$2:$AH$805,[1]مرداد!$O$2:$O$805,7203,[1]مرداد!$D$2:$D$805,$F$16,[1]مرداد!$AC$2:$AC$805,AA3)</f>
        <v>0</v>
      </c>
      <c r="AB16" s="907">
        <f>SUMIFS([1]مرداد!$AH$2:$AH$805,[1]مرداد!$O$2:$O$805,7203,[1]مرداد!$D$2:$D$805,$F$16,[1]مرداد!$AC$2:$AC$805,AB3)</f>
        <v>0</v>
      </c>
    </row>
    <row r="17" spans="1:28" ht="33.75" customHeight="1" thickBot="1" x14ac:dyDescent="0.3">
      <c r="A17" s="840">
        <v>7</v>
      </c>
      <c r="B17" s="12" t="s">
        <v>18</v>
      </c>
      <c r="C17" s="13">
        <v>7204</v>
      </c>
      <c r="D17" s="13">
        <v>55</v>
      </c>
      <c r="E17" s="13" t="s">
        <v>15</v>
      </c>
      <c r="F17" s="16" t="s">
        <v>144</v>
      </c>
      <c r="G17" s="14">
        <f t="shared" si="0"/>
        <v>44</v>
      </c>
      <c r="H17" s="48">
        <f t="shared" si="1"/>
        <v>0</v>
      </c>
      <c r="I17" s="846">
        <f t="shared" si="2"/>
        <v>0</v>
      </c>
      <c r="J17" s="14">
        <v>0</v>
      </c>
      <c r="K17" s="14">
        <v>0</v>
      </c>
      <c r="L17" s="14">
        <v>0</v>
      </c>
      <c r="M17" s="14">
        <f>SUM(G17:J17)-62</f>
        <v>-18</v>
      </c>
      <c r="N17" s="61" t="str">
        <f>IF(I17&gt;0,"②","")</f>
        <v/>
      </c>
      <c r="O17" s="295">
        <f>SUMIFS([1]شهریور!$AF$2:$AF$805,[1]شهریور!$O$2:$O$805,7204,[1]شهریور!$D$2:$D$805,$F$17,[1]شهریور!$AC$2:$AC$805,O3)</f>
        <v>11</v>
      </c>
      <c r="P17" s="456">
        <f>SUMIFS([1]شهریور!$AF$2:$AF$805,[1]شهریور!$O$2:$O$805,7204,[1]شهریور!$D$2:$D$805,$F$17,[1]شهریور!$AC$2:$AC$805,P3)</f>
        <v>0</v>
      </c>
      <c r="Q17" s="295">
        <f>SUMIFS([1]شهریور!$AF$2:$AF$805,[1]شهریور!$O$2:$O$805,7204,[1]شهریور!$D$2:$D$805,$F$17,[1]شهریور!$AC$2:$AC$805,Q3)</f>
        <v>11</v>
      </c>
      <c r="R17" s="295">
        <f>SUMIFS([1]شهریور!$AF$2:$AF$805,[1]شهریور!$O$2:$O$805,7204,[1]شهریور!$D$2:$D$805,$F$17,[1]شهریور!$AC$2:$AC$805,R3)</f>
        <v>11</v>
      </c>
      <c r="S17" s="295">
        <f>SUMIFS([1]شهریور!$AF$2:$AF$805,[1]شهریور!$O$2:$O$805,7204,[1]شهریور!$D$2:$D$805,$F$17,[1]شهریور!$AC$2:$AC$805,S3)</f>
        <v>11</v>
      </c>
      <c r="T17" s="456">
        <f>SUMIFS([1]شهریور!$AF$2:$AF$805,[1]شهریور!$O$2:$O$805,7204,[1]شهریور!$D$2:$D$805,$F$17,[1]شهریور!$AC$2:$AC$805,T3)</f>
        <v>0</v>
      </c>
      <c r="U17" s="456">
        <f>SUMIFS([1]شهریور!$AF$2:$AF$805,[1]شهریور!$O$2:$O$805,7204,[1]شهریور!$D$2:$D$805,$F$17,[1]شهریور!$AC$2:$AC$805,U3)</f>
        <v>0</v>
      </c>
      <c r="V17" s="185">
        <f>SUMIFS([1]شهریور!$AH$2:$AH$805,[1]شهریور!$O$2:$O$805,7204,[1]شهریور!$D$2:$D$805,$F$17,[1]شهریور!$AC$2:$AC$805,V3)</f>
        <v>0</v>
      </c>
      <c r="W17" s="101">
        <f>SUMIFS([1]شهریور!$AH$2:$AH$805,[1]شهریور!$O$2:$O$805,7204,[1]شهریور!$D$2:$D$805,$F$17,[1]شهریور!$AC$2:$AC$805,W3)</f>
        <v>0</v>
      </c>
      <c r="X17" s="185">
        <f>SUMIFS([1]شهریور!$AH$2:$AH$805,[1]شهریور!$O$2:$O$805,7204,[1]شهریور!$D$2:$D$805,$F$17,[1]شهریور!$AC$2:$AC$805,X3)</f>
        <v>0</v>
      </c>
      <c r="Y17" s="185">
        <f>SUMIFS([1]شهریور!$AH$2:$AH$805,[1]شهریور!$O$2:$O$805,7204,[1]شهریور!$D$2:$D$805,$F$17,[1]شهریور!$AC$2:$AC$805,Y3)</f>
        <v>0</v>
      </c>
      <c r="Z17" s="185">
        <f>SUMIFS([1]شهریور!$AH$2:$AH$805,[1]شهریور!$O$2:$O$805,7204,[1]شهریور!$D$2:$D$805,$F$17,[1]شهریور!$AC$2:$AC$805,Z3)</f>
        <v>0</v>
      </c>
      <c r="AA17" s="101">
        <f>SUMIFS([1]شهریور!$AH$2:$AH$805,[1]شهریور!$O$2:$O$805,7204,[1]شهریور!$D$2:$D$805,$F$17,[1]شهریور!$AC$2:$AC$805,AA3)</f>
        <v>0</v>
      </c>
      <c r="AB17" s="101">
        <f>SUMIFS([1]شهریور!$AH$2:$AH$805,[1]شهریور!$O$2:$O$805,7204,[1]شهریور!$D$2:$D$805,$F$17,[1]شهریور!$AC$2:$AC$805,AB3)</f>
        <v>0</v>
      </c>
    </row>
    <row r="18" spans="1:28" ht="33.75" customHeight="1" thickBot="1" x14ac:dyDescent="0.3">
      <c r="A18" s="45">
        <v>8</v>
      </c>
      <c r="B18" s="12" t="s">
        <v>21</v>
      </c>
      <c r="C18" s="13">
        <v>7301</v>
      </c>
      <c r="D18" s="13">
        <v>55</v>
      </c>
      <c r="E18" s="13" t="s">
        <v>15</v>
      </c>
      <c r="F18" s="19" t="s">
        <v>22</v>
      </c>
      <c r="G18" s="14">
        <f t="shared" si="0"/>
        <v>39.416666666666664</v>
      </c>
      <c r="H18" s="48">
        <f t="shared" si="1"/>
        <v>0</v>
      </c>
      <c r="I18" s="846">
        <f t="shared" si="2"/>
        <v>3.5833333333333335</v>
      </c>
      <c r="J18" s="14">
        <v>0</v>
      </c>
      <c r="K18" s="14">
        <v>0</v>
      </c>
      <c r="L18" s="14">
        <v>0</v>
      </c>
      <c r="M18" s="14">
        <f>SUM(G18:L18)-D18</f>
        <v>-12</v>
      </c>
      <c r="N18" s="15" t="str">
        <f>IF(I18&gt;0,"②","")</f>
        <v>②</v>
      </c>
      <c r="O18" s="177">
        <f>SUMIFS([1]شهریور!$AF$2:$AF$805,[1]شهریور!$O$2:$O$805,7301,[1]شهریور!$D$2:$D$805,$F$18,[1]شهریور!$AC$2:$AC$805,O3)</f>
        <v>11</v>
      </c>
      <c r="P18" s="99">
        <f>SUMIFS([1]شهریور!$AF$2:$AF$805,[1]شهریور!$O$2:$O$805,7301,[1]شهریور!$D$2:$D$805,$F$18,[1]شهریور!$AC$2:$AC$805,P3)</f>
        <v>0</v>
      </c>
      <c r="Q18" s="177">
        <f>SUMIFS([1]شهریور!$AF$2:$AF$805,[1]شهریور!$O$2:$O$805,7301,[1]شهریور!$D$2:$D$805,$F$18,[1]شهریور!$AC$2:$AC$805,Q3)</f>
        <v>11</v>
      </c>
      <c r="R18" s="177">
        <f>SUMIFS([1]شهریور!$AF$2:$AF$805,[1]شهریور!$O$2:$O$805,7301,[1]شهریور!$D$2:$D$805,$F$18,[1]شهریور!$AC$2:$AC$805,R3)</f>
        <v>7.4166666666666661</v>
      </c>
      <c r="S18" s="177">
        <f>SUMIFS([1]شهریور!$AF$2:$AF$805,[1]شهریور!$O$2:$O$805,7301,[1]شهریور!$D$2:$D$805,$F$18,[1]شهریور!$AC$2:$AC$805,S3)</f>
        <v>10</v>
      </c>
      <c r="T18" s="99">
        <f>SUMIFS([1]شهریور!$AF$2:$AF$805,[1]شهریور!$O$2:$O$805,7301,[1]شهریور!$D$2:$D$805,$F$18,[1]شهریور!$AC$2:$AC$805,T3)</f>
        <v>0</v>
      </c>
      <c r="U18" s="99">
        <f>SUMIFS([1]شهریور!$AF$2:$AF$805,[1]شهریور!$O$2:$O$805,7301,[1]شهریور!$D$2:$D$805,$F$18,[1]شهریور!$AC$2:$AC$805,U3)</f>
        <v>0</v>
      </c>
      <c r="V18" s="176">
        <f>SUMIFS([1]مرداد!$AH$2:$AH$805,[1]مرداد!$O$2:$O$805,7301,[1]مرداد!$D$2:$D$805,$F$18,[1]مرداد!$AC$2:$AC$805,V3)</f>
        <v>0</v>
      </c>
      <c r="W18" s="99">
        <f>SUMIFS([1]شهریور!$AH$2:$AH$805,[1]شهریور!$O$2:$O$805,7301,[1]شهریور!$D$2:$D$805,$F$18,[1]شهریور!$AC$2:$AC$805,W3)</f>
        <v>0</v>
      </c>
      <c r="X18" s="177">
        <f>SUMIFS([1]شهریور!$AH$2:$AH$805,[1]شهریور!$O$2:$O$805,7301,[1]شهریور!$D$2:$D$805,$F$18,[1]شهریور!$AC$2:$AC$805,X3)</f>
        <v>0</v>
      </c>
      <c r="Y18" s="177">
        <f>SUMIFS([1]شهریور!$AH$2:$AH$805,[1]شهریور!$O$2:$O$805,7301,[1]شهریور!$D$2:$D$805,$F$18,[1]شهریور!$AC$2:$AC$805,Y3)</f>
        <v>3.5833333333333335</v>
      </c>
      <c r="Z18" s="177">
        <f>SUMIFS([1]شهریور!$AH$2:$AH$805,[1]شهریور!$O$2:$O$805,7301,[1]شهریور!$D$2:$D$805,$F$18,[1]شهریور!$AC$2:$AC$805,Z3)</f>
        <v>0</v>
      </c>
      <c r="AA18" s="99">
        <f>SUMIFS([1]شهریور!$AH$2:$AH$805,[1]شهریور!$O$2:$O$805,7301,[1]شهریور!$D$2:$D$805,$F$18,[1]شهریور!$AC$2:$AC$805,AA3)</f>
        <v>0</v>
      </c>
      <c r="AB18" s="99">
        <f>SUMIFS([1]شهریور!$AH$2:$AH$805,[1]شهریور!$O$2:$O$805,7301,[1]شهریور!$D$2:$D$805,$F$18,[1]شهریور!$AC$2:$AC$805,AB3)</f>
        <v>0</v>
      </c>
    </row>
    <row r="19" spans="1:28" ht="33.75" customHeight="1" x14ac:dyDescent="0.25">
      <c r="A19" s="838"/>
      <c r="B19" s="836"/>
      <c r="C19" s="847"/>
      <c r="D19" s="815"/>
      <c r="E19" s="933" t="s">
        <v>15</v>
      </c>
      <c r="F19" s="27"/>
      <c r="G19" s="1">
        <f t="shared" si="0"/>
        <v>0</v>
      </c>
      <c r="H19" s="49">
        <f t="shared" si="1"/>
        <v>0</v>
      </c>
      <c r="I19" s="846">
        <f t="shared" si="2"/>
        <v>0</v>
      </c>
      <c r="J19" s="1">
        <v>0</v>
      </c>
      <c r="K19" s="1">
        <v>0</v>
      </c>
      <c r="L19" s="1">
        <v>0</v>
      </c>
      <c r="M19" s="4"/>
      <c r="N19" s="928" t="str">
        <f>IF((SUM(I19:I21))&gt;0,"②","")</f>
        <v/>
      </c>
      <c r="O19" s="356">
        <f>SUMIFS([1]تیر!$AF$2:$AF$805,[1]تیر!$O$2:$O$805,7302,[1]تیر!$D$2:$D$805,$F$19,[1]تیر!$AC$2:$AC$805,O3)</f>
        <v>0</v>
      </c>
      <c r="P19" s="537">
        <f>SUMIFS([1]شهریور!$AF$2:$AF$805,[1]شهریور!$O$2:$O$805,7302,[1]شهریور!$D$2:$D$805,$F$19,[1]شهریور!$AC$2:$AC$805,P3)</f>
        <v>0</v>
      </c>
      <c r="Q19" s="174">
        <f>SUMIFS([1]شهریور!$AF$2:$AF$805,[1]شهریور!$O$2:$O$805,7302,[1]شهریور!$D$2:$D$805,$F$19,[1]شهریور!$AC$2:$AC$805,Q3)</f>
        <v>0</v>
      </c>
      <c r="R19" s="174">
        <f>SUMIFS([1]شهریور!$AF$2:$AF$805,[1]شهریور!$O$2:$O$805,7302,[1]شهریور!$D$2:$D$805,$F$19,[1]شهریور!$AC$2:$AC$805,R3)</f>
        <v>0</v>
      </c>
      <c r="S19" s="174">
        <f>SUMIFS([1]شهریور!$AF$2:$AF$805,[1]شهریور!$O$2:$O$805,7302,[1]شهریور!$D$2:$D$805,$F$19,[1]شهریور!$AC$2:$AC$805,S3)</f>
        <v>0</v>
      </c>
      <c r="T19" s="537">
        <f>SUMIFS([1]شهریور!$AF$2:$AF$805,[1]شهریور!$O$2:$O$805,7302,[1]شهریور!$D$2:$D$805,$F$19,[1]شهریور!$AC$2:$AC$805,T3)</f>
        <v>0</v>
      </c>
      <c r="U19" s="537">
        <f>SUMIFS([1]شهریور!$AF$2:$AF$805,[1]شهریور!$O$2:$O$805,7302,[1]شهریور!$D$2:$D$805,$F$19,[1]شهریور!$AC$2:$AC$805,U3)</f>
        <v>0</v>
      </c>
      <c r="V19" s="165">
        <f>SUMIFS([1]مرداد!$AH$2:$AH$805,[1]مرداد!$O$2:$O$805,7302,[1]مرداد!$D$2:$D$805,$F$19,[1]مرداد!$AC$2:$AC$805,V3)</f>
        <v>0</v>
      </c>
      <c r="W19" s="393">
        <f>SUMIFS([1]مرداد!$AH$2:$AH$805,[1]مرداد!$O$2:$O$805,7302,[1]مرداد!$D$2:$D$805,$F$19,[1]مرداد!$AC$2:$AC$805,W3)</f>
        <v>0</v>
      </c>
      <c r="X19" s="292">
        <f>SUMIFS([1]مرداد!$AH$2:$AH$805,[1]مرداد!$O$2:$O$805,7302,[1]مرداد!$D$2:$D$805,$F$19,[1]مرداد!$AC$2:$AC$805,X3)</f>
        <v>0</v>
      </c>
      <c r="Y19" s="292">
        <f>SUMIFS([1]مرداد!$AH$2:$AH$805,[1]مرداد!$O$2:$O$805,7302,[1]مرداد!$D$2:$D$805,$F$19,[1]مرداد!$AC$2:$AC$805,Y3)</f>
        <v>0</v>
      </c>
      <c r="Z19" s="292">
        <f>SUMIFS([1]مرداد!$AH$2:$AH$805,[1]مرداد!$O$2:$O$805,7302,[1]مرداد!$D$2:$D$805,$F$19,[1]مرداد!$AC$2:$AC$805,Z3)</f>
        <v>0</v>
      </c>
      <c r="AA19" s="393">
        <f>SUMIFS([1]مرداد!$AH$2:$AH$805,[1]مرداد!$O$2:$O$805,7302,[1]مرداد!$D$2:$D$805,$F$19,[1]مرداد!$AC$2:$AC$805,AA3)</f>
        <v>0</v>
      </c>
      <c r="AB19" s="454">
        <f>SUMIFS([1]مرداد!$AH$2:$AH$805,[1]مرداد!$O$2:$O$805,7302,[1]مرداد!$D$2:$D$805,$F$19,[1]مرداد!$AC$2:$AC$805,AB3)</f>
        <v>0</v>
      </c>
    </row>
    <row r="20" spans="1:28" ht="33.75" customHeight="1" x14ac:dyDescent="0.25">
      <c r="A20" s="839">
        <v>9</v>
      </c>
      <c r="B20" s="829" t="s">
        <v>21</v>
      </c>
      <c r="C20" s="588">
        <v>7302</v>
      </c>
      <c r="D20" s="815">
        <v>55</v>
      </c>
      <c r="E20" s="1003"/>
      <c r="F20" s="27" t="s">
        <v>17</v>
      </c>
      <c r="G20" s="3">
        <f t="shared" si="0"/>
        <v>22</v>
      </c>
      <c r="H20" s="47">
        <f t="shared" si="1"/>
        <v>0</v>
      </c>
      <c r="I20" s="3">
        <f t="shared" si="2"/>
        <v>0</v>
      </c>
      <c r="J20" s="3">
        <v>0</v>
      </c>
      <c r="K20" s="3">
        <v>0</v>
      </c>
      <c r="L20" s="3">
        <v>0</v>
      </c>
      <c r="M20" s="4">
        <f>SUM(G19:L21)-D20</f>
        <v>-33</v>
      </c>
      <c r="N20" s="929"/>
      <c r="O20" s="293">
        <f>SUMIFS([1]شهریور!$AF$2:$AF$805,[1]شهریور!$O$2:$O$805,7302,[1]شهریور!$D$2:$D$805,$F$20,[1]شهریور!$AC$2:$AC$805,O3)</f>
        <v>0</v>
      </c>
      <c r="P20" s="891">
        <f>SUMIFS([1]شهریور!$AF$2:$AF$805,[1]شهریور!$O$2:$O$805,7302,[1]شهریور!$D$2:$D$805,$F$20,[1]شهریور!$AC$2:$AC$805,P3)</f>
        <v>0</v>
      </c>
      <c r="Q20" s="293">
        <f>SUMIFS([1]شهریور!$AF$2:$AF$805,[1]شهریور!$O$2:$O$805,7302,[1]شهریور!$D$2:$D$805,$F$20,[1]شهریور!$AC$2:$AC$805,Q3)</f>
        <v>0</v>
      </c>
      <c r="R20" s="293">
        <f>SUMIFS([1]شهریور!$AF$2:$AF$805,[1]شهریور!$O$2:$O$805,7302,[1]شهریور!$D$2:$D$805,$F$20,[1]شهریور!$AC$2:$AC$805,R3)</f>
        <v>11</v>
      </c>
      <c r="S20" s="293">
        <f>SUMIFS([1]شهریور!$AF$2:$AF$805,[1]شهریور!$O$2:$O$805,7302,[1]شهریور!$D$2:$D$805,$F$20,[1]شهریور!$AC$2:$AC$805,S3)</f>
        <v>11</v>
      </c>
      <c r="T20" s="891">
        <f>SUMIFS([1]شهریور!$AF$2:$AF$805,[1]شهریور!$O$2:$O$805,7302,[1]شهریور!$D$2:$D$805,$F$20,[1]شهریور!$AC$2:$AC$805,T3)</f>
        <v>0</v>
      </c>
      <c r="U20" s="891">
        <f>SUMIFS([1]شهریور!$AF$2:$AF$805,[1]شهریور!$O$2:$O$805,7302,[1]شهریور!$D$2:$D$805,$F$20,[1]شهریور!$AC$2:$AC$805,U3)</f>
        <v>0</v>
      </c>
      <c r="V20" s="166">
        <f>SUMIFS([1]مرداد!$AH$2:$AH$805,[1]مرداد!$O$2:$O$805,7302,[1]مرداد!$D$2:$D$805,$F$20,[1]مرداد!$AC$2:$AC$805,V3)</f>
        <v>0</v>
      </c>
      <c r="W20" s="891">
        <f>SUMIFS([1]مرداد!$AH$2:$AH$805,[1]مرداد!$O$2:$O$805,7302,[1]مرداد!$D$2:$D$805,$F$20,[1]مرداد!$AC$2:$AC$805,W3)</f>
        <v>0</v>
      </c>
      <c r="X20" s="293">
        <f>SUMIFS([1]مرداد!$AH$2:$AH$805,[1]مرداد!$O$2:$O$805,7302,[1]مرداد!$D$2:$D$805,$F$20,[1]مرداد!$AC$2:$AC$805,X3)</f>
        <v>0</v>
      </c>
      <c r="Y20" s="293">
        <f>SUMIFS([1]مرداد!$AH$2:$AH$805,[1]مرداد!$O$2:$O$805,7302,[1]مرداد!$D$2:$D$805,$F$20,[1]مرداد!$AC$2:$AC$805,Y3)</f>
        <v>0</v>
      </c>
      <c r="Z20" s="293">
        <f>SUMIFS([1]مرداد!$AH$2:$AH$805,[1]مرداد!$O$2:$O$805,7302,[1]مرداد!$D$2:$D$805,$F$20,[1]مرداد!$AC$2:$AC$805,Z3)</f>
        <v>0</v>
      </c>
      <c r="AA20" s="891">
        <f>SUMIFS([1]مرداد!$AH$2:$AH$805,[1]مرداد!$O$2:$O$805,7302,[1]مرداد!$D$2:$D$805,$F$20,[1]مرداد!$AC$2:$AC$805,AA3)</f>
        <v>0</v>
      </c>
      <c r="AB20" s="901">
        <f>SUMIFS([1]مرداد!$AH$2:$AH$805,[1]مرداد!$O$2:$O$805,7302,[1]مرداد!$D$2:$D$805,$F$20,[1]مرداد!$AC$2:$AC$805,AB3)</f>
        <v>0</v>
      </c>
    </row>
    <row r="21" spans="1:28" ht="33.75" customHeight="1" thickBot="1" x14ac:dyDescent="0.3">
      <c r="A21" s="840"/>
      <c r="B21" s="836"/>
      <c r="C21" s="847"/>
      <c r="D21" s="815"/>
      <c r="E21" s="933"/>
      <c r="F21" s="24"/>
      <c r="G21" s="4">
        <f t="shared" si="0"/>
        <v>0</v>
      </c>
      <c r="H21" s="765">
        <f t="shared" si="1"/>
        <v>0</v>
      </c>
      <c r="I21" s="1">
        <f t="shared" si="2"/>
        <v>0</v>
      </c>
      <c r="J21" s="25">
        <v>0</v>
      </c>
      <c r="K21" s="4">
        <v>0</v>
      </c>
      <c r="L21" s="4">
        <v>0</v>
      </c>
      <c r="M21" s="4"/>
      <c r="N21" s="929"/>
      <c r="O21" s="352">
        <f>SUMIFS([1]اردیبهشت!$AD$2:$AD$805,[1]اردیبهشت!$N$2:$N$805,$C$20,[1]اردیبهشت!$D$2:$D$805,$F$20,[1]اردیبهشت!$AA$2:$AA$805,O4)</f>
        <v>0</v>
      </c>
      <c r="P21" s="97">
        <f>SUMIFS([1]اردیبهشت!$AD$2:$AD$805,[1]اردیبهشت!$N$2:$N$805,$C$20,[1]اردیبهشت!$D$2:$D$805,$F$20,[1]اردیبهشت!$AA$2:$AA$805,P4)</f>
        <v>0</v>
      </c>
      <c r="Q21" s="175">
        <f>SUMIFS([1]اردیبهشت!$AD$2:$AD$805,[1]اردیبهشت!$N$2:$N$805,$C$20,[1]اردیبهشت!$D$2:$D$805,$F$20,[1]اردیبهشت!$AA$2:$AA$805,Q4)</f>
        <v>0</v>
      </c>
      <c r="R21" s="175">
        <f>SUMIFS([1]اردیبهشت!$AD$2:$AD$805,[1]اردیبهشت!$N$2:$N$805,$C$20,[1]اردیبهشت!$D$2:$D$805,$F$20,[1]اردیبهشت!$AA$2:$AA$805,R4)</f>
        <v>0</v>
      </c>
      <c r="S21" s="175">
        <f>SUMIFS([1]اردیبهشت!$AD$2:$AD$805,[1]اردیبهشت!$N$2:$N$805,$C$20,[1]اردیبهشت!$D$2:$D$805,$F$20,[1]اردیبهشت!$AA$2:$AA$805,S4)</f>
        <v>0</v>
      </c>
      <c r="T21" s="97">
        <f>SUMIFS([1]اردیبهشت!$AD$2:$AD$805,[1]اردیبهشت!$N$2:$N$805,$C$20,[1]اردیبهشت!$D$2:$D$805,$F$20,[1]اردیبهشت!$AA$2:$AA$805,T4)</f>
        <v>0</v>
      </c>
      <c r="U21" s="793">
        <f>SUMIFS([1]خرداد!$AF$2:$AF$700,[1]خرداد!$O$2:$O$700,7101,[1]خرداد!$D$2:$D$700,$F$4,[1]خرداد!$AC$2:$AC$700,U20)</f>
        <v>0</v>
      </c>
      <c r="V21" s="171">
        <f>SUMIFS([1]مرداد!$AH$2:$AH$805,[1]مرداد!$O$2:$O$805,7302,[1]مرداد!$D$2:$D$805,$F$21,[1]مرداد!$AC$2:$AC$805,V3)</f>
        <v>0</v>
      </c>
      <c r="W21" s="904">
        <f>SUMIFS([1]مرداد!$AH$2:$AH$805,[1]مرداد!$O$2:$O$805,7302,[1]مرداد!$D$2:$D$805,$F$21,[1]مرداد!$AC$2:$AC$805,W3)</f>
        <v>0</v>
      </c>
      <c r="X21" s="294">
        <f>SUMIFS([1]مرداد!$AH$2:$AH$805,[1]مرداد!$O$2:$O$805,7302,[1]مرداد!$D$2:$D$805,$F$21,[1]مرداد!$AC$2:$AC$805,X3)</f>
        <v>0</v>
      </c>
      <c r="Y21" s="294">
        <f>SUMIFS([1]مرداد!$AH$2:$AH$805,[1]مرداد!$O$2:$O$805,7302,[1]مرداد!$D$2:$D$805,$F$21,[1]مرداد!$AC$2:$AC$805,Y3)</f>
        <v>0</v>
      </c>
      <c r="Z21" s="294">
        <f>SUMIFS([1]مرداد!$AH$2:$AH$805,[1]مرداد!$O$2:$O$805,7302,[1]مرداد!$D$2:$D$805,$F$21,[1]مرداد!$AC$2:$AC$805,Z3)</f>
        <v>0</v>
      </c>
      <c r="AA21" s="904">
        <f>SUMIFS([1]مرداد!$AH$2:$AH$805,[1]مرداد!$O$2:$O$805,7302,[1]مرداد!$D$2:$D$805,$F$21,[1]مرداد!$AC$2:$AC$805,AA3)</f>
        <v>0</v>
      </c>
      <c r="AB21" s="700">
        <f>SUMIFS([1]مرداد!$AH$2:$AH$805,[1]مرداد!$O$2:$O$805,7302,[1]مرداد!$D$2:$D$805,$F$21,[1]مرداد!$AC$2:$AC$805,AB3)</f>
        <v>0</v>
      </c>
    </row>
    <row r="22" spans="1:28" ht="33.75" customHeight="1" thickBot="1" x14ac:dyDescent="0.3">
      <c r="A22" s="147">
        <v>10</v>
      </c>
      <c r="B22" s="207" t="s">
        <v>21</v>
      </c>
      <c r="C22" s="129">
        <v>7303</v>
      </c>
      <c r="D22" s="129">
        <v>44</v>
      </c>
      <c r="E22" s="129" t="s">
        <v>15</v>
      </c>
      <c r="F22" s="16"/>
      <c r="G22" s="209">
        <f t="shared" si="0"/>
        <v>0</v>
      </c>
      <c r="H22" s="48">
        <f t="shared" si="1"/>
        <v>0</v>
      </c>
      <c r="I22" s="846">
        <f t="shared" si="2"/>
        <v>0</v>
      </c>
      <c r="J22" s="209">
        <v>0</v>
      </c>
      <c r="K22" s="209">
        <v>0</v>
      </c>
      <c r="L22" s="209">
        <v>0</v>
      </c>
      <c r="M22" s="209">
        <f>SUM(G22:L22)-44</f>
        <v>-44</v>
      </c>
      <c r="N22" s="313" t="s">
        <v>40</v>
      </c>
      <c r="O22" s="297">
        <f>SUMIFS([1]مرداد!$AF$2:$AF$805,[1]مرداد!$O$2:$O$805,7303,[1]مرداد!$D$2:$D$805,$F$22,[1]مرداد!$AC$2:$AC$805,O3)</f>
        <v>0</v>
      </c>
      <c r="P22" s="892">
        <f>SUMIFS([1]مرداد!$AF$2:$AF$805,[1]مرداد!$O$2:$O$805,7303,[1]مرداد!$D$2:$D$805,$F$22,[1]مرداد!$AC$2:$AC$805,P3)</f>
        <v>0</v>
      </c>
      <c r="Q22" s="297">
        <f>SUMIFS([1]مرداد!$AF$2:$AF$805,[1]مرداد!$O$2:$O$805,7303,[1]مرداد!$D$2:$D$805,$F$22,[1]مرداد!$AC$2:$AC$805,Q3)</f>
        <v>0</v>
      </c>
      <c r="R22" s="297">
        <f>SUMIFS([1]مرداد!$AF$2:$AF$805,[1]مرداد!$O$2:$O$805,7303,[1]مرداد!$D$2:$D$805,$F$22,[1]مرداد!$AC$2:$AC$805,R3)</f>
        <v>0</v>
      </c>
      <c r="S22" s="297">
        <f>SUMIFS([1]مرداد!$AF$2:$AF$805,[1]مرداد!$O$2:$O$805,7303,[1]مرداد!$D$2:$D$805,$F$22,[1]مرداد!$AC$2:$AC$805,S3)</f>
        <v>0</v>
      </c>
      <c r="T22" s="892">
        <f>SUMIFS([1]مرداد!$AF$2:$AF$805,[1]مرداد!$O$2:$O$805,7303,[1]مرداد!$D$2:$D$805,$F$22,[1]مرداد!$AC$2:$AC$805,T3)</f>
        <v>0</v>
      </c>
      <c r="U22" s="893">
        <f>SUMIFS([1]مرداد!$AF$2:$AF$805,[1]مرداد!$O$2:$O$805,7303,[1]مرداد!$D$2:$D$805,$F$22,[1]مرداد!$AC$2:$AC$805,U3)</f>
        <v>0</v>
      </c>
      <c r="V22" s="181">
        <f>SUMIFS([1]مرداد!$AH$2:$AH$805,[1]مرداد!$O$2:$O$805,7303,[1]مرداد!$D$2:$D$805,$F$22,[1]مرداد!$AC$2:$AC$805,V3)</f>
        <v>0</v>
      </c>
      <c r="W22" s="892">
        <f>SUMIFS([1]مرداد!$AH$2:$AH$805,[1]مرداد!$O$2:$O$805,7303,[1]مرداد!$D$2:$D$805,$F$22,[1]مرداد!$AC$2:$AC$805,W3)</f>
        <v>0</v>
      </c>
      <c r="X22" s="297">
        <f>SUMIFS([1]مرداد!$AH$2:$AH$805,[1]مرداد!$O$2:$O$805,7303,[1]مرداد!$D$2:$D$805,$F$22,[1]مرداد!$AC$2:$AC$805,X3)</f>
        <v>0</v>
      </c>
      <c r="Y22" s="297">
        <f>SUMIFS([1]مرداد!$AH$2:$AH$805,[1]مرداد!$O$2:$O$805,7303,[1]مرداد!$D$2:$D$805,$F$22,[1]مرداد!$AC$2:$AC$805,Y3)</f>
        <v>0</v>
      </c>
      <c r="Z22" s="297">
        <f>SUMIFS([1]مرداد!$AH$2:$AH$805,[1]مرداد!$O$2:$O$805,7303,[1]مرداد!$D$2:$D$805,$F$22,[1]مرداد!$AC$2:$AC$805,Z3)</f>
        <v>0</v>
      </c>
      <c r="AA22" s="892">
        <f>SUMIFS([1]مرداد!$AH$2:$AH$805,[1]مرداد!$O$2:$O$805,7303,[1]مرداد!$D$2:$D$805,$F$22,[1]مرداد!$AC$2:$AC$805,AA3)</f>
        <v>0</v>
      </c>
      <c r="AB22" s="893">
        <f>SUMIFS([1]مرداد!$AH$2:$AH$805,[1]مرداد!$O$2:$O$805,7303,[1]مرداد!$D$2:$D$805,$F$22,[1]مرداد!$AC$2:$AC$805,AB3)</f>
        <v>0</v>
      </c>
    </row>
    <row r="23" spans="1:28" ht="33.75" customHeight="1" x14ac:dyDescent="0.25">
      <c r="A23" s="838"/>
      <c r="B23" s="835"/>
      <c r="C23" s="42"/>
      <c r="D23" s="814"/>
      <c r="E23" s="932" t="s">
        <v>15</v>
      </c>
      <c r="F23" s="574"/>
      <c r="G23" s="846">
        <f t="shared" si="0"/>
        <v>0</v>
      </c>
      <c r="H23" s="46">
        <f t="shared" si="1"/>
        <v>0</v>
      </c>
      <c r="I23" s="846">
        <f t="shared" si="2"/>
        <v>0</v>
      </c>
      <c r="J23" s="846">
        <v>0</v>
      </c>
      <c r="K23" s="846">
        <v>0</v>
      </c>
      <c r="L23" s="846">
        <v>0</v>
      </c>
      <c r="M23" s="21"/>
      <c r="N23" s="1004" t="s">
        <v>180</v>
      </c>
      <c r="O23" s="292">
        <f>SUMIFS([1]مرداد!$AF$2:$AF$805,[1]مرداد!$O$2:$O$805,7401,[1]مرداد!$D$2:$D$805,$F$23,[1]مرداد!$AC$2:$AC$805,O3)</f>
        <v>0</v>
      </c>
      <c r="P23" s="393">
        <f>SUMIFS([1]مرداد!$AF$2:$AF$805,[1]مرداد!$O$2:$O$805,7401,[1]مرداد!$D$2:$D$805,$F$23,[1]مرداد!$AC$2:$AC$805,P3)</f>
        <v>0</v>
      </c>
      <c r="Q23" s="292">
        <f>SUMIFS([1]مرداد!$AF$2:$AF$805,[1]مرداد!$O$2:$O$805,7401,[1]مرداد!$D$2:$D$805,$F$23,[1]مرداد!$AC$2:$AC$805,Q3)</f>
        <v>0</v>
      </c>
      <c r="R23" s="292">
        <f>SUMIFS([1]مرداد!$AF$2:$AF$805,[1]مرداد!$O$2:$O$805,7401,[1]مرداد!$D$2:$D$805,$F$23,[1]مرداد!$AC$2:$AC$805,R3)</f>
        <v>0</v>
      </c>
      <c r="S23" s="292">
        <f>SUMIFS([1]مرداد!$AF$2:$AF$805,[1]مرداد!$O$2:$O$805,7401,[1]مرداد!$D$2:$D$805,$F$23,[1]مرداد!$AC$2:$AC$805,S3)</f>
        <v>0</v>
      </c>
      <c r="T23" s="393">
        <f>SUMIFS([1]مرداد!$AF$2:$AF$805,[1]مرداد!$O$2:$O$805,7401,[1]مرداد!$D$2:$D$805,$F$23,[1]مرداد!$AC$2:$AC$805,T3)</f>
        <v>0</v>
      </c>
      <c r="U23" s="454">
        <f>SUMIFS([1]مرداد!$AF$2:$AF$805,[1]مرداد!$O$2:$O$805,7401,[1]مرداد!$D$2:$D$805,$F$23,[1]مرداد!$AC$2:$AC$805,U3)</f>
        <v>0</v>
      </c>
      <c r="V23" s="165">
        <f>SUMIFS([1]مرداد!$AH$2:$AH$805,[1]مرداد!$O$2:$O$805,7401,[1]مرداد!$D$2:$D$805,$F$23,[1]مرداد!$AC$2:$AC$805,V3)</f>
        <v>0</v>
      </c>
      <c r="W23" s="393">
        <f>SUMIFS([1]مرداد!$AH$2:$AH$805,[1]مرداد!$O$2:$O$805,7401,[1]مرداد!$D$2:$D$805,$F$23,[1]مرداد!$AC$2:$AC$805,W3)</f>
        <v>0</v>
      </c>
      <c r="X23" s="292">
        <f>SUMIFS([1]مرداد!$AH$2:$AH$805,[1]مرداد!$O$2:$O$805,7401,[1]مرداد!$D$2:$D$805,$F$23,[1]مرداد!$AC$2:$AC$805,X3)</f>
        <v>0</v>
      </c>
      <c r="Y23" s="292">
        <f>SUMIFS([1]مرداد!$AH$2:$AH$805,[1]مرداد!$O$2:$O$805,7401,[1]مرداد!$D$2:$D$805,$F$23,[1]مرداد!$AC$2:$AC$805,Y3)</f>
        <v>0</v>
      </c>
      <c r="Z23" s="292">
        <f>SUMIFS([1]مرداد!$AH$2:$AH$805,[1]مرداد!$O$2:$O$805,7401,[1]مرداد!$D$2:$D$805,$F$23,[1]مرداد!$AC$2:$AC$805,Z3)</f>
        <v>0</v>
      </c>
      <c r="AA23" s="393">
        <f>SUMIFS([1]مرداد!$AH$2:$AH$805,[1]مرداد!$O$2:$O$805,7401,[1]مرداد!$D$2:$D$805,$F$23,[1]مرداد!$AC$2:$AC$805,AA3)</f>
        <v>0</v>
      </c>
      <c r="AB23" s="454">
        <f>SUMIFS([1]مرداد!$AH$2:$AH$805,[1]مرداد!$O$2:$O$805,7401,[1]مرداد!$D$2:$D$805,$F$23,[1]مرداد!$AC$2:$AC$805,AB3)</f>
        <v>0</v>
      </c>
    </row>
    <row r="24" spans="1:28" ht="33.75" customHeight="1" x14ac:dyDescent="0.25">
      <c r="A24" s="839">
        <v>11</v>
      </c>
      <c r="B24" s="829" t="s">
        <v>24</v>
      </c>
      <c r="C24" s="815">
        <v>7401</v>
      </c>
      <c r="D24" s="815">
        <v>55</v>
      </c>
      <c r="E24" s="1003"/>
      <c r="F24" s="22" t="s">
        <v>16</v>
      </c>
      <c r="G24" s="3">
        <f t="shared" si="0"/>
        <v>18.5</v>
      </c>
      <c r="H24" s="47">
        <f t="shared" si="1"/>
        <v>0</v>
      </c>
      <c r="I24" s="3">
        <f t="shared" si="2"/>
        <v>0</v>
      </c>
      <c r="J24" s="3">
        <v>0</v>
      </c>
      <c r="K24" s="3">
        <v>0</v>
      </c>
      <c r="L24" s="205">
        <v>0</v>
      </c>
      <c r="M24" s="4">
        <f>SUM(G23:L25)-D24</f>
        <v>-36.5</v>
      </c>
      <c r="N24" s="1005"/>
      <c r="O24" s="293">
        <f>SUMIFS([1]شهریور!$AF$2:$AF$805,[1]شهریور!$O$2:$O$805,7401,[1]شهریور!$D$2:$D$805,$F$24,[1]شهریور!$AC$2:$AC$805,O3)</f>
        <v>2</v>
      </c>
      <c r="P24" s="891">
        <f>SUMIFS([1]شهریور!$AF$2:$AF$805,[1]شهریور!$O$2:$O$805,7401,[1]شهریور!$D$2:$D$805,$F$24,[1]شهریور!$AC$2:$AC$805,P3)</f>
        <v>0</v>
      </c>
      <c r="Q24" s="293">
        <f>SUMIFS([1]شهریور!$AF$2:$AF$805,[1]شهریور!$O$2:$O$805,7401,[1]شهریور!$D$2:$D$805,$F$24,[1]شهریور!$AC$2:$AC$805,Q3)</f>
        <v>0</v>
      </c>
      <c r="R24" s="293">
        <f>SUMIFS([1]شهریور!$AF$2:$AF$805,[1]شهریور!$O$2:$O$805,7401,[1]شهریور!$D$2:$D$805,$F$24,[1]شهریور!$AC$2:$AC$805,R3)</f>
        <v>12.5</v>
      </c>
      <c r="S24" s="293">
        <f>SUMIFS([1]شهریور!$AF$2:$AF$805,[1]شهریور!$O$2:$O$805,7401,[1]شهریور!$D$2:$D$805,$F$24,[1]شهریور!$AC$2:$AC$805,S3)</f>
        <v>4</v>
      </c>
      <c r="T24" s="891">
        <f>SUMIFS([1]شهریور!$AF$2:$AF$805,[1]شهریور!$O$2:$O$805,7401,[1]شهریور!$D$2:$D$805,$F$24,[1]شهریور!$AC$2:$AC$805,T3)</f>
        <v>0</v>
      </c>
      <c r="U24" s="891">
        <f>SUMIFS([1]شهریور!$AF$2:$AF$805,[1]شهریور!$O$2:$O$805,7401,[1]شهریور!$D$2:$D$805,$F$24,[1]شهریور!$AC$2:$AC$805,U3)</f>
        <v>0</v>
      </c>
      <c r="V24" s="166">
        <f>SUMIFS([1]مرداد!$AH$2:$AH$805,[1]مرداد!$O$2:$O$805,7401,[1]مرداد!$D$2:$D$805,$F$24,[1]مرداد!$AC$2:$AC$805,V3)</f>
        <v>0</v>
      </c>
      <c r="W24" s="891">
        <f>SUMIFS([1]مرداد!$AH$2:$AH$805,[1]مرداد!$O$2:$O$805,7401,[1]مرداد!$D$2:$D$805,$F$24,[1]مرداد!$AC$2:$AC$805,W3)</f>
        <v>0</v>
      </c>
      <c r="X24" s="293">
        <f>SUMIFS([1]مرداد!$AH$2:$AH$805,[1]مرداد!$O$2:$O$805,7401,[1]مرداد!$D$2:$D$805,$F$24,[1]مرداد!$AC$2:$AC$805,X3)</f>
        <v>0</v>
      </c>
      <c r="Y24" s="293">
        <f>SUMIFS([1]مرداد!$AH$2:$AH$805,[1]مرداد!$O$2:$O$805,7401,[1]مرداد!$D$2:$D$805,$F$24,[1]مرداد!$AC$2:$AC$805,Y3)</f>
        <v>0</v>
      </c>
      <c r="Z24" s="293">
        <f>SUMIFS([1]مرداد!$AH$2:$AH$805,[1]مرداد!$O$2:$O$805,7401,[1]مرداد!$D$2:$D$805,$F$24,[1]مرداد!$AC$2:$AC$805,Z3)</f>
        <v>0</v>
      </c>
      <c r="AA24" s="891">
        <f>SUMIFS([1]مرداد!$AH$2:$AH$805,[1]مرداد!$O$2:$O$805,7401,[1]مرداد!$D$2:$D$805,$F$24,[1]مرداد!$AC$2:$AC$805,AA3)</f>
        <v>0</v>
      </c>
      <c r="AB24" s="901">
        <f>SUMIFS([1]مرداد!$AH$2:$AH$805,[1]مرداد!$O$2:$O$805,7401,[1]مرداد!$D$2:$D$805,$F$24,[1]مرداد!$AC$2:$AC$805,AB3)</f>
        <v>0</v>
      </c>
    </row>
    <row r="25" spans="1:28" ht="33.75" customHeight="1" thickBot="1" x14ac:dyDescent="0.3">
      <c r="A25" s="840"/>
      <c r="B25" s="837"/>
      <c r="C25" s="43"/>
      <c r="D25" s="816"/>
      <c r="E25" s="934"/>
      <c r="F25" s="5"/>
      <c r="G25" s="6">
        <f t="shared" si="0"/>
        <v>0</v>
      </c>
      <c r="H25" s="761">
        <f t="shared" si="1"/>
        <v>0</v>
      </c>
      <c r="I25" s="1">
        <f t="shared" si="2"/>
        <v>0</v>
      </c>
      <c r="J25" s="7">
        <v>0</v>
      </c>
      <c r="K25" s="6">
        <v>0</v>
      </c>
      <c r="L25" s="6">
        <v>0</v>
      </c>
      <c r="M25" s="6"/>
      <c r="N25" s="1006"/>
      <c r="O25" s="294">
        <f>SUMIFS([1]تیر!$AF$2:$AF$805,[1]تیر!$O$2:$O$805,7401,[1]تیر!$D$2:$D$805,$F$25,[1]تیر!$AC$2:$AC$805,O3)</f>
        <v>0</v>
      </c>
      <c r="P25" s="103">
        <f>SUMIFS([1]تیر!$AF$2:$AF$805,[1]تیر!$O$2:$O$805,7401,[1]تیر!$D$2:$D$805,$F$25,[1]تیر!$AC$2:$AC$805,P3)</f>
        <v>0</v>
      </c>
      <c r="Q25" s="172">
        <f>SUMIFS([1]تیر!$AF$2:$AF$805,[1]تیر!$O$2:$O$805,7401,[1]تیر!$D$2:$D$805,$F$25,[1]تیر!$AC$2:$AC$805,Q3)</f>
        <v>0</v>
      </c>
      <c r="R25" s="172">
        <f>SUMIFS([1]تیر!$AF$2:$AF$805,[1]تیر!$O$2:$O$805,7401,[1]تیر!$D$2:$D$805,$F$25,[1]تیر!$AC$2:$AC$805,R3)</f>
        <v>0</v>
      </c>
      <c r="S25" s="172">
        <f>SUMIFS([1]تیر!$AF$2:$AF$805,[1]تیر!$O$2:$O$805,7401,[1]تیر!$D$2:$D$805,$F$25,[1]تیر!$AC$2:$AC$805,S3)</f>
        <v>0</v>
      </c>
      <c r="T25" s="103">
        <f>SUMIFS([1]تیر!$AF$2:$AF$805,[1]تیر!$O$2:$O$805,7401,[1]تیر!$D$2:$D$805,$F$25,[1]تیر!$AC$2:$AC$805,T3)</f>
        <v>0</v>
      </c>
      <c r="U25" s="109">
        <f>SUMIFS([1]تیر!$AF$2:$AF$805,[1]تیر!$O$2:$O$805,7401,[1]تیر!$D$2:$D$805,$F$25,[1]تیر!$AC$2:$AC$805,U3)</f>
        <v>0</v>
      </c>
      <c r="V25" s="171">
        <f>SUMIFS([1]مرداد!$AH$2:$AH$805,[1]مرداد!$O$2:$O$805,7401,[1]مرداد!$D$2:$D$805,$F$25,[1]مرداد!$AC$2:$AC$805,V3)</f>
        <v>0</v>
      </c>
      <c r="W25" s="904">
        <f>SUMIFS([1]مرداد!$AH$2:$AH$805,[1]مرداد!$O$2:$O$805,7401,[1]مرداد!$D$2:$D$805,$F$25,[1]مرداد!$AC$2:$AC$805,W3)</f>
        <v>0</v>
      </c>
      <c r="X25" s="294">
        <f>SUMIFS([1]مرداد!$AH$2:$AH$805,[1]مرداد!$O$2:$O$805,7401,[1]مرداد!$D$2:$D$805,$F$25,[1]مرداد!$AC$2:$AC$805,X3)</f>
        <v>0</v>
      </c>
      <c r="Y25" s="294">
        <f>SUMIFS([1]مرداد!$AH$2:$AH$805,[1]مرداد!$O$2:$O$805,7401,[1]مرداد!$D$2:$D$805,$F$25,[1]مرداد!$AC$2:$AC$805,Y3)</f>
        <v>0</v>
      </c>
      <c r="Z25" s="294">
        <f>SUMIFS([1]مرداد!$AH$2:$AH$805,[1]مرداد!$O$2:$O$805,7401,[1]مرداد!$D$2:$D$805,$F$25,[1]مرداد!$AC$2:$AC$805,Z3)</f>
        <v>0</v>
      </c>
      <c r="AA25" s="904">
        <f>SUMIFS([1]مرداد!$AH$2:$AH$805,[1]مرداد!$O$2:$O$805,7401,[1]مرداد!$D$2:$D$805,$F$25,[1]مرداد!$AC$2:$AC$805,AA3)</f>
        <v>0</v>
      </c>
      <c r="AB25" s="700">
        <f>SUMIFS([1]مرداد!$AH$2:$AH$805,[1]مرداد!$O$2:$O$805,7401,[1]مرداد!$D$2:$D$805,$F$25,[1]مرداد!$AC$2:$AC$805,AB3)</f>
        <v>0</v>
      </c>
    </row>
    <row r="26" spans="1:28" ht="33.75" hidden="1" customHeight="1" thickBot="1" x14ac:dyDescent="0.3">
      <c r="A26" s="766"/>
      <c r="B26" s="12"/>
      <c r="C26" s="13"/>
      <c r="D26" s="13"/>
      <c r="E26" s="767"/>
      <c r="F26" s="16"/>
      <c r="G26" s="14">
        <f t="shared" si="0"/>
        <v>0</v>
      </c>
      <c r="H26" s="48">
        <f t="shared" si="1"/>
        <v>0</v>
      </c>
      <c r="I26" s="846">
        <f t="shared" si="2"/>
        <v>0</v>
      </c>
      <c r="J26" s="14">
        <v>0</v>
      </c>
      <c r="K26" s="14">
        <v>0</v>
      </c>
      <c r="L26" s="14">
        <v>0</v>
      </c>
      <c r="M26" s="14"/>
      <c r="N26" s="768"/>
      <c r="O26" s="295">
        <f>SUMIFS([1]اردیبهشت!$AD$2:$AD$805,[1]اردیبهشت!$N$2:$N$805,$C$26,[1]اردیبهشت!$D$2:$D$805,$F$26,[1]اردیبهشت!$AA$2:$AA$805,O3)</f>
        <v>0</v>
      </c>
      <c r="P26" s="99">
        <f>SUMIFS([1]اردیبهشت!$AD$2:$AD$805,[1]اردیبهشت!$N$2:$N$805,$C$26,[1]اردیبهشت!$D$2:$D$805,$F$26,[1]اردیبهشت!$AA$2:$AA$805,P3)</f>
        <v>0</v>
      </c>
      <c r="Q26" s="177">
        <f>SUMIFS([1]اردیبهشت!$AD$2:$AD$805,[1]اردیبهشت!$N$2:$N$805,$C$26,[1]اردیبهشت!$D$2:$D$805,$F$26,[1]اردیبهشت!$AA$2:$AA$805,Q3)</f>
        <v>0</v>
      </c>
      <c r="R26" s="177">
        <f>SUMIFS([1]اردیبهشت!$AD$2:$AD$805,[1]اردیبهشت!$N$2:$N$805,$C$26,[1]اردیبهشت!$D$2:$D$805,$F$26,[1]اردیبهشت!$AA$2:$AA$805,R3)</f>
        <v>0</v>
      </c>
      <c r="S26" s="177">
        <f>SUMIFS([1]اردیبهشت!$AD$2:$AD$805,[1]اردیبهشت!$N$2:$N$805,$C$26,[1]اردیبهشت!$D$2:$D$805,$F$26,[1]اردیبهشت!$AA$2:$AA$805,S3)</f>
        <v>0</v>
      </c>
      <c r="T26" s="99">
        <f>SUMIFS([1]اردیبهشت!$AD$2:$AD$805,[1]اردیبهشت!$N$2:$N$805,$C$26,[1]اردیبهشت!$D$2:$D$805,$F$26,[1]اردیبهشت!$AA$2:$AA$805,T3)</f>
        <v>0</v>
      </c>
      <c r="U26" s="113">
        <f>SUMIFS([1]خرداد!$AF$2:$AF$700,[1]خرداد!$O$2:$O$700,7101,[1]خرداد!$D$2:$D$700,$F$4,[1]خرداد!$AC$2:$AC$700,U25)</f>
        <v>0</v>
      </c>
      <c r="V26" s="295">
        <f>SUMIFS([1]اردیبهشت!$AD$2:$AD$805,[1]اردیبهشت!$N$2:$N$805,$C$26,[1]اردیبهشت!$D$2:$D$805,$F$26,[1]اردیبهشت!$AA$2:$AA$805,V3)</f>
        <v>0</v>
      </c>
      <c r="W26" s="99">
        <f>SUMIFS([1]اردیبهشت!$AD$2:$AD$805,[1]اردیبهشت!$N$2:$N$805,$C$26,[1]اردیبهشت!$D$2:$D$805,$F$26,[1]اردیبهشت!$AA$2:$AA$805,W3)</f>
        <v>0</v>
      </c>
      <c r="X26" s="177">
        <f>SUMIFS([1]اردیبهشت!$AD$2:$AD$805,[1]اردیبهشت!$N$2:$N$805,$C$26,[1]اردیبهشت!$D$2:$D$805,$F$26,[1]اردیبهشت!$AA$2:$AA$805,X3)</f>
        <v>0</v>
      </c>
      <c r="Y26" s="177">
        <f>SUMIFS([1]اردیبهشت!$AD$2:$AD$805,[1]اردیبهشت!$N$2:$N$805,$C$26,[1]اردیبهشت!$D$2:$D$805,$F$26,[1]اردیبهشت!$AA$2:$AA$805,Y3)</f>
        <v>0</v>
      </c>
      <c r="Z26" s="177">
        <f>SUMIFS([1]اردیبهشت!$AD$2:$AD$805,[1]اردیبهشت!$N$2:$N$805,$C$26,[1]اردیبهشت!$D$2:$D$805,$F$26,[1]اردیبهشت!$AA$2:$AA$805,Z3)</f>
        <v>0</v>
      </c>
      <c r="AA26" s="99">
        <f>SUMIFS([1]اردیبهشت!$AD$2:$AD$805,[1]اردیبهشت!$N$2:$N$805,$C$26,[1]اردیبهشت!$D$2:$D$805,$F$26,[1]اردیبهشت!$AA$2:$AA$805,AA3)</f>
        <v>0</v>
      </c>
      <c r="AB26" s="113">
        <f>SUMIFS([1]خرداد!$AF$2:$AF$700,[1]خرداد!$O$2:$O$700,7101,[1]خرداد!$D$2:$D$700,$F$4,[1]خرداد!$AC$2:$AC$700,AB25)</f>
        <v>0</v>
      </c>
    </row>
    <row r="27" spans="1:28" ht="33.75" customHeight="1" thickBot="1" x14ac:dyDescent="0.3">
      <c r="A27" s="12">
        <v>12</v>
      </c>
      <c r="B27" s="13" t="s">
        <v>25</v>
      </c>
      <c r="C27" s="13">
        <v>7501</v>
      </c>
      <c r="D27" s="13">
        <v>55</v>
      </c>
      <c r="E27" s="13" t="s">
        <v>19</v>
      </c>
      <c r="F27" s="16" t="s">
        <v>36</v>
      </c>
      <c r="G27" s="14">
        <f t="shared" si="0"/>
        <v>0</v>
      </c>
      <c r="H27" s="48">
        <f t="shared" si="1"/>
        <v>0</v>
      </c>
      <c r="I27" s="14">
        <f t="shared" si="2"/>
        <v>0</v>
      </c>
      <c r="J27" s="14">
        <v>55</v>
      </c>
      <c r="K27" s="14">
        <v>0</v>
      </c>
      <c r="L27" s="14">
        <v>0</v>
      </c>
      <c r="M27" s="14">
        <f>SUM(G26:L28)-D27</f>
        <v>0</v>
      </c>
      <c r="N27" s="61"/>
      <c r="O27" s="747">
        <f>SUMIFS([1]مرداد!$AF$2:$AF$805,[1]مرداد!$O$2:$O$805,7501,[1]مرداد!$D$2:$D$805,$F$27,[1]مرداد!$AC$2:$AC$805,O3)</f>
        <v>0</v>
      </c>
      <c r="P27" s="894">
        <f>SUMIFS([1]مرداد!$AF$2:$AF$805,[1]مرداد!$O$2:$O$805,7501,[1]مرداد!$D$2:$D$805,$F$27,[1]مرداد!$AC$2:$AC$805,P3)</f>
        <v>0</v>
      </c>
      <c r="Q27" s="747">
        <f>SUMIFS([1]مرداد!$AF$2:$AF$805,[1]مرداد!$O$2:$O$805,7501,[1]مرداد!$D$2:$D$805,$F$27,[1]مرداد!$AC$2:$AC$805,Q3)</f>
        <v>0</v>
      </c>
      <c r="R27" s="747">
        <f>SUMIFS([1]مرداد!$AF$2:$AF$805,[1]مرداد!$O$2:$O$805,7501,[1]مرداد!$D$2:$D$805,$F$27,[1]مرداد!$AC$2:$AC$805,R3)</f>
        <v>0</v>
      </c>
      <c r="S27" s="747">
        <f>SUMIFS([1]مرداد!$AF$2:$AF$805,[1]مرداد!$O$2:$O$805,7501,[1]مرداد!$D$2:$D$805,$F$27,[1]مرداد!$AC$2:$AC$805,S3)</f>
        <v>0</v>
      </c>
      <c r="T27" s="894">
        <f>SUMIFS([1]مرداد!$AF$2:$AF$805,[1]مرداد!$O$2:$O$805,7501,[1]مرداد!$D$2:$D$805,$F$27,[1]مرداد!$AC$2:$AC$805,T3)</f>
        <v>0</v>
      </c>
      <c r="U27" s="753">
        <f>SUMIFS([1]مرداد!$AF$2:$AF$805,[1]مرداد!$O$2:$O$805,7501,[1]مرداد!$D$2:$D$805,$F$27,[1]مرداد!$AC$2:$AC$805,U3)</f>
        <v>0</v>
      </c>
      <c r="V27" s="176">
        <f>SUMIFS([1]مرداد!$AH$2:$AH$805,[1]مرداد!$O$2:$O$805,7501,[1]مرداد!$D$2:$D$805,$F$27,[1]مرداد!$AC$2:$AC$805,V3)</f>
        <v>0</v>
      </c>
      <c r="W27" s="456">
        <f>SUMIFS([1]مرداد!$AH$2:$AH$805,[1]مرداد!$O$2:$O$805,7501,[1]مرداد!$D$2:$D$805,$F$27,[1]مرداد!$AC$2:$AC$805,W3)</f>
        <v>0</v>
      </c>
      <c r="X27" s="295">
        <f>SUMIFS([1]مرداد!$AH$2:$AH$805,[1]مرداد!$O$2:$O$805,7501,[1]مرداد!$D$2:$D$805,$F$27,[1]مرداد!$AC$2:$AC$805,X3)</f>
        <v>0</v>
      </c>
      <c r="Y27" s="295">
        <f>SUMIFS([1]مرداد!$AH$2:$AH$805,[1]مرداد!$O$2:$O$805,7501,[1]مرداد!$D$2:$D$805,$F$27,[1]مرداد!$AC$2:$AC$805,Y3)</f>
        <v>0</v>
      </c>
      <c r="Z27" s="295">
        <f>SUMIFS([1]مرداد!$AH$2:$AH$805,[1]مرداد!$O$2:$O$805,7501,[1]مرداد!$D$2:$D$805,$F$27,[1]مرداد!$AC$2:$AC$805,Z3)</f>
        <v>0</v>
      </c>
      <c r="AA27" s="456">
        <f>SUMIFS([1]مرداد!$AH$2:$AH$805,[1]مرداد!$O$2:$O$805,7501,[1]مرداد!$D$2:$D$805,$F$27,[1]مرداد!$AC$2:$AC$805,AA3)</f>
        <v>0</v>
      </c>
      <c r="AB27" s="701">
        <f>SUMIFS([1]مرداد!$AH$2:$AH$805,[1]مرداد!$O$2:$O$805,7501,[1]مرداد!$D$2:$D$805,$F$27,[1]مرداد!$AC$2:$AC$805,AB3)</f>
        <v>0</v>
      </c>
    </row>
    <row r="28" spans="1:28" ht="33.75" hidden="1" customHeight="1" thickBot="1" x14ac:dyDescent="0.3">
      <c r="A28" s="837"/>
      <c r="B28" s="815"/>
      <c r="C28" s="815"/>
      <c r="D28" s="815"/>
      <c r="E28" s="750"/>
      <c r="F28" s="66"/>
      <c r="G28" s="4">
        <f t="shared" si="0"/>
        <v>0</v>
      </c>
      <c r="H28" s="67">
        <f t="shared" si="1"/>
        <v>0</v>
      </c>
      <c r="I28" s="1">
        <f t="shared" si="2"/>
        <v>0</v>
      </c>
      <c r="J28" s="4">
        <v>0</v>
      </c>
      <c r="K28" s="4">
        <v>0</v>
      </c>
      <c r="L28" s="4">
        <v>0</v>
      </c>
      <c r="M28" s="4"/>
      <c r="N28" s="812"/>
      <c r="O28" s="577">
        <f>SUMIFS([1]تیر!$AF$2:$AF$805,[1]تیر!$O$2:$O$805,7501,[1]تیر!$D$2:$D$805,$F$28,[1]تیر!$AC$2:$AC$805,O3)</f>
        <v>0</v>
      </c>
      <c r="P28" s="895">
        <f>SUMIFS([1]تیر!$AF$2:$AF$805,[1]تیر!$O$2:$O$805,7501,[1]تیر!$D$2:$D$805,$F$28,[1]تیر!$AC$2:$AC$805,P3)</f>
        <v>0</v>
      </c>
      <c r="Q28" s="202">
        <f>SUMIFS([1]تیر!$AF$2:$AF$805,[1]تیر!$O$2:$O$805,7501,[1]تیر!$D$2:$D$805,$F$28,[1]تیر!$AC$2:$AC$805,Q3)</f>
        <v>0</v>
      </c>
      <c r="R28" s="202">
        <f>SUMIFS([1]تیر!$AF$2:$AF$805,[1]تیر!$O$2:$O$805,7501,[1]تیر!$D$2:$D$805,$F$28,[1]تیر!$AC$2:$AC$805,R3)</f>
        <v>0</v>
      </c>
      <c r="S28" s="202">
        <f>SUMIFS([1]تیر!$AF$2:$AF$805,[1]تیر!$O$2:$O$805,7501,[1]تیر!$D$2:$D$805,$F$28,[1]تیر!$AC$2:$AC$805,S3)</f>
        <v>0</v>
      </c>
      <c r="T28" s="895">
        <f>SUMIFS([1]تیر!$AF$2:$AF$805,[1]تیر!$O$2:$O$805,7501,[1]تیر!$D$2:$D$805,$F$28,[1]تیر!$AC$2:$AC$805,T3)</f>
        <v>0</v>
      </c>
      <c r="U28" s="120">
        <f>SUMIFS([1]تیر!$AF$2:$AF$805,[1]تیر!$O$2:$O$805,7501,[1]تیر!$D$2:$D$805,$F$28,[1]تیر!$AC$2:$AC$805,U3)</f>
        <v>0</v>
      </c>
      <c r="V28" s="577">
        <f>SUMIFS([1]مرداد!$AH$2:$AH$805,[1]مرداد!$O$2:$O$805,7302,[1]مرداد!$D$2:$D$805,$F$21,[1]مرداد!$AC$2:$AC$805,V3)</f>
        <v>0</v>
      </c>
      <c r="W28" s="895">
        <f>SUMIFS([1]تیر!$AF$2:$AF$805,[1]تیر!$O$2:$O$805,7501,[1]تیر!$D$2:$D$805,$F$28,[1]تیر!$AC$2:$AC$805,W3)</f>
        <v>0</v>
      </c>
      <c r="X28" s="202">
        <f>SUMIFS([1]تیر!$AF$2:$AF$805,[1]تیر!$O$2:$O$805,7501,[1]تیر!$D$2:$D$805,$F$28,[1]تیر!$AC$2:$AC$805,X3)</f>
        <v>0</v>
      </c>
      <c r="Y28" s="202">
        <f>SUMIFS([1]تیر!$AF$2:$AF$805,[1]تیر!$O$2:$O$805,7501,[1]تیر!$D$2:$D$805,$F$28,[1]تیر!$AC$2:$AC$805,Y3)</f>
        <v>0</v>
      </c>
      <c r="Z28" s="202">
        <f>SUMIFS([1]تیر!$AF$2:$AF$805,[1]تیر!$O$2:$O$805,7501,[1]تیر!$D$2:$D$805,$F$28,[1]تیر!$AC$2:$AC$805,Z3)</f>
        <v>0</v>
      </c>
      <c r="AA28" s="895">
        <f>SUMIFS([1]تیر!$AF$2:$AF$805,[1]تیر!$O$2:$O$805,7501,[1]تیر!$D$2:$D$805,$F$28,[1]تیر!$AC$2:$AC$805,AA3)</f>
        <v>0</v>
      </c>
      <c r="AB28" s="120">
        <f>SUMIFS([1]تیر!$AF$2:$AF$805,[1]تیر!$O$2:$O$805,7501,[1]تیر!$D$2:$D$805,$F$28,[1]تیر!$AC$2:$AC$805,AB3)</f>
        <v>0</v>
      </c>
    </row>
    <row r="29" spans="1:28" ht="33.75" hidden="1" customHeight="1" thickBot="1" x14ac:dyDescent="0.3">
      <c r="A29" s="839"/>
      <c r="B29" s="12"/>
      <c r="C29" s="13"/>
      <c r="D29" s="13"/>
      <c r="E29" s="767"/>
      <c r="F29" s="16"/>
      <c r="G29" s="14">
        <f t="shared" si="0"/>
        <v>0</v>
      </c>
      <c r="H29" s="48">
        <f t="shared" si="1"/>
        <v>0</v>
      </c>
      <c r="I29" s="846">
        <f t="shared" si="2"/>
        <v>0</v>
      </c>
      <c r="J29" s="209">
        <v>0</v>
      </c>
      <c r="K29" s="209">
        <v>0</v>
      </c>
      <c r="L29" s="209">
        <v>0</v>
      </c>
      <c r="M29" s="14"/>
      <c r="N29" s="18"/>
      <c r="O29" s="295">
        <f>SUMIFS([1]تیر!$AF$2:$AF$805,[1]تیر!$O$2:$O$805,7502,[1]تیر!$D$2:$D$805,$F$29,[1]تیر!$AC$2:$AC$805,O3)</f>
        <v>0</v>
      </c>
      <c r="P29" s="99">
        <f>SUMIFS([1]تیر!$AF$2:$AF$805,[1]تیر!$O$2:$O$805,7502,[1]تیر!$D$2:$D$805,$F$29,[1]تیر!$AC$2:$AC$805,P3)</f>
        <v>0</v>
      </c>
      <c r="Q29" s="177">
        <f>SUMIFS([1]تیر!$AF$2:$AF$805,[1]تیر!$O$2:$O$805,7502,[1]تیر!$D$2:$D$805,$F$29,[1]تیر!$AC$2:$AC$805,Q3)</f>
        <v>0</v>
      </c>
      <c r="R29" s="177">
        <f>SUMIFS([1]تیر!$AF$2:$AF$805,[1]تیر!$O$2:$O$805,7502,[1]تیر!$D$2:$D$805,$F$29,[1]تیر!$AC$2:$AC$805,R3)</f>
        <v>0</v>
      </c>
      <c r="S29" s="177">
        <f>SUMIFS([1]تیر!$AF$2:$AF$805,[1]تیر!$O$2:$O$805,7502,[1]تیر!$D$2:$D$805,$F$29,[1]تیر!$AC$2:$AC$805,S3)</f>
        <v>0</v>
      </c>
      <c r="T29" s="99">
        <f>SUMIFS([1]مرداد!$AF$2:$AF$805,[1]مرداد!$O$2:$O$805,7502,[1]مرداد!$D$2:$D$805,F29,[1]مرداد!$AC$2:$AC$805,$T$3)</f>
        <v>0</v>
      </c>
      <c r="U29" s="113">
        <f>SUMIFS([1]تیر!$AF$2:$AF$805,[1]تیر!$O$2:$O$805,7502,[1]تیر!$D$2:$D$805,$F$29,[1]تیر!$AC$2:$AC$805,U3)</f>
        <v>0</v>
      </c>
      <c r="V29" s="295">
        <f>SUMIFS([1]تیر!$AF$2:$AF$805,[1]تیر!$O$2:$O$805,7502,[1]تیر!$D$2:$D$805,$F$29,[1]تیر!$AC$2:$AC$805,V3)</f>
        <v>0</v>
      </c>
      <c r="W29" s="99">
        <f>SUMIFS([1]تیر!$AF$2:$AF$805,[1]تیر!$O$2:$O$805,7502,[1]تیر!$D$2:$D$805,$F$29,[1]تیر!$AC$2:$AC$805,W3)</f>
        <v>0</v>
      </c>
      <c r="X29" s="177">
        <f>SUMIFS([1]تیر!$AF$2:$AF$805,[1]تیر!$O$2:$O$805,7502,[1]تیر!$D$2:$D$805,$F$29,[1]تیر!$AC$2:$AC$805,X3)</f>
        <v>0</v>
      </c>
      <c r="Y29" s="177">
        <f>SUMIFS([1]تیر!$AF$2:$AF$805,[1]تیر!$O$2:$O$805,7502,[1]تیر!$D$2:$D$805,$F$29,[1]تیر!$AC$2:$AC$805,Y3)</f>
        <v>0</v>
      </c>
      <c r="Z29" s="177">
        <f>SUMIFS([1]تیر!$AF$2:$AF$805,[1]تیر!$O$2:$O$805,7502,[1]تیر!$D$2:$D$805,$F$29,[1]تیر!$AC$2:$AC$805,Z3)</f>
        <v>0</v>
      </c>
      <c r="AA29" s="99">
        <f>SUMIFS([1]مرداد!$AF$2:$AF$805,[1]مرداد!$O$2:$O$805,7502,[1]مرداد!$D$2:$D$805,M29,[1]مرداد!$AC$2:$AC$805,$T$3)</f>
        <v>0</v>
      </c>
      <c r="AB29" s="113">
        <f>SUMIFS([1]تیر!$AF$2:$AF$805,[1]تیر!$O$2:$O$805,7502,[1]تیر!$D$2:$D$805,$F$29,[1]تیر!$AC$2:$AC$805,AB3)</f>
        <v>0</v>
      </c>
    </row>
    <row r="30" spans="1:28" ht="33.75" customHeight="1" thickBot="1" x14ac:dyDescent="0.3">
      <c r="A30" s="45">
        <v>13</v>
      </c>
      <c r="B30" s="984" t="s">
        <v>25</v>
      </c>
      <c r="C30" s="936">
        <v>7502</v>
      </c>
      <c r="D30" s="933">
        <v>55</v>
      </c>
      <c r="E30" s="936" t="s">
        <v>15</v>
      </c>
      <c r="F30" s="27" t="s">
        <v>36</v>
      </c>
      <c r="G30" s="1">
        <f t="shared" si="0"/>
        <v>11</v>
      </c>
      <c r="H30" s="49">
        <f t="shared" si="1"/>
        <v>0</v>
      </c>
      <c r="I30" s="846">
        <f t="shared" si="2"/>
        <v>0</v>
      </c>
      <c r="J30" s="1">
        <v>0</v>
      </c>
      <c r="K30" s="1">
        <v>0</v>
      </c>
      <c r="L30" s="1">
        <v>0</v>
      </c>
      <c r="M30" s="1">
        <f>SUM(G29:L31)-D30</f>
        <v>-44</v>
      </c>
      <c r="N30" s="988" t="s">
        <v>42</v>
      </c>
      <c r="O30" s="353">
        <f>SUMIFS([1]شهریور!$AF$2:$AF$805,[1]شهریور!$O$2:$O$805,7502,[1]شهریور!$D$2:$D$805,$F$30,[1]شهریور!$AC$2:$AC$805,O3)</f>
        <v>11</v>
      </c>
      <c r="P30" s="455">
        <f>SUMIFS([1]شهریور!$AF$2:$AF$805,[1]شهریور!$O$2:$O$805,7502,[1]شهریور!$D$2:$D$805,$F$30,[1]شهریور!$AC$2:$AC$805,P3)</f>
        <v>0</v>
      </c>
      <c r="Q30" s="353">
        <f>SUMIFS([1]شهریور!$AF$2:$AF$805,[1]شهریور!$O$2:$O$805,7502,[1]شهریور!$D$2:$D$805,$F$30,[1]شهریور!$AC$2:$AC$805,Q3)</f>
        <v>0</v>
      </c>
      <c r="R30" s="353">
        <f>SUMIFS([1]شهریور!$AF$2:$AF$805,[1]شهریور!$O$2:$O$805,7502,[1]شهریور!$D$2:$D$805,$F$30,[1]شهریور!$AC$2:$AC$805,R3)</f>
        <v>0</v>
      </c>
      <c r="S30" s="353">
        <f>SUMIFS([1]شهریور!$AF$2:$AF$805,[1]شهریور!$O$2:$O$805,7502,[1]شهریور!$D$2:$D$805,$F$30,[1]شهریور!$AC$2:$AC$805,S3)</f>
        <v>0</v>
      </c>
      <c r="T30" s="455">
        <f>SUMIFS([1]شهریور!$AF$2:$AF$805,[1]شهریور!$O$2:$O$805,7502,[1]شهریور!$D$2:$D$805,$F$30,[1]شهریور!$AC$2:$AC$805,T3)</f>
        <v>0</v>
      </c>
      <c r="U30" s="455">
        <f>SUMIFS([1]شهریور!$AF$2:$AF$805,[1]شهریور!$O$2:$O$805,7502,[1]شهریور!$D$2:$D$805,$F$30,[1]شهریور!$AC$2:$AC$805,U3)</f>
        <v>0</v>
      </c>
      <c r="V30" s="353">
        <f>SUMIFS([1]مرداد!$AH$2:$AH$805,[1]مرداد!$O$2:$O$805,7502,[1]مرداد!$D$2:$D$805,$F$30,[1]مرداد!$AC$2:$AC$805,V3)</f>
        <v>0</v>
      </c>
      <c r="W30" s="455">
        <f>SUMIFS([1]مرداد!$AH$2:$AH$805,[1]مرداد!$O$2:$O$805,7502,[1]مرداد!$D$2:$D$805,$F$30,[1]مرداد!$AC$2:$AC$805,W3)</f>
        <v>0</v>
      </c>
      <c r="X30" s="353">
        <f>SUMIFS([1]مرداد!$AH$2:$AH$805,[1]مرداد!$O$2:$O$805,7502,[1]مرداد!$D$2:$D$805,$F$30,[1]مرداد!$AC$2:$AC$805,X3)</f>
        <v>0</v>
      </c>
      <c r="Y30" s="353">
        <f>SUMIFS([1]مرداد!$AH$2:$AH$805,[1]مرداد!$O$2:$O$805,7502,[1]مرداد!$D$2:$D$805,$F$30,[1]مرداد!$AC$2:$AC$805,Y3)</f>
        <v>0</v>
      </c>
      <c r="Z30" s="353">
        <f>SUMIFS([1]مرداد!$AH$2:$AH$805,[1]مرداد!$O$2:$O$805,7502,[1]مرداد!$D$2:$D$805,$F$30,[1]مرداد!$AC$2:$AC$805,Z3)</f>
        <v>0</v>
      </c>
      <c r="AA30" s="455">
        <f>SUMIFS([1]مرداد!$AH$2:$AH$805,[1]مرداد!$O$2:$O$805,7502,[1]مرداد!$D$2:$D$805,$F$30,[1]مرداد!$AC$2:$AC$805,AA3)</f>
        <v>0</v>
      </c>
      <c r="AB30" s="455">
        <f>SUMIFS([1]مرداد!$AH$2:$AH$805,[1]مرداد!$O$2:$O$805,7502,[1]مرداد!$D$2:$D$805,$F$30,[1]مرداد!$AC$2:$AC$805,AB3)</f>
        <v>0</v>
      </c>
    </row>
    <row r="31" spans="1:28" ht="33.75" customHeight="1" thickBot="1" x14ac:dyDescent="0.3">
      <c r="A31" s="840"/>
      <c r="B31" s="984"/>
      <c r="C31" s="936"/>
      <c r="D31" s="933"/>
      <c r="E31" s="936"/>
      <c r="F31" s="66"/>
      <c r="G31" s="4">
        <f t="shared" si="0"/>
        <v>0</v>
      </c>
      <c r="H31" s="765">
        <f t="shared" si="1"/>
        <v>0</v>
      </c>
      <c r="I31" s="1">
        <f t="shared" si="2"/>
        <v>0</v>
      </c>
      <c r="J31" s="4">
        <v>0</v>
      </c>
      <c r="K31" s="4">
        <v>0</v>
      </c>
      <c r="L31" s="4">
        <v>0</v>
      </c>
      <c r="M31" s="4"/>
      <c r="N31" s="988"/>
      <c r="O31" s="577">
        <f>SUMIFS([1]مرداد!$AF$2:$AF$805,[1]مرداد!$O$2:$O$805,7502,[1]مرداد!$D$2:$D$805,$F$31,[1]مرداد!$AC$2:$AC$805,O3)</f>
        <v>0</v>
      </c>
      <c r="P31" s="578">
        <f>SUMIFS([1]مرداد!$AF$2:$AF$805,[1]مرداد!$O$2:$O$805,7502,[1]مرداد!$D$2:$D$805,$F$31,[1]مرداد!$AC$2:$AC$805,P3)</f>
        <v>0</v>
      </c>
      <c r="Q31" s="577">
        <f>SUMIFS([1]مرداد!$AF$2:$AF$805,[1]مرداد!$O$2:$O$805,7502,[1]مرداد!$D$2:$D$805,$F$31,[1]مرداد!$AC$2:$AC$805,Q3)</f>
        <v>0</v>
      </c>
      <c r="R31" s="577">
        <f>SUMIFS([1]مرداد!$AF$2:$AF$805,[1]مرداد!$O$2:$O$805,7502,[1]مرداد!$D$2:$D$805,$F$31,[1]مرداد!$AC$2:$AC$805,R3)</f>
        <v>0</v>
      </c>
      <c r="S31" s="577">
        <f>SUMIFS([1]مرداد!$AF$2:$AF$805,[1]مرداد!$O$2:$O$805,7502,[1]مرداد!$D$2:$D$805,$F$31,[1]مرداد!$AC$2:$AC$805,S3)</f>
        <v>0</v>
      </c>
      <c r="T31" s="578">
        <f>SUMIFS([1]مرداد!$AF$2:$AF$805,[1]مرداد!$O$2:$O$805,7502,[1]مرداد!$D$2:$D$805,$F$31,[1]مرداد!$AC$2:$AC$805,T3)</f>
        <v>0</v>
      </c>
      <c r="U31" s="578">
        <f>SUMIFS([1]مرداد!$AF$2:$AF$805,[1]مرداد!$O$2:$O$805,7502,[1]مرداد!$D$2:$D$805,$F$31,[1]مرداد!$AC$2:$AC$805,U3)</f>
        <v>0</v>
      </c>
      <c r="V31" s="577">
        <f>SUMIFS([1]مرداد!$AH$2:$AH$805,[1]مرداد!$O$2:$O$805,7502,[1]مرداد!$D$2:$D$805,$F$31,[1]مرداد!$AC$2:$AC$805,V3)</f>
        <v>0</v>
      </c>
      <c r="W31" s="578">
        <f>SUMIFS([1]مرداد!$AF$2:$AF$805,[1]مرداد!$O$2:$O$805,7502,[1]مرداد!$D$2:$D$805,$F$31,[1]مرداد!$AC$2:$AC$805,W3)</f>
        <v>0</v>
      </c>
      <c r="X31" s="577">
        <f>SUMIFS([1]مرداد!$AF$2:$AF$805,[1]مرداد!$O$2:$O$805,7502,[1]مرداد!$D$2:$D$805,$F$31,[1]مرداد!$AC$2:$AC$805,X3)</f>
        <v>0</v>
      </c>
      <c r="Y31" s="577">
        <f>SUMIFS([1]مرداد!$AF$2:$AF$805,[1]مرداد!$O$2:$O$805,7502,[1]مرداد!$D$2:$D$805,$F$31,[1]مرداد!$AC$2:$AC$805,Y3)</f>
        <v>0</v>
      </c>
      <c r="Z31" s="577">
        <f>SUMIFS([1]مرداد!$AF$2:$AF$805,[1]مرداد!$O$2:$O$805,7502,[1]مرداد!$D$2:$D$805,$F$31,[1]مرداد!$AC$2:$AC$805,Z3)</f>
        <v>0</v>
      </c>
      <c r="AA31" s="578">
        <f>SUMIFS([1]مرداد!$AF$2:$AF$805,[1]مرداد!$O$2:$O$805,7502,[1]مرداد!$D$2:$D$805,$F$31,[1]مرداد!$AC$2:$AC$805,AA3)</f>
        <v>0</v>
      </c>
      <c r="AB31" s="578">
        <f>SUMIFS([1]مرداد!$AF$2:$AF$805,[1]مرداد!$O$2:$O$805,7502,[1]مرداد!$D$2:$D$805,$F$31,[1]مرداد!$AC$2:$AC$805,AB3)</f>
        <v>0</v>
      </c>
    </row>
    <row r="32" spans="1:28" ht="33.75" customHeight="1" x14ac:dyDescent="0.25">
      <c r="A32" s="939">
        <v>14</v>
      </c>
      <c r="B32" s="83" t="s">
        <v>26</v>
      </c>
      <c r="C32" s="809">
        <v>7601</v>
      </c>
      <c r="D32" s="809">
        <f>72-8</f>
        <v>64</v>
      </c>
      <c r="E32" s="914" t="s">
        <v>15</v>
      </c>
      <c r="F32" s="84" t="s">
        <v>27</v>
      </c>
      <c r="G32" s="85">
        <f t="shared" si="0"/>
        <v>14</v>
      </c>
      <c r="H32" s="46">
        <f t="shared" si="1"/>
        <v>0</v>
      </c>
      <c r="I32" s="846">
        <f t="shared" si="2"/>
        <v>3</v>
      </c>
      <c r="J32" s="85">
        <v>0</v>
      </c>
      <c r="K32" s="85">
        <v>0</v>
      </c>
      <c r="L32" s="85">
        <v>0</v>
      </c>
      <c r="M32" s="87">
        <f>(J32+J33+I33+I32+H32+H33+G33+G32+L32+K32)-D32</f>
        <v>-47</v>
      </c>
      <c r="N32" s="941" t="str">
        <f>IF(I18&gt;0,"②","")</f>
        <v>②</v>
      </c>
      <c r="O32" s="298">
        <f>SUMIFS([1]شهریور!$AF$2:$AF$805,[1]شهریور!$O$2:$O$805,7601,[1]شهریور!$D$2:$D$805,$F$32,[1]شهریور!$AC$2:$AC$805,O3)</f>
        <v>6</v>
      </c>
      <c r="P32" s="464">
        <f>SUMIFS([1]شهریور!$AF$2:$AF$805,[1]شهریور!$O$2:$O$805,7601,[1]شهریور!$D$2:$D$805,$F$32,[1]شهریور!$AC$2:$AC$805,P3)</f>
        <v>0</v>
      </c>
      <c r="Q32" s="298">
        <f>SUMIFS([1]شهریور!$AF$2:$AF$805,[1]شهریور!$O$2:$O$805,7601,[1]شهریور!$D$2:$D$805,$F$32,[1]شهریور!$AC$2:$AC$805,Q3)</f>
        <v>0</v>
      </c>
      <c r="R32" s="298">
        <f>SUMIFS([1]شهریور!$AF$2:$AF$805,[1]شهریور!$O$2:$O$805,7601,[1]شهریور!$D$2:$D$805,$F$32,[1]شهریور!$AC$2:$AC$805,R3)</f>
        <v>8</v>
      </c>
      <c r="S32" s="298">
        <f>SUMIFS([1]شهریور!$AF$2:$AF$805,[1]شهریور!$O$2:$O$805,7601,[1]شهریور!$D$2:$D$805,$F$32,[1]شهریور!$AC$2:$AC$805,S3)</f>
        <v>0</v>
      </c>
      <c r="T32" s="464">
        <f>SUMIFS([1]شهریور!$AF$2:$AF$805,[1]شهریور!$O$2:$O$805,7601,[1]شهریور!$D$2:$D$805,$F$32,[1]شهریور!$AC$2:$AC$805,T3)</f>
        <v>0</v>
      </c>
      <c r="U32" s="464">
        <f>SUMIFS([1]شهریور!$AF$2:$AF$805,[1]شهریور!$O$2:$O$805,7601,[1]شهریور!$D$2:$D$805,$F$32,[1]شهریور!$AC$2:$AC$805,U3)</f>
        <v>0</v>
      </c>
      <c r="V32" s="187">
        <f>SUMIFS([1]شهریور!$AH$2:$AH$805,[1]شهریور!$O$2:$O$805,7601,[1]شهریور!$D$2:$D$805,$F$32,[1]شهریور!$AC$2:$AC$805,V3)</f>
        <v>3</v>
      </c>
      <c r="W32" s="163">
        <f>SUMIFS([1]شهریور!$AH$2:$AH$805,[1]شهریور!$O$2:$O$805,7601,[1]شهریور!$D$2:$D$805,$F$32,[1]شهریور!$AC$2:$AC$805,W3)</f>
        <v>0</v>
      </c>
      <c r="X32" s="187">
        <f>SUMIFS([1]شهریور!$AH$2:$AH$805,[1]شهریور!$O$2:$O$805,7601,[1]شهریور!$D$2:$D$805,$F$32,[1]شهریور!$AC$2:$AC$805,X3)</f>
        <v>0</v>
      </c>
      <c r="Y32" s="187">
        <f>SUMIFS([1]شهریور!$AH$2:$AH$805,[1]شهریور!$O$2:$O$805,7601,[1]شهریور!$D$2:$D$805,$F$32,[1]شهریور!$AC$2:$AC$805,Y3)</f>
        <v>0</v>
      </c>
      <c r="Z32" s="187">
        <f>SUMIFS([1]شهریور!$AH$2:$AH$805,[1]شهریور!$O$2:$O$805,7601,[1]شهریور!$D$2:$D$805,$F$32,[1]شهریور!$AC$2:$AC$805,Z3)</f>
        <v>0</v>
      </c>
      <c r="AA32" s="163">
        <f>SUMIFS([1]شهریور!$AH$2:$AH$805,[1]شهریور!$O$2:$O$805,7601,[1]شهریور!$D$2:$D$805,$F$32,[1]شهریور!$AC$2:$AC$805,AA3)</f>
        <v>0</v>
      </c>
      <c r="AB32" s="163">
        <f>SUMIFS([1]شهریور!$AH$2:$AH$805,[1]شهریور!$O$2:$O$805,7601,[1]شهریور!$D$2:$D$805,$F$32,[1]شهریور!$AC$2:$AC$805,AB3)</f>
        <v>0</v>
      </c>
    </row>
    <row r="33" spans="1:28" ht="33.75" customHeight="1" thickBot="1" x14ac:dyDescent="0.3">
      <c r="A33" s="940"/>
      <c r="B33" s="123"/>
      <c r="C33" s="810"/>
      <c r="D33" s="810"/>
      <c r="E33" s="915"/>
      <c r="F33" s="124"/>
      <c r="G33" s="126">
        <f t="shared" si="0"/>
        <v>0</v>
      </c>
      <c r="H33" s="761">
        <f t="shared" si="1"/>
        <v>0</v>
      </c>
      <c r="I33" s="1">
        <f t="shared" si="2"/>
        <v>0</v>
      </c>
      <c r="J33" s="125">
        <v>0</v>
      </c>
      <c r="K33" s="126">
        <v>0</v>
      </c>
      <c r="L33" s="126">
        <v>0</v>
      </c>
      <c r="M33" s="127"/>
      <c r="N33" s="917"/>
      <c r="O33" s="299">
        <f>SUMIFS([1]مرداد!$AF$2:$AF$805,[1]مرداد!$O$2:$O$805,7601,[1]مرداد!$D$2:$D$805,$F$33,[1]مرداد!$AC$2:$AC$805,O3)</f>
        <v>0</v>
      </c>
      <c r="P33" s="896">
        <f>SUMIFS([1]مرداد!$AF$2:$AF$805,[1]مرداد!$O$2:$O$805,7601,[1]مرداد!$D$2:$D$805,$F$33,[1]مرداد!$AC$2:$AC$805,P3)</f>
        <v>0</v>
      </c>
      <c r="Q33" s="299">
        <f>SUMIFS([1]مرداد!$AF$2:$AF$805,[1]مرداد!$O$2:$O$805,7601,[1]مرداد!$D$2:$D$805,$F$33,[1]مرداد!$AC$2:$AC$805,Q3)</f>
        <v>0</v>
      </c>
      <c r="R33" s="299">
        <f>SUMIFS([1]مرداد!$AF$2:$AF$805,[1]مرداد!$O$2:$O$805,7601,[1]مرداد!$D$2:$D$805,$F$33,[1]مرداد!$AC$2:$AC$805,R3)</f>
        <v>0</v>
      </c>
      <c r="S33" s="299">
        <f>SUMIFS([1]مرداد!$AF$2:$AF$805,[1]مرداد!$O$2:$O$805,7601,[1]مرداد!$D$2:$D$805,$F$33,[1]مرداد!$AC$2:$AC$805,S3)</f>
        <v>0</v>
      </c>
      <c r="T33" s="896">
        <f>SUMIFS([1]مرداد!$AF$2:$AF$805,[1]مرداد!$O$2:$O$805,7601,[1]مرداد!$D$2:$D$805,$F$33,[1]مرداد!$AC$2:$AC$805,T3)</f>
        <v>0</v>
      </c>
      <c r="U33" s="897">
        <f>SUMIFS([1]مرداد!$AF$2:$AF$805,[1]مرداد!$O$2:$O$805,7601,[1]مرداد!$D$2:$D$805,$F$33,[1]مرداد!$AC$2:$AC$805,U3)</f>
        <v>0</v>
      </c>
      <c r="V33" s="274">
        <f>SUMIFS([1]مرداد!$AH$2:$AH$805,[1]مرداد!$O$2:$O$805,7601,[1]مرداد!$D$2:$D$805,$F$33,[1]مرداد!$AC$2:$AC$805,V3)</f>
        <v>0</v>
      </c>
      <c r="W33" s="896">
        <f>SUMIFS([1]مرداد!$AH$2:$AH$805,[1]مرداد!$O$2:$O$805,7601,[1]مرداد!$D$2:$D$805,$F$33,[1]مرداد!$AC$2:$AC$805,W3)</f>
        <v>0</v>
      </c>
      <c r="X33" s="299">
        <f>SUMIFS([1]مرداد!$AH$2:$AH$805,[1]مرداد!$O$2:$O$805,7601,[1]مرداد!$D$2:$D$805,$F$33,[1]مرداد!$AC$2:$AC$805,X3)</f>
        <v>0</v>
      </c>
      <c r="Y33" s="299">
        <f>SUMIFS([1]مرداد!$AH$2:$AH$805,[1]مرداد!$O$2:$O$805,7601,[1]مرداد!$D$2:$D$805,$F$33,[1]مرداد!$AC$2:$AC$805,Y3)</f>
        <v>0</v>
      </c>
      <c r="Z33" s="299">
        <f>SUMIFS([1]مرداد!$AH$2:$AH$805,[1]مرداد!$O$2:$O$805,7601,[1]مرداد!$D$2:$D$805,$F$33,[1]مرداد!$AC$2:$AC$805,Z3)</f>
        <v>0</v>
      </c>
      <c r="AA33" s="896">
        <f>SUMIFS([1]مرداد!$AH$2:$AH$805,[1]مرداد!$O$2:$O$805,7601,[1]مرداد!$D$2:$D$805,$F$33,[1]مرداد!$AC$2:$AC$805,AA3)</f>
        <v>0</v>
      </c>
      <c r="AB33" s="897">
        <f>SUMIFS([1]مرداد!$AH$2:$AH$805,[1]مرداد!$O$2:$O$805,7601,[1]مرداد!$D$2:$D$805,$F$33,[1]مرداد!$AC$2:$AC$805,AB3)</f>
        <v>0</v>
      </c>
    </row>
    <row r="34" spans="1:28" ht="33.75" customHeight="1" x14ac:dyDescent="0.25">
      <c r="A34" s="912">
        <v>15</v>
      </c>
      <c r="B34" s="83" t="s">
        <v>26</v>
      </c>
      <c r="C34" s="809">
        <v>7602</v>
      </c>
      <c r="D34" s="809">
        <v>64</v>
      </c>
      <c r="E34" s="914" t="s">
        <v>15</v>
      </c>
      <c r="F34" s="84" t="s">
        <v>27</v>
      </c>
      <c r="G34" s="846">
        <f t="shared" si="0"/>
        <v>35</v>
      </c>
      <c r="H34" s="46">
        <f t="shared" si="1"/>
        <v>0</v>
      </c>
      <c r="I34" s="846">
        <f t="shared" si="2"/>
        <v>0</v>
      </c>
      <c r="J34" s="85">
        <v>0</v>
      </c>
      <c r="K34" s="85">
        <v>0</v>
      </c>
      <c r="L34" s="85">
        <v>0</v>
      </c>
      <c r="M34" s="87">
        <f>(J34+J35+I35+I34+H34+H35+G35+G34)-D34</f>
        <v>-29</v>
      </c>
      <c r="N34" s="916" t="s">
        <v>13</v>
      </c>
      <c r="O34" s="292">
        <f>SUMIFS([1]شهریور!$AF$2:$AF$805,[1]شهریور!$O$2:$O$805,7602,[1]شهریور!$D$2:$D$805,$F$34,[1]شهریور!$AC$2:$AC$805,O3)</f>
        <v>0</v>
      </c>
      <c r="P34" s="393">
        <f>SUMIFS([1]شهریور!$AF$2:$AF$805,[1]شهریور!$O$2:$O$805,7602,[1]شهریور!$D$2:$D$805,$F$34,[1]شهریور!$AC$2:$AC$805,P3)</f>
        <v>0</v>
      </c>
      <c r="Q34" s="292">
        <f>SUMIFS([1]شهریور!$AF$2:$AF$805,[1]شهریور!$O$2:$O$805,7602,[1]شهریور!$D$2:$D$805,$F$34,[1]شهریور!$AC$2:$AC$805,Q3)</f>
        <v>11</v>
      </c>
      <c r="R34" s="292">
        <f>SUMIFS([1]شهریور!$AF$2:$AF$805,[1]شهریور!$O$2:$O$805,7602,[1]شهریور!$D$2:$D$805,$F$34,[1]شهریور!$AC$2:$AC$805,R3)</f>
        <v>20</v>
      </c>
      <c r="S34" s="292">
        <f>SUMIFS([1]شهریور!$AF$2:$AF$805,[1]شهریور!$O$2:$O$805,7602,[1]شهریور!$D$2:$D$805,$F$34,[1]شهریور!$AC$2:$AC$805,S3)</f>
        <v>4</v>
      </c>
      <c r="T34" s="393">
        <f>SUMIFS([1]شهریور!$AF$2:$AF$805,[1]شهریور!$O$2:$O$805,7602,[1]شهریور!$D$2:$D$805,$F$34,[1]شهریور!$AC$2:$AC$805,T3)</f>
        <v>0</v>
      </c>
      <c r="U34" s="393">
        <f>SUMIFS([1]شهریور!$AF$2:$AF$805,[1]شهریور!$O$2:$O$805,7602,[1]شهریور!$D$2:$D$805,$F$34,[1]شهریور!$AC$2:$AC$805,U3)</f>
        <v>0</v>
      </c>
      <c r="V34" s="165">
        <f>SUMIFS([1]شهریور!$AH$2:$AH$805,[1]شهریور!$O$2:$O$805,7602,[1]شهریور!$D$2:$D$805,$F$36,[1]شهریور!$AC$2:$AC$805,V3)</f>
        <v>0</v>
      </c>
      <c r="W34" s="159">
        <f>SUMIFS([1]شهریور!$AH$2:$AH$805,[1]شهریور!$O$2:$O$805,7602,[1]شهریور!$D$2:$D$805,$F$36,[1]شهریور!$AC$2:$AC$805,W3)</f>
        <v>0</v>
      </c>
      <c r="X34" s="165">
        <f>SUMIFS([1]شهریور!$AH$2:$AH$805,[1]شهریور!$O$2:$O$805,7602,[1]شهریور!$D$2:$D$805,$F$36,[1]شهریور!$AC$2:$AC$805,X3)</f>
        <v>0</v>
      </c>
      <c r="Y34" s="165">
        <f>SUMIFS([1]شهریور!$AH$2:$AH$805,[1]شهریور!$O$2:$O$805,7602,[1]شهریور!$D$2:$D$805,$F$36,[1]شهریور!$AC$2:$AC$805,Y3)</f>
        <v>0</v>
      </c>
      <c r="Z34" s="165">
        <f>SUMIFS([1]شهریور!$AH$2:$AH$805,[1]شهریور!$O$2:$O$805,7602,[1]شهریور!$D$2:$D$805,$F$36,[1]شهریور!$AC$2:$AC$805,Z3)</f>
        <v>0</v>
      </c>
      <c r="AA34" s="159">
        <f>SUMIFS([1]شهریور!$AH$2:$AH$805,[1]شهریور!$O$2:$O$805,7602,[1]شهریور!$D$2:$D$805,$F$36,[1]شهریور!$AC$2:$AC$805,AA3)</f>
        <v>0</v>
      </c>
      <c r="AB34" s="159">
        <f>SUMIFS([1]شهریور!$AH$2:$AH$805,[1]شهریور!$O$2:$O$805,7602,[1]شهریور!$D$2:$D$805,$F$36,[1]شهریور!$AC$2:$AC$805,AB3)</f>
        <v>0</v>
      </c>
    </row>
    <row r="35" spans="1:28" ht="33.75" customHeight="1" thickBot="1" x14ac:dyDescent="0.3">
      <c r="A35" s="913"/>
      <c r="B35" s="123"/>
      <c r="C35" s="810"/>
      <c r="D35" s="810"/>
      <c r="E35" s="915"/>
      <c r="F35" s="124"/>
      <c r="G35" s="6">
        <f t="shared" si="0"/>
        <v>0</v>
      </c>
      <c r="H35" s="761">
        <f t="shared" si="1"/>
        <v>0</v>
      </c>
      <c r="I35" s="1">
        <f t="shared" si="2"/>
        <v>0</v>
      </c>
      <c r="J35" s="125">
        <v>0</v>
      </c>
      <c r="K35" s="126">
        <v>0</v>
      </c>
      <c r="L35" s="126">
        <v>0</v>
      </c>
      <c r="M35" s="127"/>
      <c r="N35" s="917"/>
      <c r="O35" s="294">
        <f>SUMIFS([1]اردیبهشت!$AD$2:$AD$805,[1]اردیبهشت!$N$2:$N$805,$C$34,[1]اردیبهشت!$D$2:$D$805,$F$35,[1]اردیبهشت!$AA$2:$AA$805,O3)</f>
        <v>0</v>
      </c>
      <c r="P35" s="103">
        <f>SUMIFS([1]اردیبهشت!$AD$2:$AD$600,[1]اردیبهشت!$N$2:$N$600,$C$34,[1]اردیبهشت!$D$2:$D$600,$F$35,[1]اردیبهشت!$AA$2:$AA$600,P3)</f>
        <v>0</v>
      </c>
      <c r="Q35" s="172">
        <f>SUMIFS([1]اردیبهشت!$AD$2:$AD$600,[1]اردیبهشت!$N$2:$N$600,$C$34,[1]اردیبهشت!$D$2:$D$600,$F$35,[1]اردیبهشت!$AA$2:$AA$600,Q3)</f>
        <v>0</v>
      </c>
      <c r="R35" s="172">
        <f>SUMIFS([1]اردیبهشت!$AD$2:$AD$600,[1]اردیبهشت!$N$2:$N$600,$C$34,[1]اردیبهشت!$D$2:$D$600,$F$35,[1]اردیبهشت!$AA$2:$AA$600,R3)</f>
        <v>0</v>
      </c>
      <c r="S35" s="172">
        <f>SUMIFS([1]اردیبهشت!$AD$2:$AD$600,[1]اردیبهشت!$N$2:$N$600,$C$34,[1]اردیبهشت!$D$2:$D$600,$F$35,[1]اردیبهشت!$AA$2:$AA$600,S3)</f>
        <v>0</v>
      </c>
      <c r="T35" s="103">
        <f>SUMIFS([1]اردیبهشت!$AD$2:$AD$600,[1]اردیبهشت!$N$2:$N$600,$C$34,[1]اردیبهشت!$D$2:$D$600,$F$35,[1]اردیبهشت!$AA$2:$AA$600,T3)</f>
        <v>0</v>
      </c>
      <c r="U35" s="109">
        <f>SUMIFS([1]خرداد!$AF$2:$AF$700,[1]خرداد!$O$2:$O$700,7101,[1]خرداد!$D$2:$D$700,$F$4,[1]خرداد!$AC$2:$AC$700,U34)</f>
        <v>0</v>
      </c>
      <c r="V35" s="171">
        <f>SUMIFS([1]مرداد!$AH$2:$AH$805,[1]مرداد!$O$2:$O$805,7602,[1]مرداد!$D$2:$D$805,$F$35,[1]مرداد!$AC$2:$AC$805,V3)</f>
        <v>0</v>
      </c>
      <c r="W35" s="904">
        <f>SUMIFS([1]مرداد!$AH$2:$AH$805,[1]مرداد!$O$2:$O$805,7602,[1]مرداد!$D$2:$D$805,$F$35,[1]مرداد!$AC$2:$AC$805,W3)</f>
        <v>0</v>
      </c>
      <c r="X35" s="294">
        <f>SUMIFS([1]مرداد!$AH$2:$AH$805,[1]مرداد!$O$2:$O$805,7602,[1]مرداد!$D$2:$D$805,$F$35,[1]مرداد!$AC$2:$AC$805,X3)</f>
        <v>0</v>
      </c>
      <c r="Y35" s="294">
        <f>SUMIFS([1]مرداد!$AH$2:$AH$805,[1]مرداد!$O$2:$O$805,7602,[1]مرداد!$D$2:$D$805,$F$35,[1]مرداد!$AC$2:$AC$805,Y3)</f>
        <v>0</v>
      </c>
      <c r="Z35" s="294">
        <f>SUMIFS([1]مرداد!$AH$2:$AH$805,[1]مرداد!$O$2:$O$805,7602,[1]مرداد!$D$2:$D$805,$F$35,[1]مرداد!$AC$2:$AC$805,Z3)</f>
        <v>0</v>
      </c>
      <c r="AA35" s="904">
        <f>SUMIFS([1]مرداد!$AH$2:$AH$805,[1]مرداد!$O$2:$O$805,7602,[1]مرداد!$D$2:$D$805,$F$35,[1]مرداد!$AC$2:$AC$805,AA3)</f>
        <v>0</v>
      </c>
      <c r="AB35" s="700">
        <f>SUMIFS([1]مرداد!$AH$2:$AH$805,[1]مرداد!$O$2:$O$805,7602,[1]مرداد!$D$2:$D$805,$F$35,[1]مرداد!$AC$2:$AC$805,AB3)</f>
        <v>0</v>
      </c>
    </row>
    <row r="36" spans="1:28" ht="33.75" customHeight="1" x14ac:dyDescent="0.25">
      <c r="A36" s="912">
        <v>16</v>
      </c>
      <c r="B36" s="831" t="s">
        <v>26</v>
      </c>
      <c r="C36" s="832">
        <v>7603</v>
      </c>
      <c r="D36" s="832">
        <v>64</v>
      </c>
      <c r="E36" s="970" t="s">
        <v>15</v>
      </c>
      <c r="F36" s="91" t="s">
        <v>27</v>
      </c>
      <c r="G36" s="1">
        <f t="shared" si="0"/>
        <v>0</v>
      </c>
      <c r="H36" s="49">
        <f t="shared" si="1"/>
        <v>0</v>
      </c>
      <c r="I36" s="846">
        <f t="shared" si="2"/>
        <v>0</v>
      </c>
      <c r="J36" s="1">
        <v>0</v>
      </c>
      <c r="K36" s="1">
        <v>0</v>
      </c>
      <c r="L36" s="1">
        <v>0</v>
      </c>
      <c r="M36" s="60">
        <f>(J36+J37+I37+I36+H36+H37+G37+G36+L36+L37)-D36</f>
        <v>-64</v>
      </c>
      <c r="N36" s="928" t="s">
        <v>13</v>
      </c>
      <c r="O36" s="356">
        <f>SUMIFS([1]شهریور!$AF$2:$AF$805,[1]شهریور!$O$2:$O$805,7603,[1]شهریور!$D$2:$D$805,$F$36,[1]شهریور!$AC$2:$AC$805,O3)</f>
        <v>0</v>
      </c>
      <c r="P36" s="395">
        <f>SUMIFS([1]شهریور!$AF$2:$AF$805,[1]شهریور!$O$2:$O$805,7603,[1]شهریور!$D$2:$D$805,$F$36,[1]شهریور!$AC$2:$AC$805,P3)</f>
        <v>0</v>
      </c>
      <c r="Q36" s="356">
        <f>SUMIFS([1]شهریور!$AF$2:$AF$805,[1]شهریور!$O$2:$O$805,7603,[1]شهریور!$D$2:$D$805,$F$36,[1]شهریور!$AC$2:$AC$805,Q3)</f>
        <v>0</v>
      </c>
      <c r="R36" s="356">
        <f>SUMIFS([1]شهریور!$AF$2:$AF$805,[1]شهریور!$O$2:$O$805,7603,[1]شهریور!$D$2:$D$805,$F$36,[1]شهریور!$AC$2:$AC$805,R3)</f>
        <v>0</v>
      </c>
      <c r="S36" s="356">
        <f>SUMIFS([1]شهریور!$AF$2:$AF$805,[1]شهریور!$O$2:$O$805,7603,[1]شهریور!$D$2:$D$805,$F$36,[1]شهریور!$AC$2:$AC$805,S3)</f>
        <v>0</v>
      </c>
      <c r="T36" s="395">
        <f>SUMIFS([1]شهریور!$AF$2:$AF$805,[1]شهریور!$O$2:$O$805,7603,[1]شهریور!$D$2:$D$805,$F$36,[1]شهریور!$AC$2:$AC$805,T3)</f>
        <v>0</v>
      </c>
      <c r="U36" s="395">
        <f>SUMIFS([1]شهریور!$AF$2:$AF$805,[1]شهریور!$O$2:$O$805,7603,[1]شهریور!$D$2:$D$805,$F$36,[1]شهریور!$AC$2:$AC$805,U3)</f>
        <v>0</v>
      </c>
      <c r="V36" s="165">
        <f>SUMIFS([1]شهریور!$AH$2:$AH$805,[1]شهریور!$O$2:$O$805,7603,[1]شهریور!$D$2:$D$805,$F$36,[1]شهریور!$AC$2:$AC$805,V3)</f>
        <v>0</v>
      </c>
      <c r="W36" s="159">
        <f>SUMIFS([1]شهریور!$AH$2:$AH$805,[1]شهریور!$O$2:$O$805,7603,[1]شهریور!$D$2:$D$805,$F$36,[1]شهریور!$AC$2:$AC$805,W3)</f>
        <v>0</v>
      </c>
      <c r="X36" s="165">
        <f>SUMIFS([1]شهریور!$AH$2:$AH$805,[1]شهریور!$O$2:$O$805,7603,[1]شهریور!$D$2:$D$805,$F$36,[1]شهریور!$AC$2:$AC$805,X3)</f>
        <v>0</v>
      </c>
      <c r="Y36" s="165">
        <f>SUMIFS([1]شهریور!$AH$2:$AH$805,[1]شهریور!$O$2:$O$805,7603,[1]شهریور!$D$2:$D$805,$F$36,[1]شهریور!$AC$2:$AC$805,Y3)</f>
        <v>0</v>
      </c>
      <c r="Z36" s="165">
        <f>SUMIFS([1]شهریور!$AH$2:$AH$805,[1]شهریور!$O$2:$O$805,7603,[1]شهریور!$D$2:$D$805,$F$36,[1]شهریور!$AC$2:$AC$805,Z3)</f>
        <v>0</v>
      </c>
      <c r="AA36" s="159">
        <f>SUMIFS([1]شهریور!$AH$2:$AH$805,[1]شهریور!$O$2:$O$805,7603,[1]شهریور!$D$2:$D$805,$F$36,[1]شهریور!$AC$2:$AC$805,AA3)</f>
        <v>0</v>
      </c>
      <c r="AB36" s="159">
        <f>SUMIFS([1]شهریور!$AH$2:$AH$805,[1]شهریور!$O$2:$O$805,7603,[1]شهریور!$D$2:$D$805,$F$36,[1]شهریور!$AC$2:$AC$805,AB3)</f>
        <v>0</v>
      </c>
    </row>
    <row r="37" spans="1:28" ht="33.75" customHeight="1" thickBot="1" x14ac:dyDescent="0.3">
      <c r="A37" s="942"/>
      <c r="B37" s="825"/>
      <c r="C37" s="828"/>
      <c r="D37" s="828"/>
      <c r="E37" s="966"/>
      <c r="F37" s="24"/>
      <c r="G37" s="4">
        <f t="shared" si="0"/>
        <v>0</v>
      </c>
      <c r="H37" s="765">
        <f t="shared" si="1"/>
        <v>0</v>
      </c>
      <c r="I37" s="1">
        <f t="shared" si="2"/>
        <v>0</v>
      </c>
      <c r="J37" s="25">
        <v>0</v>
      </c>
      <c r="K37" s="4">
        <v>0</v>
      </c>
      <c r="L37" s="4">
        <v>0</v>
      </c>
      <c r="M37" s="65"/>
      <c r="N37" s="950"/>
      <c r="O37" s="352">
        <f>SUMIFS([1]اردیبهشت!$AD$2:$AD$805,[1]اردیبهشت!$N$2:$N$805,$C$36,[1]اردیبهشت!$D$2:$D$805,$F$37,[1]اردیبهشت!$AA$2:$AA$805,O3)</f>
        <v>0</v>
      </c>
      <c r="P37" s="97">
        <f>SUMIFS([1]اردیبهشت!$AD$2:$AD$600,[1]اردیبهشت!$N$2:$N$600,$C$36,[1]اردیبهشت!$D$2:$D$600,$F$37,[1]اردیبهشت!$AA$2:$AA$600,P3)</f>
        <v>0</v>
      </c>
      <c r="Q37" s="175">
        <f>SUMIFS([1]اردیبهشت!$AD$2:$AD$600,[1]اردیبهشت!$N$2:$N$600,$C$36,[1]اردیبهشت!$D$2:$D$600,$F$37,[1]اردیبهشت!$AA$2:$AA$600,Q3)</f>
        <v>0</v>
      </c>
      <c r="R37" s="175">
        <f>SUMIFS([1]اردیبهشت!$AD$2:$AD$600,[1]اردیبهشت!$N$2:$N$600,$C$36,[1]اردیبهشت!$D$2:$D$600,$F$37,[1]اردیبهشت!$AA$2:$AA$600,R3)</f>
        <v>0</v>
      </c>
      <c r="S37" s="175">
        <f>SUMIFS([1]اردیبهشت!$AD$2:$AD$600,[1]اردیبهشت!$N$2:$N$600,$C$36,[1]اردیبهشت!$D$2:$D$600,$F$37,[1]اردیبهشت!$AA$2:$AA$600,S3)</f>
        <v>0</v>
      </c>
      <c r="T37" s="97">
        <f>SUMIFS([1]اردیبهشت!$AD$2:$AD$600,[1]اردیبهشت!$N$2:$N$600,$C$36,[1]اردیبهشت!$D$2:$D$600,$F$37,[1]اردیبهشت!$AA$2:$AA$600,T3)</f>
        <v>0</v>
      </c>
      <c r="U37" s="793">
        <f>SUMIFS([1]خرداد!$AF$2:$AF$700,[1]خرداد!$O$2:$O$700,7101,[1]خرداد!$D$2:$D$700,$F$4,[1]خرداد!$AC$2:$AC$700,U36)</f>
        <v>0</v>
      </c>
      <c r="V37" s="171">
        <f>SUMIFS([1]مرداد!$AH$2:$AH$805,[1]مرداد!$O$2:$O$805,7603,[1]مرداد!$D$2:$D$805,$F$37,[1]مرداد!$AC$2:$AC$805,V3)</f>
        <v>0</v>
      </c>
      <c r="W37" s="904">
        <f>SUMIFS([1]مرداد!$AH$2:$AH$805,[1]مرداد!$O$2:$O$805,7603,[1]مرداد!$D$2:$D$805,$F$37,[1]مرداد!$AC$2:$AC$805,W3)</f>
        <v>0</v>
      </c>
      <c r="X37" s="294">
        <f>SUMIFS([1]مرداد!$AH$2:$AH$805,[1]مرداد!$O$2:$O$805,7603,[1]مرداد!$D$2:$D$805,$F$37,[1]مرداد!$AC$2:$AC$805,X3)</f>
        <v>0</v>
      </c>
      <c r="Y37" s="294">
        <f>SUMIFS([1]مرداد!$AH$2:$AH$805,[1]مرداد!$O$2:$O$805,7603,[1]مرداد!$D$2:$D$805,$F$37,[1]مرداد!$AC$2:$AC$805,Y3)</f>
        <v>0</v>
      </c>
      <c r="Z37" s="294">
        <f>SUMIFS([1]مرداد!$AH$2:$AH$805,[1]مرداد!$O$2:$O$805,7603,[1]مرداد!$D$2:$D$805,$F$37,[1]مرداد!$AC$2:$AC$805,Z3)</f>
        <v>0</v>
      </c>
      <c r="AA37" s="904">
        <f>SUMIFS([1]مرداد!$AH$2:$AH$805,[1]مرداد!$O$2:$O$805,7603,[1]مرداد!$D$2:$D$805,$F$37,[1]مرداد!$AC$2:$AC$805,AA3)</f>
        <v>0</v>
      </c>
      <c r="AB37" s="700">
        <f>SUMIFS([1]مرداد!$AH$2:$AH$805,[1]مرداد!$O$2:$O$805,7603,[1]مرداد!$D$2:$D$805,$F$37,[1]مرداد!$AC$2:$AC$805,AB3)</f>
        <v>0</v>
      </c>
    </row>
    <row r="38" spans="1:28" ht="33.75" customHeight="1" x14ac:dyDescent="0.25">
      <c r="A38" s="912">
        <v>17</v>
      </c>
      <c r="B38" s="833" t="s">
        <v>26</v>
      </c>
      <c r="C38" s="771">
        <v>7604</v>
      </c>
      <c r="D38" s="809">
        <v>64</v>
      </c>
      <c r="E38" s="914" t="s">
        <v>15</v>
      </c>
      <c r="F38" s="84" t="s">
        <v>27</v>
      </c>
      <c r="G38" s="85">
        <f>SUM(O38:T38)</f>
        <v>33</v>
      </c>
      <c r="H38" s="46">
        <f t="shared" si="1"/>
        <v>0</v>
      </c>
      <c r="I38" s="846">
        <f t="shared" si="2"/>
        <v>3</v>
      </c>
      <c r="J38" s="85">
        <v>0</v>
      </c>
      <c r="K38" s="85">
        <v>0</v>
      </c>
      <c r="L38" s="85">
        <v>0</v>
      </c>
      <c r="M38" s="87"/>
      <c r="N38" s="955" t="str">
        <f>IF(I18&gt;0,"②","")</f>
        <v>②</v>
      </c>
      <c r="O38" s="298">
        <f>SUMIFS([1]شهریور!$AF$2:$AF$805,[1]شهریور!$O$2:$O$805,7604,[1]شهریور!$D$2:$D$805,$F$38,[1]شهریور!$AC$2:$AC$805,O3)</f>
        <v>9</v>
      </c>
      <c r="P38" s="464">
        <f>SUMIFS([1]شهریور!$AF$2:$AF$805,[1]شهریور!$O$2:$O$805,7604,[1]شهریور!$D$2:$D$805,$F$38,[1]شهریور!$AC$2:$AC$805,P3)</f>
        <v>0</v>
      </c>
      <c r="Q38" s="298">
        <f>SUMIFS([1]شهریور!$AF$2:$AF$805,[1]شهریور!$O$2:$O$805,7604,[1]شهریور!$D$2:$D$805,$F$38,[1]شهریور!$AC$2:$AC$805,Q3)</f>
        <v>12</v>
      </c>
      <c r="R38" s="298">
        <f>SUMIFS([1]شهریور!$AF$2:$AF$805,[1]شهریور!$O$2:$O$805,7604,[1]شهریور!$D$2:$D$805,$F$38,[1]شهریور!$AC$2:$AC$805,R3)</f>
        <v>0</v>
      </c>
      <c r="S38" s="298">
        <f>SUMIFS([1]شهریور!$AF$2:$AF$805,[1]شهریور!$O$2:$O$805,7604,[1]شهریور!$D$2:$D$805,$F$38,[1]شهریور!$AC$2:$AC$805,S3)</f>
        <v>12</v>
      </c>
      <c r="T38" s="464">
        <f>SUMIFS([1]شهریور!$AF$2:$AF$805,[1]شهریور!$O$2:$O$805,7604,[1]شهریور!$D$2:$D$805,$F$38,[1]شهریور!$AC$2:$AC$805,T3)</f>
        <v>0</v>
      </c>
      <c r="U38" s="464">
        <f>SUMIFS([1]شهریور!$AF$2:$AF$805,[1]شهریور!$O$2:$O$805,7604,[1]شهریور!$D$2:$D$805,$F$38,[1]شهریور!$AC$2:$AC$805,U3)</f>
        <v>0</v>
      </c>
      <c r="V38" s="187">
        <f>SUMIFS([1]شهریور!$AH$2:$AH$805,[1]شهریور!$O$2:$O$805,7604,[1]شهریور!$D$2:$D$805,$F$38,[1]شهریور!$AC$2:$AC$805,V3)</f>
        <v>3</v>
      </c>
      <c r="W38" s="163">
        <f>SUMIFS([1]شهریور!$AH$2:$AH$805,[1]شهریور!$O$2:$O$805,7604,[1]شهریور!$D$2:$D$805,$F$38,[1]شهریور!$AC$2:$AC$805,W3)</f>
        <v>0</v>
      </c>
      <c r="X38" s="187">
        <f>SUMIFS([1]شهریور!$AH$2:$AH$805,[1]شهریور!$O$2:$O$805,7604,[1]شهریور!$D$2:$D$805,$F$38,[1]شهریور!$AC$2:$AC$805,X3)</f>
        <v>0</v>
      </c>
      <c r="Y38" s="187">
        <f>SUMIFS([1]شهریور!$AH$2:$AH$805,[1]شهریور!$O$2:$O$805,7604,[1]شهریور!$D$2:$D$805,$F$38,[1]شهریور!$AC$2:$AC$805,Y3)</f>
        <v>0</v>
      </c>
      <c r="Z38" s="187">
        <f>SUMIFS([1]شهریور!$AH$2:$AH$805,[1]شهریور!$O$2:$O$805,7604,[1]شهریور!$D$2:$D$805,$F$38,[1]شهریور!$AC$2:$AC$805,Z3)</f>
        <v>0</v>
      </c>
      <c r="AA38" s="163">
        <f>SUMIFS([1]شهریور!$AH$2:$AH$805,[1]شهریور!$O$2:$O$805,7604,[1]شهریور!$D$2:$D$805,$F$38,[1]شهریور!$AC$2:$AC$805,AA3)</f>
        <v>0</v>
      </c>
      <c r="AB38" s="163">
        <f>SUMIFS([1]شهریور!$AH$2:$AH$805,[1]شهریور!$O$2:$O$805,7604,[1]شهریور!$D$2:$D$805,$F$38,[1]شهریور!$AC$2:$AC$805,AB3)</f>
        <v>0</v>
      </c>
    </row>
    <row r="39" spans="1:28" ht="41.25" customHeight="1" thickBot="1" x14ac:dyDescent="0.3">
      <c r="A39" s="913"/>
      <c r="B39" s="834"/>
      <c r="C39" s="772"/>
      <c r="D39" s="810"/>
      <c r="E39" s="915"/>
      <c r="F39" s="124"/>
      <c r="G39" s="126">
        <f t="shared" si="0"/>
        <v>0</v>
      </c>
      <c r="H39" s="761">
        <f t="shared" si="1"/>
        <v>0</v>
      </c>
      <c r="I39" s="1">
        <f t="shared" si="2"/>
        <v>0</v>
      </c>
      <c r="J39" s="125">
        <v>0</v>
      </c>
      <c r="K39" s="126">
        <v>0</v>
      </c>
      <c r="L39" s="126">
        <v>0</v>
      </c>
      <c r="M39" s="154"/>
      <c r="N39" s="917"/>
      <c r="O39" s="274"/>
      <c r="P39" s="890"/>
      <c r="Q39" s="275"/>
      <c r="R39" s="275"/>
      <c r="S39" s="275"/>
      <c r="T39" s="890"/>
      <c r="U39" s="795"/>
      <c r="V39" s="274">
        <f>SUMIFS([1]مرداد!$AH$2:$AH$805,[1]مرداد!$O$2:$O$805,7604,[1]مرداد!$D$2:$D$805,$F$39,[1]مرداد!$AC$2:$AC$805,V3)</f>
        <v>0</v>
      </c>
      <c r="W39" s="890">
        <f>SUMIFS([1]مرداد!$AH$2:$AH$805,[1]مرداد!$O$2:$O$805,7604,[1]مرداد!$D$2:$D$805,$F$39,[1]مرداد!$AC$2:$AC$805,W3)</f>
        <v>0</v>
      </c>
      <c r="X39" s="275">
        <f>SUMIFS([1]مرداد!$AH$2:$AH$805,[1]مرداد!$O$2:$O$805,7604,[1]مرداد!$D$2:$D$805,$F$39,[1]مرداد!$AC$2:$AC$805,X3)</f>
        <v>0</v>
      </c>
      <c r="Y39" s="275">
        <f>SUMIFS([1]مرداد!$AH$2:$AH$805,[1]مرداد!$O$2:$O$805,7604,[1]مرداد!$D$2:$D$805,$F$39,[1]مرداد!$AC$2:$AC$805,Y3)</f>
        <v>0</v>
      </c>
      <c r="Z39" s="275">
        <f>SUMIFS([1]مرداد!$AH$2:$AH$805,[1]مرداد!$O$2:$O$805,7604,[1]مرداد!$D$2:$D$805,$F$39,[1]مرداد!$AC$2:$AC$805,Z3)</f>
        <v>0</v>
      </c>
      <c r="AA39" s="890">
        <f>SUMIFS([1]مرداد!$AH$2:$AH$805,[1]مرداد!$O$2:$O$805,7604,[1]مرداد!$D$2:$D$805,$F$39,[1]مرداد!$AC$2:$AC$805,AA3)</f>
        <v>0</v>
      </c>
      <c r="AB39" s="121">
        <f>SUMIFS([1]مرداد!$AH$2:$AH$805,[1]مرداد!$O$2:$O$805,7604,[1]مرداد!$D$2:$D$805,$F$39,[1]مرداد!$AC$2:$AC$805,AB3)</f>
        <v>0</v>
      </c>
    </row>
    <row r="40" spans="1:28" ht="33.75" customHeight="1" x14ac:dyDescent="0.25">
      <c r="A40" s="954">
        <v>18</v>
      </c>
      <c r="B40" s="769" t="s">
        <v>26</v>
      </c>
      <c r="C40" s="830">
        <v>7605</v>
      </c>
      <c r="D40" s="830">
        <v>64</v>
      </c>
      <c r="E40" s="968" t="s">
        <v>15</v>
      </c>
      <c r="F40" s="91" t="s">
        <v>27</v>
      </c>
      <c r="G40" s="93">
        <f t="shared" si="0"/>
        <v>15</v>
      </c>
      <c r="H40" s="49">
        <f t="shared" si="1"/>
        <v>0</v>
      </c>
      <c r="I40" s="846">
        <f t="shared" si="2"/>
        <v>0</v>
      </c>
      <c r="J40" s="93">
        <v>0</v>
      </c>
      <c r="K40" s="93">
        <v>0</v>
      </c>
      <c r="L40" s="314">
        <v>0</v>
      </c>
      <c r="M40" s="94">
        <f>(G40+H40+I40+J40+K40+L40)-D40</f>
        <v>-49</v>
      </c>
      <c r="N40" s="971" t="s">
        <v>13</v>
      </c>
      <c r="O40" s="770">
        <f>SUMIFS([1]شهریور!$AF$2:$AF$805,[1]شهریور!$O$2:$O$805,7605,[1]شهریور!$D$2:$D$805,$F$40,[1]شهریور!$AC$2:$AC$805,O3)</f>
        <v>0</v>
      </c>
      <c r="P40" s="898">
        <f>SUMIFS([1]شهریور!$AF$2:$AF$805,[1]شهریور!$O$2:$O$805,7605,[1]شهریور!$D$2:$D$805,$F$40,[1]شهریور!$AC$2:$AC$805,P3)</f>
        <v>0</v>
      </c>
      <c r="Q40" s="770">
        <f>SUMIFS([1]شهریور!$AF$2:$AF$805,[1]شهریور!$O$2:$O$805,7605,[1]شهریور!$D$2:$D$805,$F$40,[1]شهریور!$AC$2:$AC$805,Q3)</f>
        <v>7</v>
      </c>
      <c r="R40" s="770">
        <f>SUMIFS([1]شهریور!$AF$2:$AF$805,[1]شهریور!$O$2:$O$805,7605,[1]شهریور!$D$2:$D$805,$F$40,[1]شهریور!$AC$2:$AC$805,R3)</f>
        <v>8</v>
      </c>
      <c r="S40" s="770">
        <f>SUMIFS([1]شهریور!$AF$2:$AF$805,[1]شهریور!$O$2:$O$805,7605,[1]شهریور!$D$2:$D$805,$F$40,[1]شهریور!$AC$2:$AC$805,S3)</f>
        <v>0</v>
      </c>
      <c r="T40" s="898">
        <f>SUMIFS([1]شهریور!$AF$2:$AF$805,[1]شهریور!$O$2:$O$805,7605,[1]شهریور!$D$2:$D$805,$F$40,[1]شهریور!$AC$2:$AC$805,T3)</f>
        <v>0</v>
      </c>
      <c r="U40" s="898">
        <f>SUMIFS([1]شهریور!$AF$2:$AF$805,[1]شهریور!$O$2:$O$805,7605,[1]شهریور!$D$2:$D$805,$F$40,[1]شهریور!$AC$2:$AC$805,U3)</f>
        <v>0</v>
      </c>
      <c r="V40" s="187">
        <f>SUMIFS([1]شهریور!$AH$2:$AH$805,[1]شهریور!$O$2:$O$805,7602,[1]شهریور!$D$2:$D$805,$F$40,[1]شهریور!$AC$2:$AC$805,V3)</f>
        <v>0</v>
      </c>
      <c r="W40" s="163">
        <f>SUMIFS([1]شهریور!$AH$2:$AH$805,[1]شهریور!$O$2:$O$805,7602,[1]شهریور!$D$2:$D$805,$F$40,[1]شهریور!$AC$2:$AC$805,W3)</f>
        <v>0</v>
      </c>
      <c r="X40" s="187">
        <f>SUMIFS([1]شهریور!$AH$2:$AH$805,[1]شهریور!$O$2:$O$805,7602,[1]شهریور!$D$2:$D$805,$F$40,[1]شهریور!$AC$2:$AC$805,X3)</f>
        <v>0</v>
      </c>
      <c r="Y40" s="187">
        <f>SUMIFS([1]شهریور!$AH$2:$AH$805,[1]شهریور!$O$2:$O$805,7602,[1]شهریور!$D$2:$D$805,$F$40,[1]شهریور!$AC$2:$AC$805,Y3)</f>
        <v>0</v>
      </c>
      <c r="Z40" s="187">
        <f>SUMIFS([1]شهریور!$AH$2:$AH$805,[1]شهریور!$O$2:$O$805,7602,[1]شهریور!$D$2:$D$805,$F$40,[1]شهریور!$AC$2:$AC$805,Z3)</f>
        <v>0</v>
      </c>
      <c r="AA40" s="163">
        <f>SUMIFS([1]شهریور!$AH$2:$AH$805,[1]شهریور!$O$2:$O$805,7602,[1]شهریور!$D$2:$D$805,$F$40,[1]شهریور!$AC$2:$AC$805,AA3)</f>
        <v>0</v>
      </c>
      <c r="AB40" s="163">
        <f>SUMIFS([1]شهریور!$AH$2:$AH$805,[1]شهریور!$O$2:$O$805,7602,[1]شهریور!$D$2:$D$805,$F$40,[1]شهریور!$AC$2:$AC$805,AB3)</f>
        <v>0</v>
      </c>
    </row>
    <row r="41" spans="1:28" ht="33.75" customHeight="1" thickBot="1" x14ac:dyDescent="0.3">
      <c r="A41" s="942"/>
      <c r="B41" s="589"/>
      <c r="C41" s="845"/>
      <c r="D41" s="845"/>
      <c r="E41" s="997"/>
      <c r="F41" s="461"/>
      <c r="G41" s="89">
        <f t="shared" si="0"/>
        <v>0</v>
      </c>
      <c r="H41" s="765">
        <f t="shared" si="1"/>
        <v>0</v>
      </c>
      <c r="I41" s="1">
        <f t="shared" si="2"/>
        <v>0</v>
      </c>
      <c r="J41" s="462">
        <v>0</v>
      </c>
      <c r="K41" s="89">
        <v>0</v>
      </c>
      <c r="L41" s="89">
        <v>0</v>
      </c>
      <c r="M41" s="94"/>
      <c r="N41" s="998"/>
      <c r="O41" s="584">
        <f>SUMIFS([1]اردیبهشت!$AD$2:$AD$805,[1]اردیبهشت!$N$2:$N$805,$C$40,[1]اردیبهشت!$D$2:$D$805,$F$41,[1]اردیبهشت!$AA$2:$AA$805,O3)</f>
        <v>0</v>
      </c>
      <c r="P41" s="102">
        <f>SUMIFS([1]اردیبهشت!$AD$2:$AD$600,[1]اردیبهشت!$N$2:$N$600,$C$40,[1]اردیبهشت!$D$2:$D$600,$F$41,[1]اردیبهشت!$AA$2:$AA$600,P3)</f>
        <v>0</v>
      </c>
      <c r="Q41" s="191">
        <f>SUMIFS([1]اردیبهشت!$AD$2:$AD$600,[1]اردیبهشت!$N$2:$N$600,$C$40,[1]اردیبهشت!$D$2:$D$600,$F$41,[1]اردیبهشت!$AA$2:$AA$600,Q3)</f>
        <v>0</v>
      </c>
      <c r="R41" s="191">
        <f>SUMIFS([1]اردیبهشت!$AD$2:$AD$600,[1]اردیبهشت!$N$2:$N$600,$C$40,[1]اردیبهشت!$D$2:$D$600,$F$41,[1]اردیبهشت!$AA$2:$AA$600,R3)</f>
        <v>0</v>
      </c>
      <c r="S41" s="191">
        <f>SUMIFS([1]اردیبهشت!$AD$2:$AD$600,[1]اردیبهشت!$N$2:$N$600,$C$40,[1]اردیبهشت!$D$2:$D$600,$F$41,[1]اردیبهشت!$AA$2:$AA$600,S3)</f>
        <v>0</v>
      </c>
      <c r="T41" s="102">
        <f>SUMIFS([1]اردیبهشت!$AD$2:$AD$600,[1]اردیبهشت!$N$2:$N$600,$C$40,[1]اردیبهشت!$D$2:$D$600,$F$41,[1]اردیبهشت!$AA$2:$AA$600,T3)</f>
        <v>0</v>
      </c>
      <c r="U41" s="797">
        <f>SUMIFS([1]اردیبهشت!$AD$2:$AD$600,[1]اردیبهشت!$N$2:$N$600,$C$40,[1]اردیبهشت!$D$2:$D$600,$F$41,[1]اردیبهشت!$AA$2:$AA$600,U3)</f>
        <v>0</v>
      </c>
      <c r="V41" s="190">
        <f>SUMIFS([1]مرداد!$AH$2:$AH$805,[1]مرداد!$O$2:$O$805,7605,[1]مرداد!$D$2:$D$805,$F$41,[1]مرداد!$AC$2:$AC$805,V3)</f>
        <v>0</v>
      </c>
      <c r="W41" s="908">
        <f>SUMIFS([1]مرداد!$AH$2:$AH$805,[1]مرداد!$O$2:$O$805,7605,[1]مرداد!$D$2:$D$805,$F$41,[1]مرداد!$AC$2:$AC$805,W3)</f>
        <v>0</v>
      </c>
      <c r="X41" s="584">
        <f>SUMIFS([1]مرداد!$AH$2:$AH$805,[1]مرداد!$O$2:$O$805,7605,[1]مرداد!$D$2:$D$805,$F$41,[1]مرداد!$AC$2:$AC$805,X3)</f>
        <v>0</v>
      </c>
      <c r="Y41" s="584">
        <f>SUMIFS([1]مرداد!$AH$2:$AH$805,[1]مرداد!$O$2:$O$805,7605,[1]مرداد!$D$2:$D$805,$F$41,[1]مرداد!$AC$2:$AC$805,Y3)</f>
        <v>0</v>
      </c>
      <c r="Z41" s="584">
        <f>SUMIFS([1]مرداد!$AH$2:$AH$805,[1]مرداد!$O$2:$O$805,7605,[1]مرداد!$D$2:$D$805,$F$41,[1]مرداد!$AC$2:$AC$805,Z3)</f>
        <v>0</v>
      </c>
      <c r="AA41" s="908">
        <f>SUMIFS([1]مرداد!$AH$2:$AH$805,[1]مرداد!$O$2:$O$805,7605,[1]مرداد!$D$2:$D$805,$F$41,[1]مرداد!$AC$2:$AC$805,AA3)</f>
        <v>0</v>
      </c>
      <c r="AB41" s="909">
        <f>SUMIFS([1]مرداد!$AH$2:$AH$805,[1]مرداد!$O$2:$O$805,7605,[1]مرداد!$D$2:$D$805,$F$41,[1]مرداد!$AC$2:$AC$805,AB3)</f>
        <v>0</v>
      </c>
    </row>
    <row r="42" spans="1:28" ht="33.75" customHeight="1" x14ac:dyDescent="0.25">
      <c r="A42" s="838"/>
      <c r="B42" s="823"/>
      <c r="C42" s="817"/>
      <c r="D42" s="817"/>
      <c r="E42" s="932" t="s">
        <v>15</v>
      </c>
      <c r="F42" s="84" t="s">
        <v>27</v>
      </c>
      <c r="G42" s="846">
        <f t="shared" si="0"/>
        <v>28</v>
      </c>
      <c r="H42" s="46">
        <f t="shared" si="1"/>
        <v>0</v>
      </c>
      <c r="I42" s="846">
        <f t="shared" si="2"/>
        <v>3</v>
      </c>
      <c r="J42" s="846">
        <v>0</v>
      </c>
      <c r="K42" s="846">
        <v>0</v>
      </c>
      <c r="L42" s="846">
        <v>0</v>
      </c>
      <c r="M42" s="28"/>
      <c r="N42" s="945" t="s">
        <v>183</v>
      </c>
      <c r="O42" s="292">
        <f>SUMIFS([1]شهریور!$AF$2:$AF$805,[1]شهریور!$O$2:$O$805,7701,[1]شهریور!$D$2:$D$805,$F$42,[1]شهریور!$AC$2:$AC$805,O3)</f>
        <v>9</v>
      </c>
      <c r="P42" s="393">
        <f>SUMIFS([1]شهریور!$AF$2:$AF$805,[1]شهریور!$O$2:$O$805,7701,[1]شهریور!$D$2:$D$805,$F$42,[1]شهریور!$AC$2:$AC$805,P3)</f>
        <v>0</v>
      </c>
      <c r="Q42" s="292">
        <f>SUMIFS([1]شهریور!$AF$2:$AF$805,[1]شهریور!$O$2:$O$805,7701,[1]شهریور!$D$2:$D$805,$F$42,[1]شهریور!$AC$2:$AC$805,Q3)</f>
        <v>3</v>
      </c>
      <c r="R42" s="292">
        <f>SUMIFS([1]شهریور!$AF$2:$AF$805,[1]شهریور!$O$2:$O$805,7701,[1]شهریور!$D$2:$D$805,$F$42,[1]شهریور!$AC$2:$AC$805,R3)</f>
        <v>4</v>
      </c>
      <c r="S42" s="292">
        <f>SUMIFS([1]شهریور!$AF$2:$AF$805,[1]شهریور!$O$2:$O$805,7701,[1]شهریور!$D$2:$D$805,$F$42,[1]شهریور!$AC$2:$AC$805,S3)</f>
        <v>12</v>
      </c>
      <c r="T42" s="393">
        <f>SUMIFS([1]شهریور!$AF$2:$AF$805,[1]شهریور!$O$2:$O$805,7701,[1]شهریور!$D$2:$D$805,$F$42,[1]شهریور!$AC$2:$AC$805,T3)</f>
        <v>0</v>
      </c>
      <c r="U42" s="393">
        <f>SUMIFS([1]شهریور!$AF$2:$AF$805,[1]شهریور!$O$2:$O$805,7701,[1]شهریور!$D$2:$D$805,$F$42,[1]شهریور!$AC$2:$AC$805,U3)</f>
        <v>0</v>
      </c>
      <c r="V42" s="169">
        <f>SUMIFS([1]شهریور!$AH$2:$AH$805,[1]شهریور!$O$2:$O$805,7701,[1]شهریور!$D$2:$D$805,$F$42,[1]شهریور!$AC$2:$AC$805,V3)</f>
        <v>3</v>
      </c>
      <c r="W42" s="98">
        <f>SUMIFS([1]شهریور!$AH$2:$AH$805,[1]شهریور!$O$2:$O$805,7701,[1]شهریور!$D$2:$D$805,$F$42,[1]شهریور!$AC$2:$AC$805,W3)</f>
        <v>0</v>
      </c>
      <c r="X42" s="169">
        <f>SUMIFS([1]شهریور!$AH$2:$AH$805,[1]شهریور!$O$2:$O$805,7701,[1]شهریور!$D$2:$D$805,$F$42,[1]شهریور!$AC$2:$AC$805,X3)</f>
        <v>0</v>
      </c>
      <c r="Y42" s="169">
        <f>SUMIFS([1]شهریور!$AH$2:$AH$805,[1]شهریور!$O$2:$O$805,7701,[1]شهریور!$D$2:$D$805,$F$42,[1]شهریور!$AC$2:$AC$805,Y3)</f>
        <v>0</v>
      </c>
      <c r="Z42" s="169">
        <f>SUMIFS([1]شهریور!$AH$2:$AH$805,[1]شهریور!$O$2:$O$805,7701,[1]شهریور!$D$2:$D$805,$F$42,[1]شهریور!$AC$2:$AC$805,Z3)</f>
        <v>0</v>
      </c>
      <c r="AA42" s="98">
        <f>SUMIFS([1]شهریور!$AH$2:$AH$805,[1]شهریور!$O$2:$O$805,7701,[1]شهریور!$D$2:$D$805,$F$42,[1]شهریور!$AC$2:$AC$805,AA3)</f>
        <v>0</v>
      </c>
      <c r="AB42" s="98">
        <f>SUMIFS([1]شهریور!$AH$2:$AH$805,[1]شهریور!$O$2:$O$805,7701,[1]شهریور!$D$2:$D$805,$F$42,[1]شهریور!$AC$2:$AC$805,AB3)</f>
        <v>0</v>
      </c>
    </row>
    <row r="43" spans="1:28" ht="39" customHeight="1" x14ac:dyDescent="0.25">
      <c r="A43" s="839">
        <v>19</v>
      </c>
      <c r="B43" s="824" t="s">
        <v>30</v>
      </c>
      <c r="C43" s="827">
        <v>7701</v>
      </c>
      <c r="D43" s="827">
        <v>55</v>
      </c>
      <c r="E43" s="933"/>
      <c r="F43" s="29"/>
      <c r="G43" s="3">
        <f t="shared" si="0"/>
        <v>0</v>
      </c>
      <c r="H43" s="47">
        <f t="shared" si="1"/>
        <v>0</v>
      </c>
      <c r="I43" s="3">
        <f t="shared" si="2"/>
        <v>0</v>
      </c>
      <c r="J43" s="25">
        <v>0</v>
      </c>
      <c r="K43" s="25">
        <v>0</v>
      </c>
      <c r="L43" s="70">
        <v>0</v>
      </c>
      <c r="M43" s="4">
        <f>(J42+J43+J44+I44+I43+I42+H42+H43+H44+G44+G43+G42)-D43</f>
        <v>-24</v>
      </c>
      <c r="N43" s="956"/>
      <c r="O43" s="293">
        <f>SUMIFS([1]اردیبهشت!$AD$2:$AD$805,[1]اردیبهشت!$N$2:$N$805,$C$43,[1]اردیبهشت!$D$2:$D$805,$F$43,[1]اردیبهشت!$AA$2:$AA$805,O3)</f>
        <v>0</v>
      </c>
      <c r="P43" s="96">
        <f>SUMIFS([1]اردیبهشت!$AD$2:$AD$805,[1]اردیبهشت!$N$2:$N$805,$C$43,[1]اردیبهشت!$D$2:$D$805,$F$43,[1]اردیبهشت!$AA$2:$AA$805,P3)</f>
        <v>0</v>
      </c>
      <c r="Q43" s="168">
        <f>SUMIFS([1]اردیبهشت!$AD$2:$AD$805,[1]اردیبهشت!$N$2:$N$805,$C$43,[1]اردیبهشت!$D$2:$D$805,$F$43,[1]اردیبهشت!$AA$2:$AA$805,Q3)</f>
        <v>0</v>
      </c>
      <c r="R43" s="168">
        <f>SUMIFS([1]اردیبهشت!$AD$2:$AD$805,[1]اردیبهشت!$N$2:$N$805,$C$43,[1]اردیبهشت!$D$2:$D$805,$F$43,[1]اردیبهشت!$AA$2:$AA$805,R3)</f>
        <v>0</v>
      </c>
      <c r="S43" s="168">
        <f>SUMIFS([1]اردیبهشت!$AD$2:$AD$805,[1]اردیبهشت!$N$2:$N$805,$C$43,[1]اردیبهشت!$D$2:$D$805,$F$43,[1]اردیبهشت!$AA$2:$AA$805,S3)</f>
        <v>0</v>
      </c>
      <c r="T43" s="96">
        <f>SUMIFS([1]اردیبهشت!$AD$2:$AD$805,[1]اردیبهشت!$N$2:$N$805,$C$43,[1]اردیبهشت!$D$2:$D$805,$F$43,[1]اردیبهشت!$AA$2:$AA$805,T3)</f>
        <v>0</v>
      </c>
      <c r="U43" s="800">
        <f>SUMIFS([1]اردیبهشت!$AD$2:$AD$600,[1]اردیبهشت!$N$2:$N$600,$C$43,[1]اردیبهشت!$D$2:$D$600,$F$43,[1]اردیبهشت!$AA$2:$AA$600,U3)</f>
        <v>0</v>
      </c>
      <c r="V43" s="166">
        <f>SUMIFS([1]مرداد!$AH$2:$AH$805,[1]مرداد!$O$2:$O$805,7701,[1]مرداد!$D$2:$D$805,$F$43,[1]مرداد!$AC$2:$AC$805,V3)</f>
        <v>0</v>
      </c>
      <c r="W43" s="96">
        <f>SUMIFS([1]مرداد!$AH$2:$AH$805,[1]مرداد!$O$2:$O$805,7701,[1]مرداد!$D$2:$D$805,$F$43,[1]مرداد!$AC$2:$AC$805,W3)</f>
        <v>0</v>
      </c>
      <c r="X43" s="168">
        <f>SUMIFS([1]مرداد!$AH$2:$AH$805,[1]مرداد!$O$2:$O$805,7701,[1]مرداد!$D$2:$D$805,$F$43,[1]مرداد!$AC$2:$AC$805,X3)</f>
        <v>0</v>
      </c>
      <c r="Y43" s="168">
        <f>SUMIFS([1]مرداد!$AH$2:$AH$805,[1]مرداد!$O$2:$O$805,7701,[1]مرداد!$D$2:$D$805,$F$43,[1]مرداد!$AC$2:$AC$805,Y3)</f>
        <v>0</v>
      </c>
      <c r="Z43" s="168">
        <f>SUMIFS([1]مرداد!$AH$2:$AH$805,[1]مرداد!$O$2:$O$805,7701,[1]مرداد!$D$2:$D$805,$F$43,[1]مرداد!$AC$2:$AC$805,Z3)</f>
        <v>0</v>
      </c>
      <c r="AA43" s="96">
        <f>SUMIFS([1]مرداد!$AH$2:$AH$805,[1]مرداد!$O$2:$O$805,7701,[1]مرداد!$D$2:$D$805,$F$43,[1]مرداد!$AC$2:$AC$805,AA3)</f>
        <v>0</v>
      </c>
      <c r="AB43" s="108">
        <f>SUMIFS([1]مرداد!$AH$2:$AH$805,[1]مرداد!$O$2:$O$805,7701,[1]مرداد!$D$2:$D$805,$F$43,[1]مرداد!$AC$2:$AC$805,AB3)</f>
        <v>0</v>
      </c>
    </row>
    <row r="44" spans="1:28" ht="40.5" customHeight="1" thickBot="1" x14ac:dyDescent="0.3">
      <c r="A44" s="839"/>
      <c r="B44" s="826"/>
      <c r="C44" s="818"/>
      <c r="D44" s="818"/>
      <c r="E44" s="934"/>
      <c r="F44" s="30"/>
      <c r="G44" s="6">
        <f t="shared" si="0"/>
        <v>0</v>
      </c>
      <c r="H44" s="761">
        <f t="shared" si="1"/>
        <v>0</v>
      </c>
      <c r="I44" s="1">
        <f t="shared" si="2"/>
        <v>0</v>
      </c>
      <c r="J44" s="7">
        <v>0</v>
      </c>
      <c r="K44" s="7">
        <v>0</v>
      </c>
      <c r="L44" s="7">
        <v>0</v>
      </c>
      <c r="M44" s="8"/>
      <c r="N44" s="946"/>
      <c r="O44" s="294">
        <f>SUMIFS([1]اردیبهشت!$AD$2:$AD$805,[1]اردیبهشت!$N$2:$N$805,$C$43,[1]اردیبهشت!$D$2:$D$805,$F$44,[1]اردیبهشت!$AA$2:$AA$805,O3)</f>
        <v>0</v>
      </c>
      <c r="P44" s="103">
        <f>SUMIFS([1]اردیبهشت!$AD$2:$AD$805,[1]اردیبهشت!$N$2:$N$805,$C$43,[1]اردیبهشت!$D$2:$D$805,$F$44,[1]اردیبهشت!$AA$2:$AA$805,P3)</f>
        <v>0</v>
      </c>
      <c r="Q44" s="172">
        <f>SUMIFS([1]اردیبهشت!$AD$2:$AD$805,[1]اردیبهشت!$N$2:$N$805,$C$43,[1]اردیبهشت!$D$2:$D$805,$F$44,[1]اردیبهشت!$AA$2:$AA$805,Q3)</f>
        <v>0</v>
      </c>
      <c r="R44" s="172">
        <f>SUMIFS([1]اردیبهشت!$AD$2:$AD$805,[1]اردیبهشت!$N$2:$N$805,$C$43,[1]اردیبهشت!$D$2:$D$805,$F$44,[1]اردیبهشت!$AA$2:$AA$805,R3)</f>
        <v>0</v>
      </c>
      <c r="S44" s="172">
        <f>SUMIFS([1]اردیبهشت!$AD$2:$AD$805,[1]اردیبهشت!$N$2:$N$805,$C$43,[1]اردیبهشت!$D$2:$D$805,$F$44,[1]اردیبهشت!$AA$2:$AA$805,S3)</f>
        <v>0</v>
      </c>
      <c r="T44" s="103">
        <f>SUMIFS([1]اردیبهشت!$AD$2:$AD$805,[1]اردیبهشت!$N$2:$N$805,$C$43,[1]اردیبهشت!$D$2:$D$805,$F$44,[1]اردیبهشت!$AA$2:$AA$805,T3)</f>
        <v>0</v>
      </c>
      <c r="U44" s="802">
        <f>SUMIFS([1]اردیبهشت!$AD$2:$AD$600,[1]اردیبهشت!$N$2:$N$600,$C$43,[1]اردیبهشت!$D$2:$D$600,$F$44,[1]اردیبهشت!$AA$2:$AA$600,U3)</f>
        <v>0</v>
      </c>
      <c r="V44" s="763">
        <f>SUMIFS([1]مرداد!$AH$2:$AH$805,[1]مرداد!$O$2:$O$805,7701,[1]مرداد!$D$2:$D$805,$F$44,[1]مرداد!$AC$2:$AC$805,V3)</f>
        <v>0</v>
      </c>
      <c r="W44" s="455">
        <f>SUMIFS([1]مرداد!$AH$2:$AH$805,[1]مرداد!$O$2:$O$805,7701,[1]مرداد!$D$2:$D$805,$F$44,[1]مرداد!$AC$2:$AC$805,W3)</f>
        <v>0</v>
      </c>
      <c r="X44" s="353">
        <f>SUMIFS([1]مرداد!$AH$2:$AH$805,[1]مرداد!$O$2:$O$805,7701,[1]مرداد!$D$2:$D$805,$F$44,[1]مرداد!$AC$2:$AC$805,X3)</f>
        <v>0</v>
      </c>
      <c r="Y44" s="353">
        <f>SUMIFS([1]مرداد!$AH$2:$AH$805,[1]مرداد!$O$2:$O$805,7701,[1]مرداد!$D$2:$D$805,$F$44,[1]مرداد!$AC$2:$AC$805,Y3)</f>
        <v>0</v>
      </c>
      <c r="Z44" s="353">
        <f>SUMIFS([1]مرداد!$AH$2:$AH$805,[1]مرداد!$O$2:$O$805,7701,[1]مرداد!$D$2:$D$805,$F$44,[1]مرداد!$AC$2:$AC$805,Z3)</f>
        <v>0</v>
      </c>
      <c r="AA44" s="455">
        <f>SUMIFS([1]مرداد!$AH$2:$AH$805,[1]مرداد!$O$2:$O$805,7701,[1]مرداد!$D$2:$D$805,$F$44,[1]مرداد!$AC$2:$AC$805,AA3)</f>
        <v>0</v>
      </c>
      <c r="AB44" s="426">
        <f>SUMIFS([1]مرداد!$AH$2:$AH$805,[1]مرداد!$O$2:$O$805,7701,[1]مرداد!$D$2:$D$805,$F$44,[1]مرداد!$AC$2:$AC$805,AB3)</f>
        <v>0</v>
      </c>
    </row>
    <row r="45" spans="1:28" ht="42.75" customHeight="1" thickBot="1" x14ac:dyDescent="0.3">
      <c r="A45" s="45">
        <v>20</v>
      </c>
      <c r="B45" s="836" t="s">
        <v>63</v>
      </c>
      <c r="C45" s="815">
        <v>8001</v>
      </c>
      <c r="D45" s="815">
        <v>55</v>
      </c>
      <c r="E45" s="815" t="s">
        <v>15</v>
      </c>
      <c r="F45" s="54" t="s">
        <v>54</v>
      </c>
      <c r="G45" s="4">
        <f t="shared" si="0"/>
        <v>3</v>
      </c>
      <c r="H45" s="67">
        <f t="shared" si="1"/>
        <v>0</v>
      </c>
      <c r="I45" s="846">
        <f t="shared" si="2"/>
        <v>0</v>
      </c>
      <c r="J45" s="4">
        <v>0</v>
      </c>
      <c r="K45" s="4">
        <v>0</v>
      </c>
      <c r="L45" s="4">
        <v>0</v>
      </c>
      <c r="M45" s="4">
        <f>SUM(G45:J45)-62</f>
        <v>-59</v>
      </c>
      <c r="N45" s="841" t="s">
        <v>31</v>
      </c>
      <c r="O45" s="580">
        <f>SUMIFS([1]شهریور!$AF$2:$AF$805,[1]شهریور!$O$2:$O$805,8001,[1]شهریور!$D$2:$D$805,$F$45,[1]شهریور!$AC$2:$AC$805,O3)</f>
        <v>3</v>
      </c>
      <c r="P45" s="900">
        <f>SUMIFS([1]شهریور!$AF$2:$AF$805,[1]شهریور!$O$2:$O$805,8001,[1]شهریور!$D$2:$D$805,$F$45,[1]شهریور!$AC$2:$AC$805,P3)</f>
        <v>0</v>
      </c>
      <c r="Q45" s="580">
        <f>SUMIFS([1]شهریور!$AF$2:$AF$805,[1]شهریور!$O$2:$O$805,8001,[1]شهریور!$D$2:$D$805,$F$45,[1]شهریور!$AC$2:$AC$805,Q3)</f>
        <v>0</v>
      </c>
      <c r="R45" s="580">
        <f>SUMIFS([1]شهریور!$AF$2:$AF$805,[1]شهریور!$O$2:$O$805,8001,[1]شهریور!$D$2:$D$805,$F$45,[1]شهریور!$AC$2:$AC$805,R3)</f>
        <v>0</v>
      </c>
      <c r="S45" s="580">
        <f>SUMIFS([1]شهریور!$AF$2:$AF$805,[1]شهریور!$O$2:$O$805,8001,[1]شهریور!$D$2:$D$805,$F$45,[1]شهریور!$AC$2:$AC$805,S3)</f>
        <v>0</v>
      </c>
      <c r="T45" s="900">
        <f>SUMIFS([1]شهریور!$AF$2:$AF$805,[1]شهریور!$O$2:$O$805,8001,[1]شهریور!$D$2:$D$805,$F$45,[1]شهریور!$AC$2:$AC$805,T3)</f>
        <v>0</v>
      </c>
      <c r="U45" s="900">
        <f>SUMIFS([1]شهریور!$AF$2:$AF$805,[1]شهریور!$O$2:$O$805,8001,[1]شهریور!$D$2:$D$805,$F$45,[1]شهریور!$AC$2:$AC$805,U3)</f>
        <v>0</v>
      </c>
      <c r="V45" s="181">
        <f>SUMIFS([1]مرداد!$AH$2:$AH$805,[1]مرداد!$O$2:$O$805,8001,[1]مرداد!$D$2:$D$805,$F$45,[1]مرداد!$AC$2:$AC$805,V3)</f>
        <v>0</v>
      </c>
      <c r="W45" s="892">
        <f>SUMIFS([1]مرداد!$AH$2:$AH$805,[1]مرداد!$O$2:$O$805,8001,[1]مرداد!$D$2:$D$805,$F$45,[1]مرداد!$AC$2:$AC$805,W3)</f>
        <v>0</v>
      </c>
      <c r="X45" s="297">
        <f>SUMIFS([1]مرداد!$AH$2:$AH$805,[1]مرداد!$O$2:$O$805,8001,[1]مرداد!$D$2:$D$805,$F$45,[1]مرداد!$AC$2:$AC$805,X3)</f>
        <v>0</v>
      </c>
      <c r="Y45" s="297">
        <f>SUMIFS([1]مرداد!$AH$2:$AH$805,[1]مرداد!$O$2:$O$805,8001,[1]مرداد!$D$2:$D$805,$F$45,[1]مرداد!$AC$2:$AC$805,Y3)</f>
        <v>0</v>
      </c>
      <c r="Z45" s="297">
        <f>SUMIFS([1]مرداد!$AH$2:$AH$805,[1]مرداد!$O$2:$O$805,8001,[1]مرداد!$D$2:$D$805,$F$45,[1]مرداد!$AC$2:$AC$805,Z3)</f>
        <v>0</v>
      </c>
      <c r="AA45" s="892">
        <f>SUMIFS([1]مرداد!$AH$2:$AH$805,[1]مرداد!$O$2:$O$805,8001,[1]مرداد!$D$2:$D$805,$F$45,[1]مرداد!$AC$2:$AC$805,AA3)</f>
        <v>0</v>
      </c>
      <c r="AB45" s="893">
        <f>SUMIFS([1]مرداد!$AH$2:$AH$805,[1]مرداد!$O$2:$O$805,8001,[1]مرداد!$D$2:$D$805,$F$45,[1]مرداد!$AC$2:$AC$805,AB3)</f>
        <v>0</v>
      </c>
    </row>
    <row r="46" spans="1:28" ht="39" customHeight="1" thickBot="1" x14ac:dyDescent="0.3">
      <c r="A46" s="45">
        <v>21</v>
      </c>
      <c r="B46" s="12" t="s">
        <v>32</v>
      </c>
      <c r="C46" s="13">
        <v>8002</v>
      </c>
      <c r="D46" s="13">
        <v>44</v>
      </c>
      <c r="E46" s="13" t="s">
        <v>15</v>
      </c>
      <c r="F46" s="31" t="s">
        <v>55</v>
      </c>
      <c r="G46" s="14">
        <f t="shared" si="0"/>
        <v>0</v>
      </c>
      <c r="H46" s="48">
        <f t="shared" si="1"/>
        <v>0</v>
      </c>
      <c r="I46" s="1">
        <f t="shared" si="2"/>
        <v>0</v>
      </c>
      <c r="J46" s="14">
        <v>0</v>
      </c>
      <c r="K46" s="14">
        <v>0</v>
      </c>
      <c r="L46" s="14">
        <v>0</v>
      </c>
      <c r="M46" s="14">
        <f>SUM(G46:L46)-(D46)</f>
        <v>-44</v>
      </c>
      <c r="N46" s="17" t="s">
        <v>40</v>
      </c>
      <c r="O46" s="297">
        <f>SUMIFS([1]شهریور!$AF$2:$AF$805,[1]شهریور!$O$2:$O$805,8002,[1]شهریور!$D$2:$D$805,$F$46,[1]شهریور!$AC$2:$AC$805,O3)</f>
        <v>0</v>
      </c>
      <c r="P46" s="892">
        <f>SUMIFS([1]شهریور!$AF$2:$AF$805,[1]شهریور!$O$2:$O$805,8002,[1]شهریور!$D$2:$D$805,$F$46,[1]شهریور!$AC$2:$AC$805,P3)</f>
        <v>0</v>
      </c>
      <c r="Q46" s="297">
        <f>SUMIFS([1]شهریور!$AF$2:$AF$805,[1]شهریور!$O$2:$O$805,8002,[1]شهریور!$D$2:$D$805,$F$46,[1]شهریور!$AC$2:$AC$805,Q3)</f>
        <v>0</v>
      </c>
      <c r="R46" s="297">
        <f>SUMIFS([1]شهریور!$AF$2:$AF$805,[1]شهریور!$O$2:$O$805,8002,[1]شهریور!$D$2:$D$805,$F$46,[1]شهریور!$AC$2:$AC$805,R3)</f>
        <v>0</v>
      </c>
      <c r="S46" s="297">
        <f>SUMIFS([1]شهریور!$AF$2:$AF$805,[1]شهریور!$O$2:$O$805,8002,[1]شهریور!$D$2:$D$805,$F$46,[1]شهریور!$AC$2:$AC$805,S3)</f>
        <v>0</v>
      </c>
      <c r="T46" s="892">
        <f>SUMIFS([1]شهریور!$AF$2:$AF$805,[1]شهریور!$O$2:$O$805,8002,[1]شهریور!$D$2:$D$805,$F$46,[1]شهریور!$AC$2:$AC$805,T3)</f>
        <v>0</v>
      </c>
      <c r="U46" s="892">
        <f>SUMIFS([1]شهریور!$AF$2:$AF$805,[1]شهریور!$O$2:$O$805,8002,[1]شهریور!$D$2:$D$805,$F$46,[1]شهریور!$AC$2:$AC$805,U3)</f>
        <v>0</v>
      </c>
      <c r="V46" s="181">
        <f>SUMIFS([1]مرداد!$AH$2:$AH$805,[1]مرداد!$O$2:$O$805,8002,[1]مرداد!$D$2:$D$805,$F$46,[1]مرداد!$AC$2:$AC$805,V3)</f>
        <v>0</v>
      </c>
      <c r="W46" s="892">
        <f>SUMIFS([1]مرداد!$AH$2:$AH$805,[1]مرداد!$O$2:$O$805,8002,[1]مرداد!$D$2:$D$805,$F$46,[1]مرداد!$AC$2:$AC$805,W3)</f>
        <v>0</v>
      </c>
      <c r="X46" s="297">
        <f>SUMIFS([1]مرداد!$AH$2:$AH$805,[1]مرداد!$O$2:$O$805,8002,[1]مرداد!$D$2:$D$805,$F$46,[1]مرداد!$AC$2:$AC$805,X3)</f>
        <v>0</v>
      </c>
      <c r="Y46" s="297">
        <f>SUMIFS([1]مرداد!$AH$2:$AH$805,[1]مرداد!$O$2:$O$805,8002,[1]مرداد!$D$2:$D$805,$F$46,[1]مرداد!$AC$2:$AC$805,Y3)</f>
        <v>0</v>
      </c>
      <c r="Z46" s="297">
        <f>SUMIFS([1]مرداد!$AH$2:$AH$805,[1]مرداد!$O$2:$O$805,8002,[1]مرداد!$D$2:$D$805,$F$46,[1]مرداد!$AC$2:$AC$805,Z3)</f>
        <v>0</v>
      </c>
      <c r="AA46" s="892">
        <f>SUMIFS([1]مرداد!$AH$2:$AH$805,[1]مرداد!$O$2:$O$805,8002,[1]مرداد!$D$2:$D$805,$F$46,[1]مرداد!$AC$2:$AC$805,AA3)</f>
        <v>0</v>
      </c>
      <c r="AB46" s="893">
        <f>SUMIFS([1]مرداد!$AH$2:$AH$805,[1]مرداد!$O$2:$O$805,8002,[1]مرداد!$D$2:$D$805,$F$46,[1]مرداد!$AC$2:$AC$805,AB3)</f>
        <v>0</v>
      </c>
    </row>
    <row r="47" spans="1:28" ht="33.75" customHeight="1" x14ac:dyDescent="0.25">
      <c r="A47" s="957">
        <v>22</v>
      </c>
      <c r="B47" s="974" t="s">
        <v>33</v>
      </c>
      <c r="C47" s="943" t="s">
        <v>33</v>
      </c>
      <c r="D47" s="932">
        <v>55</v>
      </c>
      <c r="E47" s="1002"/>
      <c r="F47" s="32" t="s">
        <v>16</v>
      </c>
      <c r="G47" s="846">
        <f t="shared" si="0"/>
        <v>16</v>
      </c>
      <c r="H47" s="46">
        <f t="shared" si="1"/>
        <v>0</v>
      </c>
      <c r="I47" s="846">
        <f t="shared" si="2"/>
        <v>0</v>
      </c>
      <c r="J47" s="846">
        <v>0</v>
      </c>
      <c r="K47" s="846">
        <v>0</v>
      </c>
      <c r="L47" s="846">
        <v>0</v>
      </c>
      <c r="M47" s="846">
        <f>(SUM(G47:L47))-D47</f>
        <v>-39</v>
      </c>
      <c r="N47" s="33"/>
      <c r="O47" s="292">
        <f>SUMIFS([1]شهریور!$AF$2:$AF$805,[1]شهریور!$O$2:$O$805,"مونتاژ",[1]شهریور!$D$2:$D$805,$F$47,[1]شهریور!$AC$2:$AC$805,O3)</f>
        <v>3</v>
      </c>
      <c r="P47" s="393">
        <f>SUMIFS([1]شهریور!$AF$2:$AF$805,[1]شهریور!$O$2:$O$805,"مونتاژ",[1]شهریور!$D$2:$D$805,$F$47,[1]شهریور!$AC$2:$AC$805,P3)</f>
        <v>0</v>
      </c>
      <c r="Q47" s="292">
        <f>SUMIFS([1]شهریور!$AF$2:$AF$805,[1]شهریور!$O$2:$O$805,"مونتاژ",[1]شهریور!$D$2:$D$805,$F$47,[1]شهریور!$AC$2:$AC$805,Q3)</f>
        <v>0</v>
      </c>
      <c r="R47" s="292">
        <f>SUMIFS([1]شهریور!$AF$2:$AF$805,[1]شهریور!$O$2:$O$805,"مونتاژ",[1]شهریور!$D$2:$D$805,$F$47,[1]شهریور!$AC$2:$AC$805,R3)</f>
        <v>8</v>
      </c>
      <c r="S47" s="292">
        <f>SUMIFS([1]شهریور!$AF$2:$AF$805,[1]شهریور!$O$2:$O$805,"مونتاژ",[1]شهریور!$D$2:$D$805,$F$47,[1]شهریور!$AC$2:$AC$805,S3)</f>
        <v>5</v>
      </c>
      <c r="T47" s="393">
        <f>SUMIFS([1]شهریور!$AF$2:$AF$805,[1]شهریور!$O$2:$O$805,"مونتاژ",[1]شهریور!$D$2:$D$805,$F$47,[1]شهریور!$AC$2:$AC$805,T3)</f>
        <v>0</v>
      </c>
      <c r="U47" s="393">
        <f>SUMIFS([1]شهریور!$AF$2:$AF$805,[1]شهریور!$O$2:$O$805,"مونتاژ",[1]شهریور!$D$2:$D$805,$F$47,[1]شهریور!$AC$2:$AC$805,U3)</f>
        <v>0</v>
      </c>
      <c r="V47" s="165" cm="1">
        <f t="array" ref="V47">SUMIFS([1]مرداد!$AH$2:$AH$805,[1]مرداد!$O$2:$O$805,مونتاژ,[1]مرداد!$D$2:$D$805,$F$47,[1]مرداد!$AC$2:$AC$805,V3)</f>
        <v>0</v>
      </c>
      <c r="W47" s="393" cm="1">
        <f t="array" ref="W47">SUMIFS([1]مرداد!$AH$2:$AH$805,[1]مرداد!$O$2:$O$805,مونتاژ,[1]مرداد!$D$2:$D$805,$F$47,[1]مرداد!$AC$2:$AC$805,W3)</f>
        <v>0</v>
      </c>
      <c r="X47" s="292" cm="1">
        <f t="array" ref="X47">SUMIFS([1]مرداد!$AH$2:$AH$805,[1]مرداد!$O$2:$O$805,مونتاژ,[1]مرداد!$D$2:$D$805,$F$47,[1]مرداد!$AC$2:$AC$805,X3)</f>
        <v>0</v>
      </c>
      <c r="Y47" s="292" cm="1">
        <f t="array" ref="Y47">SUMIFS([1]مرداد!$AH$2:$AH$805,[1]مرداد!$O$2:$O$805,مونتاژ,[1]مرداد!$D$2:$D$805,$F$47,[1]مرداد!$AC$2:$AC$805,Y3)</f>
        <v>0</v>
      </c>
      <c r="Z47" s="292" cm="1">
        <f t="array" ref="Z47">SUMIFS([1]مرداد!$AH$2:$AH$805,[1]مرداد!$O$2:$O$805,مونتاژ,[1]مرداد!$D$2:$D$805,$F$47,[1]مرداد!$AC$2:$AC$805,Z3)</f>
        <v>0</v>
      </c>
      <c r="AA47" s="393" cm="1">
        <f t="array" ref="AA47">SUMIFS([1]مرداد!$AH$2:$AH$805,[1]مرداد!$O$2:$O$805,مونتاژ,[1]مرداد!$D$2:$D$805,$F$47,[1]مرداد!$AC$2:$AC$805,AA3)</f>
        <v>0</v>
      </c>
      <c r="AB47" s="454" cm="1">
        <f t="array" ref="AB47">SUMIFS([1]مرداد!$AH$2:$AH$805,[1]مرداد!$O$2:$O$805,مونتاژ,[1]مرداد!$D$2:$D$805,$F$47,[1]مرداد!$AC$2:$AC$805,AB3)</f>
        <v>0</v>
      </c>
    </row>
    <row r="48" spans="1:28" ht="33.75" customHeight="1" x14ac:dyDescent="0.25">
      <c r="A48" s="958"/>
      <c r="B48" s="975"/>
      <c r="C48" s="965"/>
      <c r="D48" s="933"/>
      <c r="E48" s="965"/>
      <c r="F48" s="29" t="s">
        <v>17</v>
      </c>
      <c r="G48" s="3">
        <f>SUM(O48:T48)</f>
        <v>0</v>
      </c>
      <c r="H48" s="47">
        <f t="shared" si="1"/>
        <v>0</v>
      </c>
      <c r="I48" s="3">
        <f t="shared" si="2"/>
        <v>0</v>
      </c>
      <c r="J48" s="3">
        <v>0</v>
      </c>
      <c r="K48" s="3">
        <v>0</v>
      </c>
      <c r="L48" s="3">
        <v>0</v>
      </c>
      <c r="M48" s="3">
        <f>(SUM(G48:L48))-D47</f>
        <v>-55</v>
      </c>
      <c r="N48" s="58"/>
      <c r="O48" s="293">
        <f>SUMIFS([1]شهریور!$AF$2:$AF$805,[1]شهریور!$O$2:$O$805,"مونتاژ",[1]شهریور!$D$2:$D$805,$F$48,[1]شهریور!$AC$2:$AC$805,O3)</f>
        <v>0</v>
      </c>
      <c r="P48" s="891">
        <f>SUMIFS([1]شهریور!$AF$2:$AF$805,[1]شهریور!$O$2:$O$805,"مونتاژ",[1]شهریور!$D$2:$D$805,$F$48,[1]شهریور!$AC$2:$AC$805,P3)</f>
        <v>0</v>
      </c>
      <c r="Q48" s="293">
        <f>SUMIFS([1]شهریور!$AF$2:$AF$805,[1]شهریور!$O$2:$O$805,"مونتاژ",[1]شهریور!$D$2:$D$805,$F$48,[1]شهریور!$AC$2:$AC$805,Q3)</f>
        <v>0</v>
      </c>
      <c r="R48" s="293">
        <f>SUMIFS([1]شهریور!$AF$2:$AF$805,[1]شهریور!$O$2:$O$805,"مونتاژ",[1]شهریور!$D$2:$D$805,$F$48,[1]شهریور!$AC$2:$AC$805,R3)</f>
        <v>0</v>
      </c>
      <c r="S48" s="293">
        <f>SUMIFS([1]شهریور!$AF$2:$AF$805,[1]شهریور!$O$2:$O$805,"مونتاژ",[1]شهریور!$D$2:$D$805,$F$48,[1]شهریور!$AC$2:$AC$805,S3)</f>
        <v>0</v>
      </c>
      <c r="T48" s="891">
        <f>SUMIFS([1]شهریور!$AF$2:$AF$805,[1]شهریور!$O$2:$O$805,"مونتاژ",[1]شهریور!$D$2:$D$805,$F$48,[1]شهریور!$AC$2:$AC$805,T3)</f>
        <v>0</v>
      </c>
      <c r="U48" s="891">
        <f>SUMIFS([1]شهریور!$AF$2:$AF$805,[1]شهریور!$O$2:$O$805,"مونتاژ",[1]شهریور!$D$2:$D$805,$F$48,[1]شهریور!$AC$2:$AC$805,U3)</f>
        <v>0</v>
      </c>
      <c r="V48" s="166" cm="1">
        <f t="array" ref="V48">SUMIFS([1]مرداد!$AH$2:$AH$805,[1]مرداد!$O$2:$O$805,مونتاژ,[1]مرداد!$D$2:$D$805,$F$48,[1]مرداد!$AC$2:$AC$805,V3)</f>
        <v>0</v>
      </c>
      <c r="W48" s="891" cm="1">
        <f t="array" ref="W48">SUMIFS([1]مرداد!$AH$2:$AH$805,[1]مرداد!$O$2:$O$805,مونتاژ,[1]مرداد!$D$2:$D$805,$F$48,[1]مرداد!$AC$2:$AC$805,W3)</f>
        <v>0</v>
      </c>
      <c r="X48" s="293" cm="1">
        <f t="array" ref="X48">SUMIFS([1]مرداد!$AH$2:$AH$805,[1]مرداد!$O$2:$O$805,مونتاژ,[1]مرداد!$D$2:$D$805,$F$48,[1]مرداد!$AC$2:$AC$805,X3)</f>
        <v>0</v>
      </c>
      <c r="Y48" s="293" cm="1">
        <f t="array" ref="Y48">SUMIFS([1]مرداد!$AH$2:$AH$805,[1]مرداد!$O$2:$O$805,مونتاژ,[1]مرداد!$D$2:$D$805,$F$48,[1]مرداد!$AC$2:$AC$805,Y3)</f>
        <v>0</v>
      </c>
      <c r="Z48" s="293" cm="1">
        <f t="array" ref="Z48">SUMIFS([1]مرداد!$AH$2:$AH$805,[1]مرداد!$O$2:$O$805,مونتاژ,[1]مرداد!$D$2:$D$805,$F$48,[1]مرداد!$AC$2:$AC$805,Z3)</f>
        <v>0</v>
      </c>
      <c r="AA48" s="891" cm="1">
        <f t="array" ref="AA48">SUMIFS([1]مرداد!$AH$2:$AH$805,[1]مرداد!$O$2:$O$805,مونتاژ,[1]مرداد!$D$2:$D$805,$F$48,[1]مرداد!$AC$2:$AC$805,AA3)</f>
        <v>0</v>
      </c>
      <c r="AB48" s="901" cm="1">
        <f t="array" ref="AB48">SUMIFS([1]مرداد!$AH$2:$AH$805,[1]مرداد!$O$2:$O$805,مونتاژ,[1]مرداد!$D$2:$D$805,$F$48,[1]مرداد!$AC$2:$AC$805,AB3)</f>
        <v>0</v>
      </c>
    </row>
    <row r="49" spans="1:28" ht="33.75" customHeight="1" x14ac:dyDescent="0.25">
      <c r="A49" s="959"/>
      <c r="B49" s="975"/>
      <c r="C49" s="966"/>
      <c r="D49" s="933"/>
      <c r="E49" s="966"/>
      <c r="F49" s="29" t="s">
        <v>54</v>
      </c>
      <c r="G49" s="3">
        <f t="shared" ref="G49:G54" si="3">SUM(O49:T49)</f>
        <v>27</v>
      </c>
      <c r="H49" s="47">
        <f t="shared" si="1"/>
        <v>0</v>
      </c>
      <c r="I49" s="3">
        <f t="shared" si="2"/>
        <v>0</v>
      </c>
      <c r="J49" s="3">
        <v>0</v>
      </c>
      <c r="K49" s="3">
        <v>0</v>
      </c>
      <c r="L49" s="3">
        <v>0</v>
      </c>
      <c r="M49" s="3">
        <f>(SUM(G49:L49))-62</f>
        <v>-35</v>
      </c>
      <c r="N49" s="62"/>
      <c r="O49" s="293">
        <f>SUMIFS([1]شهریور!$AF$2:$AF$805,[1]شهریور!$O$2:$O$805,"مونتاژ",[1]شهریور!$D$2:$D$805,$F$49,[1]شهریور!$AC$2:$AC$805,O3)</f>
        <v>9</v>
      </c>
      <c r="P49" s="891">
        <f>SUMIFS([1]شهریور!$AF$2:$AF$805,[1]شهریور!$O$2:$O$805,"مونتاژ",[1]شهریور!$D$2:$D$805,$F$49,[1]شهریور!$AC$2:$AC$805,P3)</f>
        <v>0</v>
      </c>
      <c r="Q49" s="293">
        <f>SUMIFS([1]شهریور!$AF$2:$AF$805,[1]شهریور!$O$2:$O$805,"مونتاژ",[1]شهریور!$D$2:$D$805,$F$49,[1]شهریور!$AC$2:$AC$805,Q3)</f>
        <v>0</v>
      </c>
      <c r="R49" s="293">
        <f>SUMIFS([1]شهریور!$AF$2:$AF$805,[1]شهریور!$O$2:$O$805,"مونتاژ",[1]شهریور!$D$2:$D$805,$F$49,[1]شهریور!$AC$2:$AC$805,R3)</f>
        <v>11</v>
      </c>
      <c r="S49" s="293">
        <f>SUMIFS([1]شهریور!$AF$2:$AF$805,[1]شهریور!$O$2:$O$805,"مونتاژ",[1]شهریور!$D$2:$D$805,$F$49,[1]شهریور!$AC$2:$AC$805,S3)</f>
        <v>7</v>
      </c>
      <c r="T49" s="891">
        <f>SUMIFS([1]شهریور!$AF$2:$AF$805,[1]شهریور!$O$2:$O$805,"مونتاژ",[1]شهریور!$D$2:$D$805,$F$49,[1]شهریور!$AC$2:$AC$805,T3)</f>
        <v>0</v>
      </c>
      <c r="U49" s="891">
        <f>SUMIFS([1]شهریور!$AF$2:$AF$805,[1]شهریور!$O$2:$O$805,"مونتاژ",[1]شهریور!$D$2:$D$805,$F$49,[1]شهریور!$AC$2:$AC$805,U3)</f>
        <v>0</v>
      </c>
      <c r="V49" s="166" cm="1">
        <f t="array" ref="V49">SUMIFS([1]مرداد!$AH$2:$AH$805,[1]مرداد!$O$2:$O$805,مونتاژ,[1]مرداد!$D$2:$D$805,$F$49,[1]مرداد!$AC$2:$AC$805,V3)</f>
        <v>0</v>
      </c>
      <c r="W49" s="891" cm="1">
        <f t="array" ref="W49">SUMIFS([1]مرداد!$AH$2:$AH$805,[1]مرداد!$O$2:$O$805,مونتاژ,[1]مرداد!$D$2:$D$805,$F$49,[1]مرداد!$AC$2:$AC$805,W3)</f>
        <v>0</v>
      </c>
      <c r="X49" s="293" cm="1">
        <f t="array" ref="X49">SUMIFS([1]مرداد!$AH$2:$AH$805,[1]مرداد!$O$2:$O$805,مونتاژ,[1]مرداد!$D$2:$D$805,$F$49,[1]مرداد!$AC$2:$AC$805,X3)</f>
        <v>0</v>
      </c>
      <c r="Y49" s="293" cm="1">
        <f t="array" ref="Y49">SUMIFS([1]مرداد!$AH$2:$AH$805,[1]مرداد!$O$2:$O$805,مونتاژ,[1]مرداد!$D$2:$D$805,$F$49,[1]مرداد!$AC$2:$AC$805,Y3)</f>
        <v>0</v>
      </c>
      <c r="Z49" s="293" cm="1">
        <f t="array" ref="Z49">SUMIFS([1]مرداد!$AH$2:$AH$805,[1]مرداد!$O$2:$O$805,مونتاژ,[1]مرداد!$D$2:$D$805,$F$49,[1]مرداد!$AC$2:$AC$805,Z3)</f>
        <v>0</v>
      </c>
      <c r="AA49" s="891" cm="1">
        <f t="array" ref="AA49">SUMIFS([1]مرداد!$AH$2:$AH$805,[1]مرداد!$O$2:$O$805,مونتاژ,[1]مرداد!$D$2:$D$805,$F$49,[1]مرداد!$AC$2:$AC$805,AA3)</f>
        <v>0</v>
      </c>
      <c r="AB49" s="901" cm="1">
        <f t="array" ref="AB49">SUMIFS([1]مرداد!$AH$2:$AH$805,[1]مرداد!$O$2:$O$805,مونتاژ,[1]مرداد!$D$2:$D$805,$F$49,[1]مرداد!$AC$2:$AC$805,AB3)</f>
        <v>0</v>
      </c>
    </row>
    <row r="50" spans="1:28" ht="33.75" customHeight="1" thickBot="1" x14ac:dyDescent="0.3">
      <c r="A50" s="960"/>
      <c r="B50" s="975"/>
      <c r="C50" s="944"/>
      <c r="D50" s="934"/>
      <c r="E50" s="944"/>
      <c r="F50" s="30" t="s">
        <v>55</v>
      </c>
      <c r="G50" s="6">
        <f t="shared" si="3"/>
        <v>10</v>
      </c>
      <c r="H50" s="765">
        <f t="shared" si="1"/>
        <v>0</v>
      </c>
      <c r="I50" s="1">
        <f t="shared" si="2"/>
        <v>0</v>
      </c>
      <c r="J50" s="7">
        <v>0</v>
      </c>
      <c r="K50" s="7">
        <v>0</v>
      </c>
      <c r="L50" s="7">
        <v>0</v>
      </c>
      <c r="M50" s="7">
        <f>SUM(G50:J50)-62</f>
        <v>-52</v>
      </c>
      <c r="N50" s="34"/>
      <c r="O50" s="352">
        <f>SUMIFS([1]شهریور!$AF$2:$AF$805,[1]شهریور!$O$2:$O$805,"مونتاژ",[1]شهریور!$D$2:$D$805,$F$50,[1]شهریور!$AC$2:$AC$805,O3)</f>
        <v>0</v>
      </c>
      <c r="P50" s="902">
        <f>SUMIFS([1]شهریور!$AF$2:$AF$805,[1]شهریور!$O$2:$O$805,"مونتاژ",[1]شهریور!$D$2:$D$805,$F$50,[1]شهریور!$AC$2:$AC$805,P3)</f>
        <v>0</v>
      </c>
      <c r="Q50" s="352">
        <f>SUMIFS([1]شهریور!$AF$2:$AF$805,[1]شهریور!$O$2:$O$805,"مونتاژ",[1]شهریور!$D$2:$D$805,$F$50,[1]شهریور!$AC$2:$AC$805,Q3)</f>
        <v>0</v>
      </c>
      <c r="R50" s="352">
        <f>SUMIFS([1]شهریور!$AF$2:$AF$805,[1]شهریور!$O$2:$O$805,"مونتاژ",[1]شهریور!$D$2:$D$805,$F$50,[1]شهریور!$AC$2:$AC$805,R3)</f>
        <v>5</v>
      </c>
      <c r="S50" s="352">
        <f>SUMIFS([1]شهریور!$AF$2:$AF$805,[1]شهریور!$O$2:$O$805,"مونتاژ",[1]شهریور!$D$2:$D$805,$F$50,[1]شهریور!$AC$2:$AC$805,S3)</f>
        <v>5</v>
      </c>
      <c r="T50" s="902">
        <f>SUMIFS([1]شهریور!$AF$2:$AF$805,[1]شهریور!$O$2:$O$805,"مونتاژ",[1]شهریور!$D$2:$D$805,$F$50,[1]شهریور!$AC$2:$AC$805,T3)</f>
        <v>0</v>
      </c>
      <c r="U50" s="902">
        <f>SUMIFS([1]شهریور!$AF$2:$AF$805,[1]شهریور!$O$2:$O$805,"مونتاژ",[1]شهریور!$D$2:$D$805,$F$50,[1]شهریور!$AC$2:$AC$805,U3)</f>
        <v>0</v>
      </c>
      <c r="V50" s="171" cm="1">
        <f t="array" ref="V50">SUMIFS([1]مرداد!$AH$2:$AH$805,[1]مرداد!$O$2:$O$805,مونتاژ,[1]مرداد!$D$2:$D$805,$F$50,[1]مرداد!$AC$2:$AC$805,V3)</f>
        <v>0</v>
      </c>
      <c r="W50" s="904" cm="1">
        <f t="array" ref="W50">SUMIFS([1]مرداد!$AH$2:$AH$805,[1]مرداد!$O$2:$O$805,مونتاژ,[1]مرداد!$D$2:$D$805,$F$50,[1]مرداد!$AC$2:$AC$805,W3)</f>
        <v>0</v>
      </c>
      <c r="X50" s="294" cm="1">
        <f t="array" ref="X50">SUMIFS([1]مرداد!$AH$2:$AH$805,[1]مرداد!$O$2:$O$805,مونتاژ,[1]مرداد!$D$2:$D$805,$F$50,[1]مرداد!$AC$2:$AC$805,X3)</f>
        <v>0</v>
      </c>
      <c r="Y50" s="294" cm="1">
        <f t="array" ref="Y50">SUMIFS([1]مرداد!$AH$2:$AH$805,[1]مرداد!$O$2:$O$805,مونتاژ,[1]مرداد!$D$2:$D$805,$F$50,[1]مرداد!$AC$2:$AC$805,Y3)</f>
        <v>0</v>
      </c>
      <c r="Z50" s="294" cm="1">
        <f t="array" ref="Z50">SUMIFS([1]مرداد!$AH$2:$AH$805,[1]مرداد!$O$2:$O$805,مونتاژ,[1]مرداد!$D$2:$D$805,$F$50,[1]مرداد!$AC$2:$AC$805,Z3)</f>
        <v>0</v>
      </c>
      <c r="AA50" s="904" cm="1">
        <f t="array" ref="AA50">SUMIFS([1]مرداد!$AH$2:$AH$805,[1]مرداد!$O$2:$O$805,مونتاژ,[1]مرداد!$D$2:$D$805,$F$50,[1]مرداد!$AC$2:$AC$805,AA3)</f>
        <v>0</v>
      </c>
      <c r="AB50" s="700" cm="1">
        <f t="array" ref="AB50">SUMIFS([1]مرداد!$AH$2:$AH$805,[1]مرداد!$O$2:$O$805,مونتاژ,[1]مرداد!$D$2:$D$805,$F$50,[1]مرداد!$AC$2:$AC$805,AB3)</f>
        <v>0</v>
      </c>
    </row>
    <row r="51" spans="1:28" ht="33.75" customHeight="1" x14ac:dyDescent="0.25">
      <c r="A51" s="967">
        <v>23</v>
      </c>
      <c r="B51" s="975"/>
      <c r="C51" s="943" t="s">
        <v>34</v>
      </c>
      <c r="D51" s="932">
        <v>55</v>
      </c>
      <c r="E51" s="932"/>
      <c r="F51" s="32" t="s">
        <v>16</v>
      </c>
      <c r="G51" s="59">
        <f t="shared" si="3"/>
        <v>0</v>
      </c>
      <c r="H51" s="46">
        <f t="shared" si="1"/>
        <v>0</v>
      </c>
      <c r="I51" s="910">
        <f t="shared" si="2"/>
        <v>0</v>
      </c>
      <c r="J51" s="846">
        <v>0</v>
      </c>
      <c r="K51" s="846">
        <v>0</v>
      </c>
      <c r="L51" s="846">
        <v>0</v>
      </c>
      <c r="M51" s="846">
        <f>SUM(G51:L51)-62</f>
        <v>-62</v>
      </c>
      <c r="N51" s="56"/>
      <c r="O51" s="292">
        <f>SUMIFS([1]مرداد!$AF$2:$AF$805,[1]مرداد!$O$2:$O$805,"دمونتاژ",[1]مرداد!$D$2:$D$805,$F$51,[1]مرداد!$AC$2:$AC$805,O3)</f>
        <v>0</v>
      </c>
      <c r="P51" s="393">
        <f>SUMIFS([1]مرداد!$AF$2:$AF$805,[1]مرداد!$O$2:$O$805,"دمونتاژ",[1]مرداد!$D$2:$D$805,$F$51,[1]مرداد!$AC$2:$AC$805,P3)</f>
        <v>0</v>
      </c>
      <c r="Q51" s="292">
        <f>SUMIFS([1]مرداد!$AF$2:$AF$805,[1]مرداد!$O$2:$O$805,"دمونتاژ",[1]مرداد!$D$2:$D$805,$F$51,[1]مرداد!$AC$2:$AC$805,Q3)</f>
        <v>0</v>
      </c>
      <c r="R51" s="292">
        <f>SUMIFS([1]مرداد!$AF$2:$AF$805,[1]مرداد!$O$2:$O$805,"دمونتاژ",[1]مرداد!$D$2:$D$805,$F$51,[1]مرداد!$AC$2:$AC$805,R3)</f>
        <v>0</v>
      </c>
      <c r="S51" s="292">
        <f>SUMIFS([1]مرداد!$AF$2:$AF$805,[1]مرداد!$O$2:$O$805,"دمونتاژ",[1]مرداد!$D$2:$D$805,$F$51,[1]مرداد!$AC$2:$AC$805,S3)</f>
        <v>0</v>
      </c>
      <c r="T51" s="393">
        <f>SUMIFS([1]مرداد!$AF$2:$AF$805,[1]مرداد!$O$2:$O$805,"دمونتاژ",[1]مرداد!$D$2:$D$805,$F$51,[1]مرداد!$AC$2:$AC$805,T3)</f>
        <v>0</v>
      </c>
      <c r="U51" s="899">
        <f>SUMIFS([1]مرداد!$AF$2:$AF$805,[1]مرداد!$O$2:$O$805,"دمونتاژ",[1]مرداد!$D$2:$D$805,$F$51,[1]مرداد!$AC$2:$AC$805,U3)</f>
        <v>0</v>
      </c>
      <c r="V51" s="165" cm="1">
        <f t="array" ref="V51">SUMIFS([1]مرداد!$AH$2:$AH$805,[1]مرداد!$O$2:$O$805,دمونتاژ,[1]مرداد!$D$2:$D$805,$F$51,[1]مرداد!$AC$2:$AC$805,V3)</f>
        <v>0</v>
      </c>
      <c r="W51" s="393" cm="1">
        <f t="array" ref="W51">SUMIFS([1]مرداد!$AH$2:$AH$805,[1]مرداد!$O$2:$O$805,دمونتاژ,[1]مرداد!$D$2:$D$805,$F$51,[1]مرداد!$AC$2:$AC$805,W3)</f>
        <v>0</v>
      </c>
      <c r="X51" s="292" cm="1">
        <f t="array" ref="X51">SUMIFS([1]مرداد!$AH$2:$AH$805,[1]مرداد!$O$2:$O$805,دمونتاژ,[1]مرداد!$D$2:$D$805,$F$51,[1]مرداد!$AC$2:$AC$805,X3)</f>
        <v>0</v>
      </c>
      <c r="Y51" s="292" cm="1">
        <f t="array" ref="Y51">SUMIFS([1]مرداد!$AH$2:$AH$805,[1]مرداد!$O$2:$O$805,دمونتاژ,[1]مرداد!$D$2:$D$805,$F$51,[1]مرداد!$AC$2:$AC$805,Y3)</f>
        <v>0</v>
      </c>
      <c r="Z51" s="292" cm="1">
        <f t="array" ref="Z51">SUMIFS([1]مرداد!$AH$2:$AH$805,[1]مرداد!$O$2:$O$805,دمونتاژ,[1]مرداد!$D$2:$D$805,$F$51,[1]مرداد!$AC$2:$AC$805,Z3)</f>
        <v>0</v>
      </c>
      <c r="AA51" s="393" cm="1">
        <f t="array" ref="AA51">SUMIFS([1]مرداد!$AH$2:$AH$805,[1]مرداد!$O$2:$O$805,دمونتاژ,[1]مرداد!$D$2:$D$805,$F$51,[1]مرداد!$AC$2:$AC$805,AA3)</f>
        <v>0</v>
      </c>
      <c r="AB51" s="454" cm="1">
        <f t="array" ref="AB51">SUMIFS([1]مرداد!$AH$2:$AH$805,[1]مرداد!$O$2:$O$805,دمونتاژ,[1]مرداد!$D$2:$D$805,$F$51,[1]مرداد!$AC$2:$AC$805,AB3)</f>
        <v>0</v>
      </c>
    </row>
    <row r="52" spans="1:28" ht="33.75" customHeight="1" x14ac:dyDescent="0.25">
      <c r="A52" s="967"/>
      <c r="B52" s="975"/>
      <c r="C52" s="965"/>
      <c r="D52" s="933"/>
      <c r="E52" s="933"/>
      <c r="F52" s="29" t="s">
        <v>55</v>
      </c>
      <c r="G52" s="3">
        <f t="shared" si="3"/>
        <v>0</v>
      </c>
      <c r="H52" s="49">
        <f t="shared" si="1"/>
        <v>0</v>
      </c>
      <c r="I52" s="3">
        <f t="shared" si="2"/>
        <v>0</v>
      </c>
      <c r="J52" s="3">
        <v>0</v>
      </c>
      <c r="K52" s="3">
        <v>0</v>
      </c>
      <c r="L52" s="3">
        <v>0</v>
      </c>
      <c r="M52" s="3">
        <f>SUM(G52:L52)-62</f>
        <v>-62</v>
      </c>
      <c r="N52" s="62"/>
      <c r="O52" s="293">
        <f>SUMIFS([1]مرداد!$AF$2:$AF$805,[1]مرداد!$O$2:$O$805,"دمونتاژ",[1]مرداد!$D$2:$D$805,$F$52,[1]مرداد!$AC$2:$AC$805,O3)</f>
        <v>0</v>
      </c>
      <c r="P52" s="891">
        <f>SUMIFS([1]مرداد!$AF$2:$AF$805,[1]مرداد!$O$2:$O$805,"دمونتاژ",[1]مرداد!$D$2:$D$805,$F$52,[1]مرداد!$AC$2:$AC$805,P3)</f>
        <v>0</v>
      </c>
      <c r="Q52" s="293">
        <f>SUMIFS([1]مرداد!$AF$2:$AF$805,[1]مرداد!$O$2:$O$805,"دمونتاژ",[1]مرداد!$D$2:$D$805,$F$52,[1]مرداد!$AC$2:$AC$805,Q3)</f>
        <v>0</v>
      </c>
      <c r="R52" s="293">
        <f>SUMIFS([1]مرداد!$AF$2:$AF$805,[1]مرداد!$O$2:$O$805,"دمونتاژ",[1]مرداد!$D$2:$D$805,$F$52,[1]مرداد!$AC$2:$AC$805,R3)</f>
        <v>0</v>
      </c>
      <c r="S52" s="293">
        <f>SUMIFS([1]مرداد!$AF$2:$AF$805,[1]مرداد!$O$2:$O$805,"دمونتاژ",[1]مرداد!$D$2:$D$805,$F$52,[1]مرداد!$AC$2:$AC$805,S3)</f>
        <v>0</v>
      </c>
      <c r="T52" s="891">
        <f>SUMIFS([1]مرداد!$AF$2:$AF$805,[1]مرداد!$O$2:$O$805,"دمونتاژ",[1]مرداد!$D$2:$D$805,$F$52,[1]مرداد!$AC$2:$AC$805,T3)</f>
        <v>0</v>
      </c>
      <c r="U52" s="903">
        <f>SUMIFS([1]مرداد!$AF$2:$AF$805,[1]مرداد!$O$2:$O$805,"دمونتاژ",[1]مرداد!$D$2:$D$805,$F$52,[1]مرداد!$AC$2:$AC$805,U3)</f>
        <v>0</v>
      </c>
      <c r="V52" s="166" cm="1">
        <f t="array" ref="V52">SUMIFS([1]مرداد!$AH$2:$AH$805,[1]مرداد!$O$2:$O$805,دمونتاژ,[1]مرداد!$D$2:$D$805,$F$52,[1]مرداد!$AC$2:$AC$805,V3)</f>
        <v>0</v>
      </c>
      <c r="W52" s="891" cm="1">
        <f t="array" ref="W52">SUMIFS([1]مرداد!$AH$2:$AH$805,[1]مرداد!$O$2:$O$805,دمونتاژ,[1]مرداد!$D$2:$D$805,$F$52,[1]مرداد!$AC$2:$AC$805,W3)</f>
        <v>0</v>
      </c>
      <c r="X52" s="293" cm="1">
        <f t="array" ref="X52">SUMIFS([1]مرداد!$AH$2:$AH$805,[1]مرداد!$O$2:$O$805,دمونتاژ,[1]مرداد!$D$2:$D$805,$F$52,[1]مرداد!$AC$2:$AC$805,X3)</f>
        <v>0</v>
      </c>
      <c r="Y52" s="293" cm="1">
        <f t="array" ref="Y52">SUMIFS([1]مرداد!$AH$2:$AH$805,[1]مرداد!$O$2:$O$805,دمونتاژ,[1]مرداد!$D$2:$D$805,$F$52,[1]مرداد!$AC$2:$AC$805,Y3)</f>
        <v>0</v>
      </c>
      <c r="Z52" s="293" cm="1">
        <f t="array" ref="Z52">SUMIFS([1]مرداد!$AH$2:$AH$805,[1]مرداد!$O$2:$O$805,دمونتاژ,[1]مرداد!$D$2:$D$805,$F$52,[1]مرداد!$AC$2:$AC$805,Z3)</f>
        <v>0</v>
      </c>
      <c r="AA52" s="891" cm="1">
        <f t="array" ref="AA52">SUMIFS([1]مرداد!$AH$2:$AH$805,[1]مرداد!$O$2:$O$805,دمونتاژ,[1]مرداد!$D$2:$D$805,$F$52,[1]مرداد!$AC$2:$AC$805,AA3)</f>
        <v>0</v>
      </c>
      <c r="AB52" s="901" cm="1">
        <f t="array" ref="AB52">SUMIFS([1]مرداد!$AH$2:$AH$805,[1]مرداد!$O$2:$O$805,دمونتاژ,[1]مرداد!$D$2:$D$805,$F$52,[1]مرداد!$AC$2:$AC$805,AB3)</f>
        <v>0</v>
      </c>
    </row>
    <row r="53" spans="1:28" ht="33.75" customHeight="1" x14ac:dyDescent="0.25">
      <c r="A53" s="967"/>
      <c r="B53" s="975"/>
      <c r="C53" s="965"/>
      <c r="D53" s="933"/>
      <c r="E53" s="933"/>
      <c r="F53" s="29" t="s">
        <v>54</v>
      </c>
      <c r="G53" s="3">
        <f t="shared" si="3"/>
        <v>0</v>
      </c>
      <c r="H53" s="47">
        <f t="shared" si="1"/>
        <v>0</v>
      </c>
      <c r="I53" s="3">
        <f t="shared" si="2"/>
        <v>0</v>
      </c>
      <c r="J53" s="3">
        <v>0</v>
      </c>
      <c r="K53" s="3">
        <v>0</v>
      </c>
      <c r="L53" s="3">
        <v>0</v>
      </c>
      <c r="M53" s="3">
        <f>SUM(G53:L53)-62</f>
        <v>-62</v>
      </c>
      <c r="N53" s="62"/>
      <c r="O53" s="293">
        <f>SUMIFS([1]مرداد!$AF$2:$AF$805,[1]مرداد!$O$2:$O$805,"دمونتاژ",[1]مرداد!$D$2:$D$805,$F$53,[1]مرداد!$AC$2:$AC$805,O3)</f>
        <v>0</v>
      </c>
      <c r="P53" s="891">
        <f>SUMIFS([1]مرداد!$AF$2:$AF$805,[1]مرداد!$O$2:$O$805,"دمونتاژ",[1]مرداد!$D$2:$D$805,$F$53,[1]مرداد!$AC$2:$AC$805,P3)</f>
        <v>0</v>
      </c>
      <c r="Q53" s="293">
        <f>SUMIFS([1]مرداد!$AF$2:$AF$805,[1]مرداد!$O$2:$O$805,"دمونتاژ",[1]مرداد!$D$2:$D$805,$F$53,[1]مرداد!$AC$2:$AC$805,Q3)</f>
        <v>0</v>
      </c>
      <c r="R53" s="293">
        <f>SUMIFS([1]مرداد!$AF$2:$AF$805,[1]مرداد!$O$2:$O$805,"دمونتاژ",[1]مرداد!$D$2:$D$805,$F$53,[1]مرداد!$AC$2:$AC$805,R3)</f>
        <v>0</v>
      </c>
      <c r="S53" s="293">
        <f>SUMIFS([1]مرداد!$AF$2:$AF$805,[1]مرداد!$O$2:$O$805,"دمونتاژ",[1]مرداد!$D$2:$D$805,$F$53,[1]مرداد!$AC$2:$AC$805,S3)</f>
        <v>0</v>
      </c>
      <c r="T53" s="891">
        <f>SUMIFS([1]مرداد!$AF$2:$AF$805,[1]مرداد!$O$2:$O$805,"دمونتاژ",[1]مرداد!$D$2:$D$805,$F$53,[1]مرداد!$AC$2:$AC$805,T3)</f>
        <v>0</v>
      </c>
      <c r="U53" s="903">
        <f>SUMIFS([1]مرداد!$AF$2:$AF$805,[1]مرداد!$O$2:$O$805,"دمونتاژ",[1]مرداد!$D$2:$D$805,$F$53,[1]مرداد!$AC$2:$AC$805,U3)</f>
        <v>0</v>
      </c>
      <c r="V53" s="166" cm="1">
        <f t="array" ref="V53">SUMIFS([1]مرداد!$AH$2:$AH$805,[1]مرداد!$O$2:$O$805,دمونتاژ,[1]مرداد!$D$2:$D$805,$F$53,[1]مرداد!$AC$2:$AC$805,V3)</f>
        <v>0</v>
      </c>
      <c r="W53" s="891" cm="1">
        <f t="array" ref="W53">SUMIFS([1]مرداد!$AH$2:$AH$805,[1]مرداد!$O$2:$O$805,دمونتاژ,[1]مرداد!$D$2:$D$805,$F$53,[1]مرداد!$AC$2:$AC$805,W3)</f>
        <v>0</v>
      </c>
      <c r="X53" s="293" cm="1">
        <f t="array" ref="X53">SUMIFS([1]مرداد!$AH$2:$AH$805,[1]مرداد!$O$2:$O$805,دمونتاژ,[1]مرداد!$D$2:$D$805,$F$53,[1]مرداد!$AC$2:$AC$805,X3)</f>
        <v>0</v>
      </c>
      <c r="Y53" s="293" cm="1">
        <f t="array" ref="Y53">SUMIFS([1]مرداد!$AH$2:$AH$805,[1]مرداد!$O$2:$O$805,دمونتاژ,[1]مرداد!$D$2:$D$805,$F$53,[1]مرداد!$AC$2:$AC$805,Y3)</f>
        <v>0</v>
      </c>
      <c r="Z53" s="293" cm="1">
        <f t="array" ref="Z53">SUMIFS([1]مرداد!$AH$2:$AH$805,[1]مرداد!$O$2:$O$805,دمونتاژ,[1]مرداد!$D$2:$D$805,$F$53,[1]مرداد!$AC$2:$AC$805,Z3)</f>
        <v>0</v>
      </c>
      <c r="AA53" s="891" cm="1">
        <f t="array" ref="AA53">SUMIFS([1]مرداد!$AH$2:$AH$805,[1]مرداد!$O$2:$O$805,دمونتاژ,[1]مرداد!$D$2:$D$805,$F$53,[1]مرداد!$AC$2:$AC$805,AA3)</f>
        <v>0</v>
      </c>
      <c r="AB53" s="901" cm="1">
        <f t="array" ref="AB53">SUMIFS([1]مرداد!$AH$2:$AH$805,[1]مرداد!$O$2:$O$805,دمونتاژ,[1]مرداد!$D$2:$D$805,$F$53,[1]مرداد!$AC$2:$AC$805,AB3)</f>
        <v>0</v>
      </c>
    </row>
    <row r="54" spans="1:28" ht="33.75" customHeight="1" thickBot="1" x14ac:dyDescent="0.3">
      <c r="A54" s="967"/>
      <c r="B54" s="975"/>
      <c r="C54" s="966"/>
      <c r="D54" s="933"/>
      <c r="E54" s="933"/>
      <c r="F54" s="828"/>
      <c r="G54" s="4">
        <f t="shared" si="3"/>
        <v>0</v>
      </c>
      <c r="H54" s="765">
        <f t="shared" si="1"/>
        <v>0</v>
      </c>
      <c r="I54" s="4">
        <f t="shared" si="2"/>
        <v>0</v>
      </c>
      <c r="J54" s="25">
        <v>0</v>
      </c>
      <c r="K54" s="25">
        <v>0</v>
      </c>
      <c r="L54" s="25">
        <v>0</v>
      </c>
      <c r="M54" s="25">
        <f>SUM(G54:L54)-62</f>
        <v>-62</v>
      </c>
      <c r="N54" s="58"/>
      <c r="O54" s="294">
        <f>SUMIFS([1]مرداد!$AF$2:$AF$805,[1]مرداد!$O$2:$O$805,"نظافت",[1]مرداد!$D$2:$D$805,"*",[1]مرداد!$AC$2:$AC$805,O3)</f>
        <v>0</v>
      </c>
      <c r="P54" s="904">
        <f>SUMIFS([1]مرداد!$AF$2:$AF$805,[1]مرداد!$O$2:$O$805,"نظافت",[1]مرداد!$D$2:$D$805,"*",[1]مرداد!$AC$2:$AC$805,P3)</f>
        <v>0</v>
      </c>
      <c r="Q54" s="294">
        <f>SUMIFS([1]مرداد!$AF$2:$AF$805,[1]مرداد!$O$2:$O$805,"نظافت",[1]مرداد!$D$2:$D$805,"*",[1]مرداد!$AC$2:$AC$805,Q3)</f>
        <v>0</v>
      </c>
      <c r="R54" s="294">
        <f>SUMIFS([1]مرداد!$AF$2:$AF$805,[1]مرداد!$O$2:$O$805,"نظافت",[1]مرداد!$D$2:$D$805,"*",[1]مرداد!$AC$2:$AC$805,R3)</f>
        <v>0</v>
      </c>
      <c r="S54" s="294">
        <f>SUMIFS([1]مرداد!$AF$2:$AF$805,[1]مرداد!$O$2:$O$805,"نظافت",[1]مرداد!$D$2:$D$805,"*",[1]مرداد!$AC$2:$AC$805,S3)</f>
        <v>0</v>
      </c>
      <c r="T54" s="904">
        <f>SUMIFS([1]مرداد!$AF$2:$AF$805,[1]مرداد!$O$2:$O$805,"نظافت",[1]مرداد!$D$2:$D$805,"*",[1]مرداد!$AC$2:$AC$805,T3)</f>
        <v>0</v>
      </c>
      <c r="U54" s="905">
        <f>SUMIFS([1]مرداد!$AF$2:$AF$805,[1]مرداد!$O$2:$O$805,"نظافت",[1]مرداد!$D$2:$D$805,"*",[1]مرداد!$AC$2:$AC$805,U3)</f>
        <v>0</v>
      </c>
      <c r="V54" s="171" cm="1">
        <f t="array" ref="V54">SUMIFS([1]مرداد!$AH$2:$AH$805,[1]مرداد!$O$2:$O$805,دمونتاژ,[1]مرداد!$D$2:$D$805,$F$54,[1]مرداد!$AC$2:$AC$805,V3)</f>
        <v>0</v>
      </c>
      <c r="W54" s="904" cm="1">
        <f t="array" ref="W54">SUMIFS([1]مرداد!$AH$2:$AH$805,[1]مرداد!$O$2:$O$805,دمونتاژ,[1]مرداد!$D$2:$D$805,$F$54,[1]مرداد!$AC$2:$AC$805,W3)</f>
        <v>0</v>
      </c>
      <c r="X54" s="294" cm="1">
        <f t="array" ref="X54">SUMIFS([1]مرداد!$AH$2:$AH$805,[1]مرداد!$O$2:$O$805,دمونتاژ,[1]مرداد!$D$2:$D$805,$F$54,[1]مرداد!$AC$2:$AC$805,X3)</f>
        <v>0</v>
      </c>
      <c r="Y54" s="294" cm="1">
        <f t="array" ref="Y54">SUMIFS([1]مرداد!$AH$2:$AH$805,[1]مرداد!$O$2:$O$805,دمونتاژ,[1]مرداد!$D$2:$D$805,$F$54,[1]مرداد!$AC$2:$AC$805,Y3)</f>
        <v>0</v>
      </c>
      <c r="Z54" s="294" cm="1">
        <f t="array" ref="Z54">SUMIFS([1]مرداد!$AH$2:$AH$805,[1]مرداد!$O$2:$O$805,دمونتاژ,[1]مرداد!$D$2:$D$805,$F$54,[1]مرداد!$AC$2:$AC$805,Z3)</f>
        <v>0</v>
      </c>
      <c r="AA54" s="904" cm="1">
        <f t="array" ref="AA54">SUMIFS([1]مرداد!$AH$2:$AH$805,[1]مرداد!$O$2:$O$805,دمونتاژ,[1]مرداد!$D$2:$D$805,$F$54,[1]مرداد!$AC$2:$AC$805,AA3)</f>
        <v>0</v>
      </c>
      <c r="AB54" s="700" cm="1">
        <f t="array" ref="AB54">SUMIFS([1]مرداد!$AH$2:$AH$805,[1]مرداد!$O$2:$O$805,دمونتاژ,[1]مرداد!$D$2:$D$805,$F$54,[1]مرداد!$AC$2:$AC$805,AB3)</f>
        <v>0</v>
      </c>
    </row>
    <row r="55" spans="1:28" ht="48.75" customHeight="1" thickBot="1" x14ac:dyDescent="0.3">
      <c r="A55" s="951" t="s">
        <v>49</v>
      </c>
      <c r="B55" s="952"/>
      <c r="C55" s="952"/>
      <c r="D55" s="952"/>
      <c r="E55" s="952"/>
      <c r="F55" s="953"/>
      <c r="G55" s="148">
        <f t="shared" ref="G55:L55" si="4">SUM(G4:G54)</f>
        <v>504.41666666666669</v>
      </c>
      <c r="H55" s="148">
        <f t="shared" si="4"/>
        <v>0</v>
      </c>
      <c r="I55" s="148">
        <f t="shared" si="4"/>
        <v>12.583333333333334</v>
      </c>
      <c r="J55" s="148">
        <f t="shared" si="4"/>
        <v>110</v>
      </c>
      <c r="K55" s="148">
        <f t="shared" si="4"/>
        <v>0</v>
      </c>
      <c r="L55" s="148">
        <f t="shared" si="4"/>
        <v>0</v>
      </c>
      <c r="M55" s="149">
        <f>SUMIFS(M4:M54,F4:F54,"*")</f>
        <v>-887</v>
      </c>
      <c r="N55" s="306"/>
      <c r="O55" s="302">
        <f>SUM(O4:O54)</f>
        <v>135.5</v>
      </c>
      <c r="P55" s="199">
        <f t="shared" ref="P55:U55" si="5">SUM(P4:P54)</f>
        <v>0</v>
      </c>
      <c r="Q55" s="198">
        <f t="shared" si="5"/>
        <v>105.5</v>
      </c>
      <c r="R55" s="198">
        <f t="shared" si="5"/>
        <v>149.41666666666666</v>
      </c>
      <c r="S55" s="198">
        <f t="shared" si="5"/>
        <v>114</v>
      </c>
      <c r="T55" s="199">
        <f t="shared" si="5"/>
        <v>0</v>
      </c>
      <c r="U55" s="150">
        <f t="shared" si="5"/>
        <v>0</v>
      </c>
      <c r="V55" s="302">
        <f>SUM(V4:V54)</f>
        <v>9</v>
      </c>
      <c r="W55" s="199">
        <f t="shared" ref="W55:AB55" si="6">SUM(W4:W54)</f>
        <v>0</v>
      </c>
      <c r="X55" s="198">
        <f t="shared" si="6"/>
        <v>0</v>
      </c>
      <c r="Y55" s="198">
        <f t="shared" si="6"/>
        <v>3.5833333333333335</v>
      </c>
      <c r="Z55" s="198">
        <f t="shared" si="6"/>
        <v>0</v>
      </c>
      <c r="AA55" s="199">
        <f t="shared" si="6"/>
        <v>0</v>
      </c>
      <c r="AB55" s="150">
        <f t="shared" si="6"/>
        <v>0</v>
      </c>
    </row>
    <row r="56" spans="1:28" x14ac:dyDescent="0.25">
      <c r="G56" s="582"/>
    </row>
    <row r="57" spans="1:28" x14ac:dyDescent="0.25">
      <c r="G57" s="660"/>
    </row>
    <row r="61" spans="1:28" x14ac:dyDescent="0.25">
      <c r="G61" s="660"/>
    </row>
  </sheetData>
  <mergeCells count="52">
    <mergeCell ref="E7:E9"/>
    <mergeCell ref="A1:L2"/>
    <mergeCell ref="O1:U2"/>
    <mergeCell ref="V1:AB2"/>
    <mergeCell ref="E4:E6"/>
    <mergeCell ref="N4:N6"/>
    <mergeCell ref="A15:A16"/>
    <mergeCell ref="B15:B16"/>
    <mergeCell ref="C15:C16"/>
    <mergeCell ref="D15:D16"/>
    <mergeCell ref="E15:E16"/>
    <mergeCell ref="A12:A14"/>
    <mergeCell ref="B12:B14"/>
    <mergeCell ref="C12:C14"/>
    <mergeCell ref="D12:D14"/>
    <mergeCell ref="E12:E14"/>
    <mergeCell ref="E19:E21"/>
    <mergeCell ref="N19:N21"/>
    <mergeCell ref="E23:E25"/>
    <mergeCell ref="N23:N25"/>
    <mergeCell ref="B30:B31"/>
    <mergeCell ref="C30:C31"/>
    <mergeCell ref="D30:D31"/>
    <mergeCell ref="E30:E31"/>
    <mergeCell ref="N30:N31"/>
    <mergeCell ref="A32:A33"/>
    <mergeCell ref="E32:E33"/>
    <mergeCell ref="N32:N33"/>
    <mergeCell ref="A34:A35"/>
    <mergeCell ref="E34:E35"/>
    <mergeCell ref="N34:N35"/>
    <mergeCell ref="A36:A37"/>
    <mergeCell ref="E36:E37"/>
    <mergeCell ref="N36:N37"/>
    <mergeCell ref="A38:A39"/>
    <mergeCell ref="E38:E39"/>
    <mergeCell ref="N38:N39"/>
    <mergeCell ref="A47:A50"/>
    <mergeCell ref="B47:B54"/>
    <mergeCell ref="C47:C50"/>
    <mergeCell ref="D47:D50"/>
    <mergeCell ref="E47:E50"/>
    <mergeCell ref="A40:A41"/>
    <mergeCell ref="E40:E41"/>
    <mergeCell ref="N40:N41"/>
    <mergeCell ref="E42:E44"/>
    <mergeCell ref="N42:N44"/>
    <mergeCell ref="A51:A54"/>
    <mergeCell ref="C51:C54"/>
    <mergeCell ref="D51:D54"/>
    <mergeCell ref="E51:E54"/>
    <mergeCell ref="A55:F55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:M55" formulaRange="1"/>
  </ignoredErrors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AE9B-5492-4147-AC60-5F256DDD15F3}">
  <sheetPr>
    <pageSetUpPr fitToPage="1"/>
  </sheetPr>
  <dimension ref="A1:AB61"/>
  <sheetViews>
    <sheetView rightToLeft="1" tabSelected="1" view="pageLayout" zoomScale="85" zoomScaleNormal="100" zoomScalePageLayoutView="85" workbookViewId="0">
      <selection activeCell="E4" sqref="E4:E6"/>
    </sheetView>
  </sheetViews>
  <sheetFormatPr defaultColWidth="9.140625" defaultRowHeight="15" x14ac:dyDescent="0.25"/>
  <cols>
    <col min="1" max="1" width="5.5703125" customWidth="1"/>
    <col min="2" max="2" width="13.42578125" customWidth="1"/>
    <col min="3" max="3" width="11.42578125" customWidth="1"/>
    <col min="4" max="4" width="11.7109375" customWidth="1"/>
    <col min="5" max="5" width="12.7109375" customWidth="1"/>
    <col min="6" max="6" width="10.85546875" customWidth="1"/>
    <col min="7" max="12" width="6.42578125" customWidth="1"/>
    <col min="13" max="13" width="10.5703125" customWidth="1"/>
    <col min="14" max="14" width="14.42578125" customWidth="1"/>
    <col min="15" max="15" width="6.42578125" style="52" hidden="1" customWidth="1"/>
    <col min="16" max="16" width="6.42578125" style="51" hidden="1" customWidth="1"/>
    <col min="17" max="19" width="6.42578125" style="52" hidden="1" customWidth="1"/>
    <col min="20" max="21" width="6.42578125" style="51" hidden="1" customWidth="1"/>
    <col min="22" max="22" width="5.5703125" hidden="1" customWidth="1"/>
    <col min="23" max="23" width="5.5703125" style="51" hidden="1" customWidth="1"/>
    <col min="24" max="26" width="5.5703125" hidden="1" customWidth="1"/>
    <col min="27" max="28" width="5.5703125" style="51" hidden="1" customWidth="1"/>
  </cols>
  <sheetData>
    <row r="1" spans="1:28" ht="37.5" customHeight="1" x14ac:dyDescent="0.25">
      <c r="A1" s="918" t="s">
        <v>51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151" t="s">
        <v>38</v>
      </c>
      <c r="N1" s="303">
        <v>1405</v>
      </c>
      <c r="O1" s="923" t="s">
        <v>47</v>
      </c>
      <c r="P1" s="923"/>
      <c r="Q1" s="923"/>
      <c r="R1" s="923"/>
      <c r="S1" s="923"/>
      <c r="T1" s="923"/>
      <c r="U1" s="924"/>
      <c r="V1" s="923" t="s">
        <v>215</v>
      </c>
      <c r="W1" s="923"/>
      <c r="X1" s="923"/>
      <c r="Y1" s="923"/>
      <c r="Z1" s="923"/>
      <c r="AA1" s="923"/>
      <c r="AB1" s="924"/>
    </row>
    <row r="2" spans="1:28" ht="37.5" customHeight="1" thickBot="1" x14ac:dyDescent="0.3">
      <c r="A2" s="920"/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152" t="s">
        <v>39</v>
      </c>
      <c r="N2" s="304">
        <v>25</v>
      </c>
      <c r="O2" s="926"/>
      <c r="P2" s="926"/>
      <c r="Q2" s="926"/>
      <c r="R2" s="926"/>
      <c r="S2" s="926"/>
      <c r="T2" s="926"/>
      <c r="U2" s="927"/>
      <c r="V2" s="926"/>
      <c r="W2" s="926"/>
      <c r="X2" s="926"/>
      <c r="Y2" s="926"/>
      <c r="Z2" s="926"/>
      <c r="AA2" s="926"/>
      <c r="AB2" s="927"/>
    </row>
    <row r="3" spans="1:28" ht="62.25" customHeight="1" thickBot="1" x14ac:dyDescent="0.3">
      <c r="A3" s="44" t="s">
        <v>0</v>
      </c>
      <c r="B3" s="40" t="s">
        <v>64</v>
      </c>
      <c r="C3" s="35" t="s">
        <v>1</v>
      </c>
      <c r="D3" s="35" t="s">
        <v>2</v>
      </c>
      <c r="E3" s="35" t="s">
        <v>3</v>
      </c>
      <c r="F3" s="36" t="s">
        <v>4</v>
      </c>
      <c r="G3" s="37" t="s">
        <v>5</v>
      </c>
      <c r="H3" s="50" t="s">
        <v>35</v>
      </c>
      <c r="I3" s="53" t="s">
        <v>6</v>
      </c>
      <c r="J3" s="37" t="s">
        <v>7</v>
      </c>
      <c r="K3" s="37" t="s">
        <v>8</v>
      </c>
      <c r="L3" s="37" t="s">
        <v>9</v>
      </c>
      <c r="M3" s="37" t="s">
        <v>10</v>
      </c>
      <c r="N3" s="38" t="s">
        <v>11</v>
      </c>
      <c r="O3" s="806" t="s">
        <v>231</v>
      </c>
      <c r="P3" s="806" t="s">
        <v>232</v>
      </c>
      <c r="Q3" s="806" t="s">
        <v>233</v>
      </c>
      <c r="R3" s="806" t="s">
        <v>234</v>
      </c>
      <c r="S3" s="806" t="s">
        <v>235</v>
      </c>
      <c r="T3" s="806" t="s">
        <v>236</v>
      </c>
      <c r="U3" s="806" t="s">
        <v>237</v>
      </c>
      <c r="V3" s="806" t="s">
        <v>231</v>
      </c>
      <c r="W3" s="806" t="s">
        <v>232</v>
      </c>
      <c r="X3" s="806" t="s">
        <v>233</v>
      </c>
      <c r="Y3" s="806" t="s">
        <v>234</v>
      </c>
      <c r="Z3" s="806" t="s">
        <v>235</v>
      </c>
      <c r="AA3" s="806" t="s">
        <v>236</v>
      </c>
      <c r="AB3" s="806" t="s">
        <v>237</v>
      </c>
    </row>
    <row r="4" spans="1:28" ht="33.75" customHeight="1" x14ac:dyDescent="0.25">
      <c r="A4" s="851"/>
      <c r="B4" s="871"/>
      <c r="C4" s="42"/>
      <c r="D4" s="877"/>
      <c r="E4" s="932" t="s">
        <v>15</v>
      </c>
      <c r="F4" s="858" t="s">
        <v>55</v>
      </c>
      <c r="G4" s="885">
        <f>SUM(O4:T4)</f>
        <v>47</v>
      </c>
      <c r="H4" s="46">
        <f>U4</f>
        <v>0</v>
      </c>
      <c r="I4" s="885">
        <f>SUM(V4:AB4)</f>
        <v>0</v>
      </c>
      <c r="J4" s="885">
        <v>0</v>
      </c>
      <c r="K4" s="885">
        <v>0</v>
      </c>
      <c r="L4" s="885">
        <v>0</v>
      </c>
      <c r="M4" s="28"/>
      <c r="N4" s="945" t="str">
        <f>IF(I4&gt;0,"②","")</f>
        <v/>
      </c>
      <c r="O4" s="169">
        <f>SUMIFS([1]شهریور!$AF$2:$AF$805,[1]شهریور!$O$2:$O$805,7101,[1]شهریور!$D$2:$D$805,$F$4,[1]شهریور!$AC$2:$AC$805,O3)</f>
        <v>11</v>
      </c>
      <c r="P4" s="98">
        <f>SUMIFS([1]شهریور!$AF$2:$AF$805,[1]شهریور!$O$2:$O$805,7101,[1]شهریور!$D$2:$D$805,$F$4,[1]شهریور!$AC$2:$AC$805,P3)</f>
        <v>11</v>
      </c>
      <c r="Q4" s="169">
        <f>SUMIFS([1]شهریور!$AF$2:$AF$805,[1]شهریور!$O$2:$O$805,7101,[1]شهریور!$D$2:$D$805,$F$4,[1]شهریور!$AC$2:$AC$805,Q3)</f>
        <v>11</v>
      </c>
      <c r="R4" s="169">
        <f>SUMIFS([1]شهریور!$AF$2:$AF$805,[1]شهریور!$O$2:$O$805,7101,[1]شهریور!$D$2:$D$805,$F$4,[1]شهریور!$AC$2:$AC$805,R3)</f>
        <v>6</v>
      </c>
      <c r="S4" s="169">
        <f>SUMIFS([1]شهریور!$AF$2:$AF$805,[1]شهریور!$O$2:$O$805,7101,[1]شهریور!$D$2:$D$805,$F$4,[1]شهریور!$AC$2:$AC$805,S3)</f>
        <v>8</v>
      </c>
      <c r="T4" s="98">
        <f>SUMIFS([1]شهریور!$AF$2:$AF$805,[1]شهریور!$O$2:$O$805,7101,[1]شهریور!$D$2:$D$805,$F$4,[1]شهریور!$AC$2:$AC$805,T3)</f>
        <v>0</v>
      </c>
      <c r="U4" s="1015">
        <f>SUMIFS([1]شهریور!$AF$2:$AF$805,[1]شهریور!$O$2:$O$805,7101,[1]شهریور!$D$2:$D$805,$F$4,[1]شهریور!$AC$2:$AC$805,U3)</f>
        <v>0</v>
      </c>
      <c r="V4" s="165">
        <f>SUMIFS([1]شهریور!$AH$2:$AH$805,[1]شهریور!$O$2:$O$805,7101,[1]شهریور!$D$2:$D$805,$F$4,[1]شهریور!$AC$2:$AC$805,V3)</f>
        <v>0</v>
      </c>
      <c r="W4" s="98">
        <f>SUMIFS([1]شهریور!$AH$2:$AH$805,[1]شهریور!$O$2:$O$805,7101,[1]شهریور!$D$2:$D$805,$F$4,[1]شهریور!$AC$2:$AC$805,W3)</f>
        <v>0</v>
      </c>
      <c r="X4" s="169">
        <f>SUMIFS([1]شهریور!$AH$2:$AH$805,[1]شهریور!$O$2:$O$805,7101,[1]شهریور!$D$2:$D$805,$F$4,[1]شهریور!$AC$2:$AC$805,X3)</f>
        <v>0</v>
      </c>
      <c r="Y4" s="169">
        <f>SUMIFS([1]شهریور!$AH$2:$AH$805,[1]شهریور!$O$2:$O$805,7101,[1]شهریور!$D$2:$D$805,$F$4,[1]شهریور!$AC$2:$AC$805,Y3)</f>
        <v>0</v>
      </c>
      <c r="Z4" s="169">
        <f>SUMIFS([1]شهریور!$AH$2:$AH$805,[1]شهریور!$O$2:$O$805,7101,[1]شهریور!$D$2:$D$805,$F$4,[1]شهریور!$AC$2:$AC$805,Z3)</f>
        <v>0</v>
      </c>
      <c r="AA4" s="98">
        <f>SUMIFS([1]شهریور!$AH$2:$AH$805,[1]شهریور!$O$2:$O$805,7101,[1]شهریور!$D$2:$D$805,$F$4,[1]شهریور!$AC$2:$AC$805,AA3)</f>
        <v>0</v>
      </c>
      <c r="AB4" s="107">
        <f>SUMIFS([1]شهریور!$AH$2:$AH$805,[1]شهریور!$O$2:$O$805,7101,[1]شهریور!$D$2:$D$805,$F$4,[1]شهریور!$AC$2:$AC$805,AB3)</f>
        <v>0</v>
      </c>
    </row>
    <row r="5" spans="1:28" ht="33.75" customHeight="1" x14ac:dyDescent="0.25">
      <c r="A5" s="852">
        <v>1</v>
      </c>
      <c r="B5" s="865" t="s">
        <v>14</v>
      </c>
      <c r="C5" s="863">
        <v>7101</v>
      </c>
      <c r="D5" s="878">
        <f>62.5-7.5</f>
        <v>55</v>
      </c>
      <c r="E5" s="1003"/>
      <c r="F5" s="859" t="s">
        <v>12</v>
      </c>
      <c r="G5" s="3">
        <f t="shared" ref="G5:G47" si="0">SUM(O5:T5)</f>
        <v>0</v>
      </c>
      <c r="H5" s="47">
        <f t="shared" ref="H5:H54" si="1">U5</f>
        <v>0</v>
      </c>
      <c r="I5" s="3">
        <f t="shared" ref="I5:I54" si="2">SUM(V5:AB5)</f>
        <v>0</v>
      </c>
      <c r="J5" s="3">
        <v>0</v>
      </c>
      <c r="K5" s="3">
        <v>0</v>
      </c>
      <c r="L5" s="3">
        <v>0</v>
      </c>
      <c r="M5" s="4">
        <f>SUM(G4:G6)+SUM(H4:H6)+SUM(I4:I6)+SUM(L4:L6)+SUM(K4:K6)-D5</f>
        <v>-8</v>
      </c>
      <c r="N5" s="929"/>
      <c r="O5" s="166">
        <f>SUMIFS([1]مرداد!$AF$2:$AF$805,[1]مرداد!$O$2:$O$805,7101,[1]مرداد!$D$2:$D$805,$F$5,[1]مرداد!$AC$2:$AC$805,O3)</f>
        <v>0</v>
      </c>
      <c r="P5" s="96">
        <f>SUMIFS([1]مرداد!$AF$2:$AF$805,[1]مرداد!$O$2:$O$805,7101,[1]مرداد!$D$2:$D$805,$F$5,[1]مرداد!$AC$2:$AC$805,P3)</f>
        <v>0</v>
      </c>
      <c r="Q5" s="168">
        <f>SUMIFS([1]مرداد!$AF$2:$AF$805,[1]مرداد!$O$2:$O$805,7101,[1]مرداد!$D$2:$D$805,$F$5,[1]مرداد!$AC$2:$AC$805,Q3)</f>
        <v>0</v>
      </c>
      <c r="R5" s="168">
        <f>SUMIFS([1]مرداد!$AF$2:$AF$805,[1]مرداد!$O$2:$O$805,7101,[1]مرداد!$D$2:$D$805,$F$5,[1]مرداد!$AC$2:$AC$805,R3)</f>
        <v>0</v>
      </c>
      <c r="S5" s="168">
        <f>SUMIFS([1]مرداد!$AF$2:$AF$805,[1]مرداد!$O$2:$O$805,7101,[1]مرداد!$D$2:$D$805,$F$5,[1]مرداد!$AC$2:$AC$805,S3)</f>
        <v>0</v>
      </c>
      <c r="T5" s="96">
        <f>SUMIFS([1]مرداد!$AF$2:$AF$805,[1]مرداد!$O$2:$O$805,7101,[1]مرداد!$D$2:$D$805,$F$5,[1]مرداد!$AC$2:$AC$805,T3)</f>
        <v>0</v>
      </c>
      <c r="U5" s="800">
        <f>SUMIFS([1]مرداد!$AF$2:$AF$805,[1]مرداد!$O$2:$O$805,7101,[1]مرداد!$D$2:$D$805,$F$5,[1]مرداد!$AC$2:$AC$805,U3)</f>
        <v>0</v>
      </c>
      <c r="V5" s="166">
        <f>SUMIFS([1]مرداد!$AH$2:$AH$805,[1]مرداد!$O$2:$O$805,7101,[1]مرداد!$D$2:$D$805,$F$5,[1]مرداد!$AC$2:$AC$805,V3)</f>
        <v>0</v>
      </c>
      <c r="W5" s="537">
        <f>SUMIFS([1]شهریور!$AH$2:$AH$805,[1]شهریور!$O$2:$O$805,7101,[1]شهریور!$D$2:$D$805,$F$5,[1]شهریور!$AC$2:$AC$805,W3)</f>
        <v>0</v>
      </c>
      <c r="X5" s="174">
        <f>SUMIFS([1]شهریور!$AH$2:$AH$805,[1]شهریور!$O$2:$O$805,7101,[1]شهریور!$D$2:$D$805,$F$5,[1]شهریور!$AC$2:$AC$805,X3)</f>
        <v>0</v>
      </c>
      <c r="Y5" s="174">
        <f>SUMIFS([1]شهریور!$AH$2:$AH$805,[1]شهریور!$O$2:$O$805,7101,[1]شهریور!$D$2:$D$805,$F$5,[1]شهریور!$AC$2:$AC$805,Y3)</f>
        <v>0</v>
      </c>
      <c r="Z5" s="174">
        <f>SUMIFS([1]شهریور!$AH$2:$AH$805,[1]شهریور!$O$2:$O$805,7101,[1]شهریور!$D$2:$D$805,$F$5,[1]شهریور!$AC$2:$AC$805,Z3)</f>
        <v>0</v>
      </c>
      <c r="AA5" s="537">
        <f>SUMIFS([1]شهریور!$AH$2:$AH$805,[1]شهریور!$O$2:$O$805,7101,[1]شهریور!$D$2:$D$805,$F$5,[1]شهریور!$AC$2:$AC$805,AA3)</f>
        <v>0</v>
      </c>
      <c r="AB5" s="110">
        <f>SUMIFS([1]شهریور!$AH$2:$AH$805,[1]شهریور!$O$2:$O$805,7101,[1]شهریور!$D$2:$D$805,$F$5,[1]شهریور!$AC$2:$AC$805,AB3)</f>
        <v>0</v>
      </c>
    </row>
    <row r="6" spans="1:28" ht="33.75" customHeight="1" thickBot="1" x14ac:dyDescent="0.3">
      <c r="A6" s="853"/>
      <c r="B6" s="88"/>
      <c r="C6" s="43"/>
      <c r="D6" s="864"/>
      <c r="E6" s="934"/>
      <c r="F6" s="5"/>
      <c r="G6" s="6">
        <f t="shared" si="0"/>
        <v>0</v>
      </c>
      <c r="H6" s="761">
        <f t="shared" si="1"/>
        <v>0</v>
      </c>
      <c r="I6" s="1">
        <f t="shared" si="2"/>
        <v>0</v>
      </c>
      <c r="J6" s="7">
        <v>0</v>
      </c>
      <c r="K6" s="6">
        <v>0</v>
      </c>
      <c r="L6" s="6">
        <v>0</v>
      </c>
      <c r="M6" s="8"/>
      <c r="N6" s="930"/>
      <c r="O6" s="171">
        <f>SUMIFS([1]مرداد!$AF$2:$AF$805,[1]مرداد!$O$2:$O$805,7101,[1]مرداد!$D$2:$D$805,$F$6,[1]مرداد!$AC$2:$AC$805,O3)</f>
        <v>0</v>
      </c>
      <c r="P6" s="103">
        <f>SUMIFS([1]مرداد!$AF$2:$AF$805,[1]مرداد!$O$2:$O$805,7101,[1]مرداد!$D$2:$D$805,$F$6,[1]مرداد!$AC$2:$AC$805,P3)</f>
        <v>0</v>
      </c>
      <c r="Q6" s="172">
        <f>SUMIFS([1]مرداد!$AF$2:$AF$805,[1]مرداد!$O$2:$O$805,7101,[1]مرداد!$D$2:$D$805,$F$6,[1]مرداد!$AC$2:$AC$805,Q3)</f>
        <v>0</v>
      </c>
      <c r="R6" s="172">
        <f>SUMIFS([1]مرداد!$AF$2:$AF$805,[1]مرداد!$O$2:$O$805,7101,[1]مرداد!$D$2:$D$805,$F$6,[1]مرداد!$AC$2:$AC$805,R3)</f>
        <v>0</v>
      </c>
      <c r="S6" s="172">
        <f>SUMIFS([1]مرداد!$AF$2:$AF$805,[1]مرداد!$O$2:$O$805,7101,[1]مرداد!$D$2:$D$805,$F$6,[1]مرداد!$AC$2:$AC$805,S3)</f>
        <v>0</v>
      </c>
      <c r="T6" s="103">
        <f>SUMIFS([1]مرداد!$AF$2:$AF$805,[1]مرداد!$O$2:$O$805,7101,[1]مرداد!$D$2:$D$805,$F$6,[1]مرداد!$AC$2:$AC$805,T3)</f>
        <v>0</v>
      </c>
      <c r="U6" s="802">
        <f>SUMIFS([1]مرداد!$AF$2:$AF$805,[1]مرداد!$O$2:$O$805,7101,[1]مرداد!$D$2:$D$805,$F$6,[1]مرداد!$AC$2:$AC$805,U3)</f>
        <v>0</v>
      </c>
      <c r="V6" s="171">
        <f>SUMIFS([1]مرداد!$AH$2:$AH$805,[1]مرداد!$O$2:$O$805,7101,[1]مرداد!$D$2:$D$805,$F$6,[1]مرداد!$AC$2:$AC$805,V3)</f>
        <v>0</v>
      </c>
      <c r="W6" s="894">
        <f>SUMIFS([1]شهریور!$AH$2:$AH$805,[1]شهریور!$O$2:$O$805,7101,[1]شهریور!$D$2:$D$805,F6,[1]شهریور!$AC$2:$AC$805,$W$3)</f>
        <v>0</v>
      </c>
      <c r="X6" s="747">
        <f>SUMIFS([1]شهریور!$AH$2:$AH$805,[1]شهریور!$O$2:$O$805,7101,[1]شهریور!$D$2:$D$805,G6,[1]شهریور!$AC$2:$AC$805,$W$3)</f>
        <v>0</v>
      </c>
      <c r="Y6" s="747">
        <f>SUMIFS([1]شهریور!$AH$2:$AH$805,[1]شهریور!$O$2:$O$805,7101,[1]شهریور!$D$2:$D$805,H6,[1]شهریور!$AC$2:$AC$805,$W$3)</f>
        <v>0</v>
      </c>
      <c r="Z6" s="172">
        <f>SUMIFS([1]مرداد!$AH$2:$AH$805,[1]مرداد!$O$2:$O$805,7101,[1]مرداد!$D$2:$D$805,$F$6,[1]مرداد!$AC$2:$AC$805,Z3)</f>
        <v>0</v>
      </c>
      <c r="AA6" s="103">
        <f>SUMIFS([1]مرداد!$AH$2:$AH$805,[1]مرداد!$O$2:$O$805,7101,[1]مرداد!$D$2:$D$805,$F$6,[1]مرداد!$AC$2:$AC$805,AA3)</f>
        <v>0</v>
      </c>
      <c r="AB6" s="109">
        <f>SUMIFS([1]مرداد!$AH$2:$AH$805,[1]مرداد!$O$2:$O$805,7101,[1]مرداد!$D$2:$D$805,$F$6,[1]مرداد!$AC$2:$AC$805,AB3)</f>
        <v>0</v>
      </c>
    </row>
    <row r="7" spans="1:28" ht="33.75" customHeight="1" x14ac:dyDescent="0.25">
      <c r="A7" s="875"/>
      <c r="B7" s="871"/>
      <c r="C7" s="42"/>
      <c r="D7" s="862"/>
      <c r="E7" s="932" t="s">
        <v>15</v>
      </c>
      <c r="F7" s="20" t="s">
        <v>20</v>
      </c>
      <c r="G7" s="885">
        <f t="shared" si="0"/>
        <v>55</v>
      </c>
      <c r="H7" s="46">
        <f t="shared" si="1"/>
        <v>0</v>
      </c>
      <c r="I7" s="885">
        <f t="shared" si="2"/>
        <v>0</v>
      </c>
      <c r="J7" s="885">
        <v>0</v>
      </c>
      <c r="K7" s="885">
        <v>0</v>
      </c>
      <c r="L7" s="885">
        <v>0</v>
      </c>
      <c r="M7" s="10"/>
      <c r="N7" s="850"/>
      <c r="O7" s="169">
        <f>SUMIFS([1]شهریور!$AF$2:$AF$805,[1]شهریور!$O$2:$O$805,7102,[1]شهریور!$D$2:$D$805,F7,[1]شهریور!$AC$2:$AC$805,O3)</f>
        <v>11</v>
      </c>
      <c r="P7" s="98">
        <f>SUMIFS([1]شهریور!$AF$2:$AF$805,[1]شهریور!$O$2:$O$805,7102,[1]شهریور!$D$2:$D$805,F7,[1]شهریور!$AC$2:$AC$805,$P$3)</f>
        <v>11</v>
      </c>
      <c r="Q7" s="292">
        <f>SUMIFS([1]شهریور!$AF$2:$AF$805,[1]شهریور!$O$2:$O$805,7102,[1]شهریور!$D$2:$D$805,$F$7,[1]شهریور!$AC$2:$AC$805,Q3)</f>
        <v>11</v>
      </c>
      <c r="R7" s="292">
        <f>SUMIFS([1]شهریور!$AF$2:$AF$805,[1]شهریور!$O$2:$O$805,7102,[1]شهریور!$D$2:$D$805,$F$7,[1]شهریور!$AC$2:$AC$805,R3)</f>
        <v>11</v>
      </c>
      <c r="S7" s="292">
        <f>SUMIFS([1]شهریور!$AF$2:$AF$805,[1]شهریور!$O$2:$O$805,7102,[1]شهریور!$D$2:$D$805,$F$7,[1]شهریور!$AC$2:$AC$805,S3)</f>
        <v>11</v>
      </c>
      <c r="T7" s="393">
        <f>SUMIFS([1]شهریور!$AF$2:$AF$805,[1]شهریور!$O$2:$O$805,7102,[1]شهریور!$D$2:$D$805,$F$7,[1]شهریور!$AC$2:$AC$805,T3)</f>
        <v>0</v>
      </c>
      <c r="U7" s="393">
        <f>SUMIFS([1]شهریور!$AF$2:$AF$805,[1]شهریور!$O$2:$O$805,7102,[1]شهریور!$D$2:$D$805,$F$7,[1]شهریور!$AC$2:$AC$805,U3)</f>
        <v>0</v>
      </c>
      <c r="V7" s="165">
        <f>SUMIFS([1]مرداد!$AH$2:$AH$805,[1]مرداد!$O$2:$O$805,7101,[1]مرداد!$D$2:$D$805,$F$7,[1]مرداد!$AC$2:$AC$805,V3)</f>
        <v>0</v>
      </c>
      <c r="W7" s="393">
        <f>SUMIFS([1]شهریور!$AH$2:$AH$805,[1]شهریور!$O$2:$O$805,7101,[1]شهریور!$D$2:$D$805,F7,[1]شهریور!$AC$2:$AC$805,$W$3)</f>
        <v>0</v>
      </c>
      <c r="X7" s="292">
        <f>SUMIFS([1]مرداد!$AH$2:$AH$805,[1]مرداد!$O$2:$O$805,7102,[1]مرداد!$D$2:$D$805,$F$7,[1]مرداد!$AC$2:$AC$805,X3)</f>
        <v>0</v>
      </c>
      <c r="Y7" s="292">
        <f>SUMIFS([1]مرداد!$AH$2:$AH$805,[1]مرداد!$O$2:$O$805,7102,[1]مرداد!$D$2:$D$805,$F$7,[1]مرداد!$AC$2:$AC$805,Y3)</f>
        <v>0</v>
      </c>
      <c r="Z7" s="292">
        <f>SUMIFS([1]مرداد!$AH$2:$AH$805,[1]مرداد!$O$2:$O$805,7102,[1]مرداد!$D$2:$D$805,$F$7,[1]مرداد!$AC$2:$AC$805,Z3)</f>
        <v>0</v>
      </c>
      <c r="AA7" s="393">
        <f>SUMIFS([1]مرداد!$AH$2:$AH$805,[1]مرداد!$O$2:$O$805,7102,[1]مرداد!$D$2:$D$805,$F$7,[1]مرداد!$AC$2:$AC$805,AA3)</f>
        <v>0</v>
      </c>
      <c r="AB7" s="454">
        <f>SUMIFS([1]مرداد!$AH$2:$AH$805,[1]مرداد!$O$2:$O$805,7102,[1]مرداد!$D$2:$D$805,$F$7,[1]مرداد!$AC$2:$AC$805,AB3)</f>
        <v>0</v>
      </c>
    </row>
    <row r="8" spans="1:28" ht="33.75" customHeight="1" x14ac:dyDescent="0.25">
      <c r="A8" s="875">
        <v>2</v>
      </c>
      <c r="B8" s="865" t="s">
        <v>14</v>
      </c>
      <c r="C8" s="863">
        <v>7102</v>
      </c>
      <c r="D8" s="586">
        <v>55</v>
      </c>
      <c r="E8" s="1003"/>
      <c r="F8" s="880"/>
      <c r="G8" s="3">
        <f t="shared" si="0"/>
        <v>0</v>
      </c>
      <c r="H8" s="47">
        <f t="shared" si="1"/>
        <v>0</v>
      </c>
      <c r="I8" s="3">
        <f t="shared" si="2"/>
        <v>0</v>
      </c>
      <c r="J8" s="3">
        <v>0</v>
      </c>
      <c r="K8" s="3">
        <v>0</v>
      </c>
      <c r="L8" s="3">
        <v>0</v>
      </c>
      <c r="M8" s="4">
        <f>SUM(G7:G9)+SUM(H7:H9)+SUM(I7:I9)+SUM(J7:J9)+SUM(K7:K9)+SUM(L7:L9)-D8</f>
        <v>0</v>
      </c>
      <c r="N8" s="867"/>
      <c r="O8" s="293">
        <f>SUMIFS([1]اردیبهشت!$AD$2:$AD$600,[1]اردیبهشت!$N$2:$N$600,7102,[1]اردیبهشت!$D$2:$D$600,$F$8,[1]اردیبهشت!$AA$2:$AA$600,O3)</f>
        <v>0</v>
      </c>
      <c r="P8" s="96">
        <f>SUMIFS([1]شهریور!$AF$2:$AF$805,[1]شهریور!$O$2:$O$805,7102,[1]شهریور!$D$2:$D$805,$F$8,[1]شهریور!$AC$2:$AC$805,P3)</f>
        <v>0</v>
      </c>
      <c r="Q8" s="168">
        <f>SUMIFS([1]شهریور!$AF$2:$AF$805,[1]شهریور!$O$2:$O$805,7102,[1]شهریور!$D$2:$D$805,$F$8,[1]شهریور!$AC$2:$AC$805,Q3)</f>
        <v>0</v>
      </c>
      <c r="R8" s="168">
        <f>SUMIFS([1]شهریور!$AF$2:$AF$805,[1]شهریور!$O$2:$O$805,7102,[1]شهریور!$D$2:$D$805,$F$8,[1]شهریور!$AC$2:$AC$805,R3)</f>
        <v>0</v>
      </c>
      <c r="S8" s="168">
        <f>SUMIFS([1]شهریور!$AF$2:$AF$805,[1]شهریور!$O$2:$O$805,7102,[1]شهریور!$D$2:$D$805,$F$8,[1]شهریور!$AC$2:$AC$805,S3)</f>
        <v>0</v>
      </c>
      <c r="T8" s="96">
        <f>SUMIFS([1]شهریور!$AF$2:$AF$805,[1]شهریور!$O$2:$O$805,7102,[1]شهریور!$D$2:$D$805,$F$8,[1]شهریور!$AC$2:$AC$805,T3)</f>
        <v>0</v>
      </c>
      <c r="U8" s="96">
        <f>SUMIFS([1]شهریور!$AF$2:$AF$805,[1]شهریور!$O$2:$O$805,7102,[1]شهریور!$D$2:$D$805,$F$8,[1]شهریور!$AC$2:$AC$805,U3)</f>
        <v>0</v>
      </c>
      <c r="V8" s="166">
        <f>SUMIFS([1]مرداد!$AH$2:$AH$805,[1]مرداد!$O$2:$O$805,7102,[1]مرداد!$D$2:$D$805,$F$8,[1]مرداد!$AC$2:$AC$805,V3)</f>
        <v>0</v>
      </c>
      <c r="W8" s="891">
        <f>SUMIFS([1]مرداد!$AH$2:$AH$805,[1]مرداد!$O$2:$O$805,7102,[1]مرداد!$D$2:$D$805,$F$8,[1]مرداد!$AC$2:$AC$805,W3)</f>
        <v>0</v>
      </c>
      <c r="X8" s="293">
        <f>SUMIFS([1]مرداد!$AH$2:$AH$805,[1]مرداد!$O$2:$O$805,7102,[1]مرداد!$D$2:$D$805,$F$8,[1]مرداد!$AC$2:$AC$805,X3)</f>
        <v>0</v>
      </c>
      <c r="Y8" s="293">
        <f>SUMIFS([1]مرداد!$AH$2:$AH$805,[1]مرداد!$O$2:$O$805,7102,[1]مرداد!$D$2:$D$805,$F$8,[1]مرداد!$AC$2:$AC$805,Y3)</f>
        <v>0</v>
      </c>
      <c r="Z8" s="293">
        <f>SUMIFS([1]مرداد!$AH$2:$AH$805,[1]مرداد!$O$2:$O$805,7102,[1]مرداد!$D$2:$D$805,$F$8,[1]مرداد!$AC$2:$AC$805,Z3)</f>
        <v>0</v>
      </c>
      <c r="AA8" s="891">
        <f>SUMIFS([1]مرداد!$AH$2:$AH$805,[1]مرداد!$O$2:$O$805,7102,[1]مرداد!$D$2:$D$805,$F$8,[1]مرداد!$AC$2:$AC$805,AA3)</f>
        <v>0</v>
      </c>
      <c r="AB8" s="901">
        <f>SUMIFS([1]مرداد!$AH$2:$AH$805,[1]مرداد!$O$2:$O$805,7102,[1]مرداد!$D$2:$D$805,$F$8,[1]مرداد!$AC$2:$AC$805,AB3)</f>
        <v>0</v>
      </c>
    </row>
    <row r="9" spans="1:28" ht="33.75" customHeight="1" thickBot="1" x14ac:dyDescent="0.3">
      <c r="A9" s="875"/>
      <c r="B9" s="872"/>
      <c r="C9" s="43"/>
      <c r="D9" s="864"/>
      <c r="E9" s="934"/>
      <c r="F9" s="5"/>
      <c r="G9" s="6">
        <f t="shared" si="0"/>
        <v>0</v>
      </c>
      <c r="H9" s="761">
        <f t="shared" si="1"/>
        <v>0</v>
      </c>
      <c r="I9" s="1">
        <f t="shared" si="2"/>
        <v>0</v>
      </c>
      <c r="J9" s="7">
        <v>0</v>
      </c>
      <c r="K9" s="6">
        <v>0</v>
      </c>
      <c r="L9" s="6">
        <v>0</v>
      </c>
      <c r="M9" s="11"/>
      <c r="N9" s="868"/>
      <c r="O9" s="294">
        <f>SUMIFS([1]اردیبهشت!$AD$2:$AD$600,[1]اردیبهشت!$N$2:$N$600,7102,[1]اردیبهشت!$D$2:$D$600,$F$9,[1]اردیبهشت!$AA$2:$AA$600,O3)</f>
        <v>0</v>
      </c>
      <c r="P9" s="395">
        <f>SUMIFS([1]شهریور!$AF$2:$AF$805,[1]شهریور!$O$2:$O$805,7102,[1]شهریور!$D$2:$D$805,$F$9,[1]شهریور!$AC$2:$AC$805,P3)</f>
        <v>0</v>
      </c>
      <c r="Q9" s="356">
        <f>SUMIFS([1]شهریور!$AF$2:$AF$805,[1]شهریور!$O$2:$O$805,7102,[1]شهریور!$D$2:$D$805,$F$9,[1]شهریور!$AC$2:$AC$805,Q3)</f>
        <v>0</v>
      </c>
      <c r="R9" s="356">
        <f>SUMIFS([1]شهریور!$AF$2:$AF$805,[1]شهریور!$O$2:$O$805,7102,[1]شهریور!$D$2:$D$805,$F$9,[1]شهریور!$AC$2:$AC$805,R3)</f>
        <v>0</v>
      </c>
      <c r="S9" s="356">
        <f>SUMIFS([1]شهریور!$AF$2:$AF$805,[1]شهریور!$O$2:$O$805,7102,[1]شهریور!$D$2:$D$805,$F$9,[1]شهریور!$AC$2:$AC$805,S3)</f>
        <v>0</v>
      </c>
      <c r="T9" s="395">
        <f>SUMIFS([1]شهریور!$AF$2:$AF$805,[1]شهریور!$O$2:$O$805,7102,[1]شهریور!$D$2:$D$805,$F$9,[1]شهریور!$AC$2:$AC$805,T3)</f>
        <v>0</v>
      </c>
      <c r="U9" s="395">
        <f>SUMIFS([1]شهریور!$AF$2:$AF$805,[1]شهریور!$O$2:$O$805,7102,[1]شهریور!$D$2:$D$805,$F$9,[1]شهریور!$AC$2:$AC$805,U3)</f>
        <v>0</v>
      </c>
      <c r="V9" s="171">
        <f>SUMIFS([1]مرداد!$AH$2:$AH$805,[1]مرداد!$O$2:$O$805,7102,[1]مرداد!$D$2:$D$805,$F$9,[1]مرداد!$AC$2:$AC$805,V3)</f>
        <v>0</v>
      </c>
      <c r="W9" s="904">
        <f>SUMIFS([1]مرداد!$AH$2:$AH$805,[1]مرداد!$O$2:$O$805,7102,[1]مرداد!$D$2:$D$805,$F$9,[1]مرداد!$AC$2:$AC$805,W3)</f>
        <v>0</v>
      </c>
      <c r="X9" s="294">
        <f>SUMIFS([1]مرداد!$AH$2:$AH$805,[1]مرداد!$O$2:$O$805,7102,[1]مرداد!$D$2:$D$805,$F$9,[1]مرداد!$AC$2:$AC$805,X3)</f>
        <v>0</v>
      </c>
      <c r="Y9" s="294">
        <f>SUMIFS([1]مرداد!$AH$2:$AH$805,[1]مرداد!$O$2:$O$805,7102,[1]مرداد!$D$2:$D$805,$F$9,[1]مرداد!$AC$2:$AC$805,Y3)</f>
        <v>0</v>
      </c>
      <c r="Z9" s="294">
        <f>SUMIFS([1]مرداد!$AH$2:$AH$805,[1]مرداد!$O$2:$O$805,7102,[1]مرداد!$D$2:$D$805,$F$9,[1]مرداد!$AC$2:$AC$805,Z3)</f>
        <v>0</v>
      </c>
      <c r="AA9" s="904">
        <f>SUMIFS([1]مرداد!$AH$2:$AH$805,[1]مرداد!$O$2:$O$805,7102,[1]مرداد!$D$2:$D$805,$F$9,[1]مرداد!$AC$2:$AC$805,AA3)</f>
        <v>0</v>
      </c>
      <c r="AB9" s="700">
        <f>SUMIFS([1]مرداد!$AH$2:$AH$805,[1]مرداد!$O$2:$O$805,7102,[1]مرداد!$D$2:$D$805,$F$9,[1]مرداد!$AC$2:$AC$805,AB3)</f>
        <v>0</v>
      </c>
    </row>
    <row r="10" spans="1:28" ht="33.75" customHeight="1" thickBot="1" x14ac:dyDescent="0.3">
      <c r="A10" s="45">
        <v>3</v>
      </c>
      <c r="B10" s="12" t="s">
        <v>14</v>
      </c>
      <c r="C10" s="13">
        <v>7103</v>
      </c>
      <c r="D10" s="283">
        <v>44</v>
      </c>
      <c r="E10" s="13" t="s">
        <v>15</v>
      </c>
      <c r="F10" s="13" t="s">
        <v>12</v>
      </c>
      <c r="G10" s="14">
        <f t="shared" si="0"/>
        <v>32.5</v>
      </c>
      <c r="H10" s="48">
        <f t="shared" si="1"/>
        <v>0</v>
      </c>
      <c r="I10" s="885">
        <f t="shared" si="2"/>
        <v>0</v>
      </c>
      <c r="J10" s="14">
        <v>0</v>
      </c>
      <c r="K10" s="14">
        <v>0</v>
      </c>
      <c r="L10" s="14">
        <v>0</v>
      </c>
      <c r="M10" s="14">
        <f>SUM(G10:L10)-64</f>
        <v>-31.5</v>
      </c>
      <c r="N10" s="61"/>
      <c r="O10" s="295">
        <f>SUMIFS([1]شهریور!$AF$2:$AF$805,[1]شهریور!$O$2:$O$805,7103,[1]شهریور!$D$2:$D$805,$F$10,[1]شهریور!$AC$2:$AC$805,O3)</f>
        <v>6.5</v>
      </c>
      <c r="P10" s="456">
        <f>SUMIFS([1]شهریور!$AF$2:$AF$805,[1]شهریور!$O$2:$O$805,7103,[1]شهریور!$D$2:$D$805,$F$10,[1]شهریور!$AC$2:$AC$805,P3)</f>
        <v>6.5</v>
      </c>
      <c r="Q10" s="295">
        <f>SUMIFS([1]شهریور!$AF$2:$AF$805,[1]شهریور!$O$2:$O$805,7103,[1]شهریور!$D$2:$D$805,$F$10,[1]شهریور!$AC$2:$AC$805,Q3)</f>
        <v>6.5</v>
      </c>
      <c r="R10" s="295">
        <f>SUMIFS([1]شهریور!$AF$2:$AF$805,[1]شهریور!$O$2:$O$805,7103,[1]شهریور!$D$2:$D$805,$F$10,[1]شهریور!$AC$2:$AC$805,R3)</f>
        <v>6.5</v>
      </c>
      <c r="S10" s="295">
        <f>SUMIFS([1]شهریور!$AF$2:$AF$805,[1]شهریور!$O$2:$O$805,7103,[1]شهریور!$D$2:$D$805,$F$10,[1]شهریور!$AC$2:$AC$805,S3)</f>
        <v>6.5</v>
      </c>
      <c r="T10" s="456">
        <f>SUMIFS([1]شهریور!$AF$2:$AF$805,[1]شهریور!$O$2:$O$805,7103,[1]شهریور!$D$2:$D$805,$F$10,[1]شهریور!$AC$2:$AC$805,T3)</f>
        <v>0</v>
      </c>
      <c r="U10" s="456">
        <f>SUMIFS([1]شهریور!$AF$2:$AF$805,[1]شهریور!$O$2:$O$805,7103,[1]شهریور!$D$2:$D$805,$F$10,[1]شهریور!$AC$2:$AC$805,U3)</f>
        <v>0</v>
      </c>
      <c r="V10" s="176">
        <f>SUMIFS([1]مرداد!$AH$2:$AH$805,[1]مرداد!$O$2:$O$805,7103,[1]مرداد!$D$2:$D$805,$F$10,[1]مرداد!$AC$2:$AC$805,V3)</f>
        <v>0</v>
      </c>
      <c r="W10" s="456">
        <f>SUMIFS([1]مرداد!$AH$2:$AH$805,[1]مرداد!$O$2:$O$805,7103,[1]مرداد!$D$2:$D$805,$F$10,[1]مرداد!$AC$2:$AC$805,W3)</f>
        <v>0</v>
      </c>
      <c r="X10" s="295">
        <f>SUMIFS([1]مرداد!$AH$2:$AH$805,[1]مرداد!$O$2:$O$805,7103,[1]مرداد!$D$2:$D$805,$F$10,[1]مرداد!$AC$2:$AC$805,X3)</f>
        <v>0</v>
      </c>
      <c r="Y10" s="295">
        <f>SUMIFS([1]مرداد!$AH$2:$AH$805,[1]مرداد!$O$2:$O$805,7103,[1]مرداد!$D$2:$D$805,$F$10,[1]مرداد!$AC$2:$AC$805,Y3)</f>
        <v>0</v>
      </c>
      <c r="Z10" s="295">
        <f>SUMIFS([1]مرداد!$AH$2:$AH$805,[1]مرداد!$O$2:$O$805,7103,[1]مرداد!$D$2:$D$805,$F$10,[1]مرداد!$AC$2:$AC$805,Z3)</f>
        <v>0</v>
      </c>
      <c r="AA10" s="456">
        <f>SUMIFS([1]مرداد!$AH$2:$AH$805,[1]مرداد!$O$2:$O$805,7103,[1]مرداد!$D$2:$D$805,$F$10,[1]مرداد!$AC$2:$AC$805,AA3)</f>
        <v>0</v>
      </c>
      <c r="AB10" s="701">
        <f>SUMIFS([1]مرداد!$AH$2:$AH$805,[1]مرداد!$O$2:$O$805,7103,[1]مرداد!$D$2:$D$805,$F$10,[1]مرداد!$AC$2:$AC$805,AB3)</f>
        <v>0</v>
      </c>
    </row>
    <row r="11" spans="1:28" ht="33.75" customHeight="1" thickBot="1" x14ac:dyDescent="0.3">
      <c r="A11" s="875">
        <v>4</v>
      </c>
      <c r="B11" s="82" t="s">
        <v>18</v>
      </c>
      <c r="C11" s="72">
        <v>7201</v>
      </c>
      <c r="D11" s="72">
        <v>55</v>
      </c>
      <c r="E11" s="72" t="s">
        <v>19</v>
      </c>
      <c r="F11" s="73"/>
      <c r="G11" s="14">
        <f t="shared" si="0"/>
        <v>0</v>
      </c>
      <c r="H11" s="48">
        <f t="shared" si="1"/>
        <v>0</v>
      </c>
      <c r="I11" s="885">
        <f t="shared" si="2"/>
        <v>0</v>
      </c>
      <c r="J11" s="74">
        <v>55</v>
      </c>
      <c r="K11" s="74">
        <v>0</v>
      </c>
      <c r="L11" s="74">
        <v>0</v>
      </c>
      <c r="M11" s="74">
        <f>SUM(G11:J11)-62</f>
        <v>-7</v>
      </c>
      <c r="N11" s="75" t="str">
        <f>IF(J11&gt;0,"③","")</f>
        <v>③</v>
      </c>
      <c r="O11" s="762"/>
      <c r="P11" s="888"/>
      <c r="Q11" s="285"/>
      <c r="R11" s="285"/>
      <c r="S11" s="285"/>
      <c r="T11" s="888"/>
      <c r="U11" s="139"/>
      <c r="V11" s="784"/>
      <c r="W11" s="906"/>
      <c r="X11" s="785"/>
      <c r="Y11" s="785"/>
      <c r="Z11" s="785"/>
      <c r="AA11" s="906"/>
      <c r="AB11" s="786"/>
    </row>
    <row r="12" spans="1:28" ht="33.75" customHeight="1" x14ac:dyDescent="0.25">
      <c r="A12" s="985">
        <v>5</v>
      </c>
      <c r="B12" s="974" t="s">
        <v>18</v>
      </c>
      <c r="C12" s="932">
        <v>7202</v>
      </c>
      <c r="D12" s="932">
        <v>55</v>
      </c>
      <c r="E12" s="932" t="s">
        <v>15</v>
      </c>
      <c r="F12" s="574" t="s">
        <v>199</v>
      </c>
      <c r="G12" s="21">
        <f t="shared" si="0"/>
        <v>53.5</v>
      </c>
      <c r="H12" s="46">
        <f t="shared" si="1"/>
        <v>0</v>
      </c>
      <c r="I12" s="885">
        <f t="shared" si="2"/>
        <v>0</v>
      </c>
      <c r="J12" s="21">
        <v>0</v>
      </c>
      <c r="K12" s="21">
        <v>0</v>
      </c>
      <c r="L12" s="21">
        <v>0</v>
      </c>
      <c r="M12" s="21"/>
      <c r="N12" s="866"/>
      <c r="O12" s="186">
        <f>SUMIFS([1]شهریور!$AF$2:$AF$805,[1]شهریور!$O$2:$O$805,7202,[1]شهریور!$D$2:$D$805,$F$12,[1]شهریور!$AC$2:$AC$805,O3)</f>
        <v>11</v>
      </c>
      <c r="P12" s="106">
        <f>SUMIFS([1]شهریور!$AF$2:$AF$805,[1]شهریور!$O$2:$O$805,7202,[1]شهریور!$D$2:$D$805,$F$12,[1]شهریور!$AC$2:$AC$805,P3)</f>
        <v>11</v>
      </c>
      <c r="Q12" s="186">
        <f>SUMIFS([1]شهریور!$AF$2:$AF$805,[1]شهریور!$O$2:$O$805,7202,[1]شهریور!$D$2:$D$805,$F$12,[1]شهریور!$AC$2:$AC$805,Q3)</f>
        <v>11</v>
      </c>
      <c r="R12" s="186">
        <f>SUMIFS([1]شهریور!$AF$2:$AF$805,[1]شهریور!$O$2:$O$805,7202,[1]شهریور!$D$2:$D$805,$F$12,[1]شهریور!$AC$2:$AC$805,R3)</f>
        <v>9.5</v>
      </c>
      <c r="S12" s="186">
        <f>SUMIFS([1]شهریور!$AF$2:$AF$805,[1]شهریور!$O$2:$O$805,7202,[1]شهریور!$D$2:$D$805,$F$12,[1]شهریور!$AC$2:$AC$805,S3)</f>
        <v>11</v>
      </c>
      <c r="T12" s="106">
        <f>SUMIFS([1]شهریور!$AF$2:$AF$805,[1]شهریور!$O$2:$O$805,7202,[1]شهریور!$D$2:$D$805,$F$12,[1]شهریور!$AC$2:$AC$805,T3)</f>
        <v>0</v>
      </c>
      <c r="U12" s="118">
        <f>SUMIFS([1]شهریور!$AF$2:$AF$805,[1]شهریور!$O$2:$O$805,7202,[1]شهریور!$D$2:$D$805,$F$12,[1]شهریور!$AC$2:$AC$805,U3)</f>
        <v>0</v>
      </c>
      <c r="V12" s="298">
        <f>SUMIFS([1]مرداد!$AH$2:$AH$805,[1]مرداد!$O$2:$O$805,7202,[1]مرداد!$D$2:$D$805,$F$12,[1]مرداد!$AC$2:$AC$805,V3)</f>
        <v>0</v>
      </c>
      <c r="W12" s="145">
        <f>SUMIFS([1]مرداد!$AH$2:$AH$805,[1]مرداد!$O$2:$O$805,7202,[1]مرداد!$D$2:$D$805,$F$12,[1]مرداد!$AC$2:$AC$805,W3)</f>
        <v>0</v>
      </c>
      <c r="X12" s="188">
        <f>SUMIFS([1]مرداد!$AH$2:$AH$805,[1]مرداد!$O$2:$O$805,7202,[1]مرداد!$D$2:$D$805,$F$12,[1]مرداد!$AC$2:$AC$805,X3)</f>
        <v>0</v>
      </c>
      <c r="Y12" s="188">
        <f>SUMIFS([1]مرداد!$AH$2:$AH$805,[1]مرداد!$O$2:$O$805,7202,[1]مرداد!$D$2:$D$805,$F$12,[1]مرداد!$AC$2:$AC$805,Y3)</f>
        <v>0</v>
      </c>
      <c r="Z12" s="188">
        <f>SUMIFS([1]مرداد!$AH$2:$AH$805,[1]مرداد!$O$2:$O$805,7202,[1]مرداد!$D$2:$D$805,$F$12,[1]مرداد!$AC$2:$AC$805,Z3)</f>
        <v>0</v>
      </c>
      <c r="AA12" s="145">
        <f>SUMIFS([1]مرداد!$AH$2:$AH$805,[1]مرداد!$O$2:$O$805,7202,[1]مرداد!$D$2:$D$805,$F$12,[1]مرداد!$AC$2:$AC$805,AA3)</f>
        <v>0</v>
      </c>
      <c r="AB12" s="128">
        <f>SUMIFS([1]مرداد!$AH$2:$AH$805,[1]مرداد!$O$2:$O$805,7202,[1]مرداد!$D$2:$D$805,$F$12,[1]مرداد!$AC$2:$AC$805,AB3)</f>
        <v>0</v>
      </c>
    </row>
    <row r="13" spans="1:28" ht="33.75" customHeight="1" x14ac:dyDescent="0.25">
      <c r="A13" s="986"/>
      <c r="B13" s="975"/>
      <c r="C13" s="933"/>
      <c r="D13" s="933"/>
      <c r="E13" s="933"/>
      <c r="F13" s="22"/>
      <c r="G13" s="3">
        <f t="shared" si="0"/>
        <v>0</v>
      </c>
      <c r="H13" s="47">
        <f t="shared" si="1"/>
        <v>0</v>
      </c>
      <c r="I13" s="3">
        <f t="shared" si="2"/>
        <v>0</v>
      </c>
      <c r="J13" s="3">
        <v>0</v>
      </c>
      <c r="K13" s="3">
        <v>0</v>
      </c>
      <c r="L13" s="3">
        <v>0</v>
      </c>
      <c r="M13" s="3">
        <f>(G12+G13+G14)-(D12)+(J12)</f>
        <v>-1.5</v>
      </c>
      <c r="N13" s="579"/>
      <c r="O13" s="742">
        <f>SUMIFS([1]مرداد!$AF$2:$AF$805,[1]مرداد!$O$2:$O$805,7202,[1]مرداد!$D$2:$D$805,F13,[1]مرداد!$AC$2:$AC$805,$O$3)</f>
        <v>0</v>
      </c>
      <c r="P13" s="889">
        <f>SUMIFS([1]شهریور!$AF$2:$AF$805,[1]شهریور!$O$2:$O$805,7202,[1]شهریور!$D$2:$D$805,F13,[1]شهریور!$AC$2:$AC$805,$P$3)</f>
        <v>0</v>
      </c>
      <c r="Q13" s="575">
        <f>SUMIFS([1]مرداد!$AF$2:$AF$805,[1]مرداد!$O$2:$O$805,7202,[1]مرداد!$D$2:$D$805,$F$13,[1]مرداد!$AC$2:$AC$805,Q3)</f>
        <v>0</v>
      </c>
      <c r="R13" s="575">
        <f>SUMIFS([1]مرداد!$AF$2:$AF$805,[1]مرداد!$O$2:$O$805,7202,[1]مرداد!$D$2:$D$805,$F$13,[1]مرداد!$AC$2:$AC$805,R3)</f>
        <v>0</v>
      </c>
      <c r="S13" s="575">
        <f>SUMIFS([1]مرداد!$AF$2:$AF$805,[1]مرداد!$O$2:$O$805,7202,[1]مرداد!$D$2:$D$805,$F$13,[1]مرداد!$AC$2:$AC$805,S3)</f>
        <v>0</v>
      </c>
      <c r="T13" s="889">
        <f>SUMIFS([1]مرداد!$AF$2:$AF$805,[1]مرداد!$O$2:$O$805,7202,[1]مرداد!$D$2:$D$805,$F$13,[1]مرداد!$AC$2:$AC$805,T3)</f>
        <v>0</v>
      </c>
      <c r="U13" s="581">
        <f>SUMIFS([1]مرداد!$AF$2:$AF$805,[1]مرداد!$O$2:$O$805,7202,[1]مرداد!$D$2:$D$805,$F$13,[1]مرداد!$AC$2:$AC$805,U3)</f>
        <v>0</v>
      </c>
      <c r="V13" s="583">
        <f>SUMIFS([1]مرداد!$AH$2:$AH$805,[1]مرداد!$O$2:$O$805,7202,[1]مرداد!$D$2:$D$805,$F$13,[1]مرداد!$AC$2:$AC$805,V3)</f>
        <v>0</v>
      </c>
      <c r="W13" s="889">
        <f>SUMIFS([1]مرداد!$AH$2:$AH$805,[1]مرداد!$O$2:$O$805,7202,[1]مرداد!$D$2:$D$805,$F$13,[1]مرداد!$AC$2:$AC$805,W3)</f>
        <v>0</v>
      </c>
      <c r="X13" s="575">
        <f>SUMIFS([1]مرداد!$AH$2:$AH$805,[1]مرداد!$O$2:$O$805,7202,[1]مرداد!$D$2:$D$805,$F$13,[1]مرداد!$AC$2:$AC$805,X3)</f>
        <v>0</v>
      </c>
      <c r="Y13" s="575">
        <f>SUMIFS([1]مرداد!$AH$2:$AH$805,[1]مرداد!$O$2:$O$805,7202,[1]مرداد!$D$2:$D$805,$F$13,[1]مرداد!$AC$2:$AC$805,Y3)</f>
        <v>0</v>
      </c>
      <c r="Z13" s="575">
        <f>SUMIFS([1]مرداد!$AH$2:$AH$805,[1]مرداد!$O$2:$O$805,7202,[1]مرداد!$D$2:$D$805,$F$13,[1]مرداد!$AC$2:$AC$805,Z3)</f>
        <v>0</v>
      </c>
      <c r="AA13" s="889">
        <f>SUMIFS([1]مرداد!$AH$2:$AH$805,[1]مرداد!$O$2:$O$805,7202,[1]مرداد!$D$2:$D$805,$F$13,[1]مرداد!$AC$2:$AC$805,AA3)</f>
        <v>0</v>
      </c>
      <c r="AB13" s="581">
        <f>SUMIFS([1]مرداد!$AH$2:$AH$805,[1]مرداد!$O$2:$O$805,7202,[1]مرداد!$D$2:$D$805,$F$13,[1]مرداد!$AC$2:$AC$805,AB3)</f>
        <v>0</v>
      </c>
    </row>
    <row r="14" spans="1:28" ht="33.75" customHeight="1" thickBot="1" x14ac:dyDescent="0.3">
      <c r="A14" s="986"/>
      <c r="B14" s="976"/>
      <c r="C14" s="934"/>
      <c r="D14" s="934"/>
      <c r="E14" s="934"/>
      <c r="F14" s="745" t="s">
        <v>191</v>
      </c>
      <c r="G14" s="6">
        <f t="shared" si="0"/>
        <v>0</v>
      </c>
      <c r="H14" s="761">
        <f t="shared" si="1"/>
        <v>0</v>
      </c>
      <c r="I14" s="1">
        <f t="shared" si="2"/>
        <v>0</v>
      </c>
      <c r="J14" s="6">
        <v>0</v>
      </c>
      <c r="K14" s="6">
        <v>0</v>
      </c>
      <c r="L14" s="6">
        <v>0</v>
      </c>
      <c r="M14" s="6"/>
      <c r="N14" s="777"/>
      <c r="O14" s="275">
        <f>SUMIFS([1]شهریور!$AF$2:$AF$805,[1]شهریور!$O$2:$O$805,7202,[1]شهریور!$D$2:$D$805,$F$14,[1]شهریور!$AC$2:$AC$805,O3)</f>
        <v>0</v>
      </c>
      <c r="P14" s="890">
        <f>SUMIFS([1]شهریور!$AF$2:$AF$805,[1]شهریور!$O$2:$O$805,7202,[1]شهریور!$D$2:$D$805,$F$14,[1]شهریور!$AC$2:$AC$805,P3)</f>
        <v>0</v>
      </c>
      <c r="Q14" s="275">
        <f>SUMIFS([1]شهریور!$AF$2:$AF$805,[1]شهریور!$O$2:$O$805,7202,[1]شهریور!$D$2:$D$805,$F$14,[1]شهریور!$AC$2:$AC$805,Q3)</f>
        <v>0</v>
      </c>
      <c r="R14" s="275">
        <f>SUMIFS([1]شهریور!$AF$2:$AF$805,[1]شهریور!$O$2:$O$805,7202,[1]شهریور!$D$2:$D$805,$F$14,[1]شهریور!$AC$2:$AC$805,R3)</f>
        <v>0</v>
      </c>
      <c r="S14" s="275">
        <f>SUMIFS([1]شهریور!$AF$2:$AF$805,[1]شهریور!$O$2:$O$805,7202,[1]شهریور!$D$2:$D$805,$F$14,[1]شهریور!$AC$2:$AC$805,S3)</f>
        <v>0</v>
      </c>
      <c r="T14" s="890">
        <f>SUMIFS([1]شهریور!$AF$2:$AF$805,[1]شهریور!$O$2:$O$805,7202,[1]شهریور!$D$2:$D$805,$F$14,[1]شهریور!$AC$2:$AC$805,T3)</f>
        <v>0</v>
      </c>
      <c r="U14" s="121">
        <f>SUMIFS([1]شهریور!$AF$2:$AF$805,[1]شهریور!$O$2:$O$805,7202,[1]شهریور!$D$2:$D$805,$F$14,[1]شهریور!$AC$2:$AC$805,U3)</f>
        <v>0</v>
      </c>
      <c r="V14" s="299">
        <f>SUMIFS([1]مرداد!$AH$2:$AH$805,[1]مرداد!$O$2:$O$805,7202,[1]مرداد!$D$2:$D$805,$F$14,[1]مرداد!$AC$2:$AC$805,V3)</f>
        <v>0</v>
      </c>
      <c r="W14" s="890">
        <f>SUMIFS([1]مرداد!$AH$2:$AH$805,[1]مرداد!$O$2:$O$805,7202,[1]مرداد!$D$2:$D$805,$F$14,[1]مرداد!$AC$2:$AC$805,W3)</f>
        <v>0</v>
      </c>
      <c r="X14" s="275">
        <f>SUMIFS([1]مرداد!$AH$2:$AH$805,[1]مرداد!$O$2:$O$805,7202,[1]مرداد!$D$2:$D$805,$F$14,[1]مرداد!$AC$2:$AC$805,X3)</f>
        <v>0</v>
      </c>
      <c r="Y14" s="275">
        <f>SUMIFS([1]مرداد!$AH$2:$AH$805,[1]مرداد!$O$2:$O$805,7202,[1]مرداد!$D$2:$D$805,$F$14,[1]مرداد!$AC$2:$AC$805,Y3)</f>
        <v>0</v>
      </c>
      <c r="Z14" s="275">
        <f>SUMIFS([1]مرداد!$AH$2:$AH$805,[1]مرداد!$O$2:$O$805,7202,[1]مرداد!$D$2:$D$805,$F$14,[1]مرداد!$AC$2:$AC$805,Z3)</f>
        <v>0</v>
      </c>
      <c r="AA14" s="890">
        <f>SUMIFS([1]مرداد!$AH$2:$AH$805,[1]مرداد!$O$2:$O$805,7202,[1]مرداد!$D$2:$D$805,$F$14,[1]مرداد!$AC$2:$AC$805,AA3)</f>
        <v>0</v>
      </c>
      <c r="AB14" s="121">
        <f>SUMIFS([1]مرداد!$AH$2:$AH$805,[1]مرداد!$O$2:$O$805,7202,[1]مرداد!$D$2:$D$805,$F$14,[1]مرداد!$AC$2:$AC$805,AB3)</f>
        <v>0</v>
      </c>
    </row>
    <row r="15" spans="1:28" ht="33.75" customHeight="1" x14ac:dyDescent="0.25">
      <c r="A15" s="985">
        <v>6</v>
      </c>
      <c r="B15" s="974" t="s">
        <v>18</v>
      </c>
      <c r="C15" s="932">
        <v>7203</v>
      </c>
      <c r="D15" s="932">
        <v>55</v>
      </c>
      <c r="E15" s="932" t="s">
        <v>15</v>
      </c>
      <c r="F15" s="20" t="s">
        <v>191</v>
      </c>
      <c r="G15" s="885">
        <f t="shared" si="0"/>
        <v>0</v>
      </c>
      <c r="H15" s="46">
        <f t="shared" si="1"/>
        <v>0</v>
      </c>
      <c r="I15" s="885">
        <f t="shared" si="2"/>
        <v>0</v>
      </c>
      <c r="J15" s="885">
        <v>0</v>
      </c>
      <c r="K15" s="885">
        <v>0</v>
      </c>
      <c r="L15" s="885">
        <v>0</v>
      </c>
      <c r="M15" s="885"/>
      <c r="N15" s="756"/>
      <c r="O15" s="356">
        <f>SUMIFS([1]شهریور!$AF$2:$AF$805,[1]شهریور!$O$2:$O$805,7203,[1]شهریور!$D$2:$D$805,F15,[1]شهریور!$AC$2:$AC$805,$O$3)</f>
        <v>0</v>
      </c>
      <c r="P15" s="395">
        <f>SUMIFS([1]شهریور!$AF$2:$AF$805,[1]شهریور!$O$2:$O$805,7203,[1]شهریور!$D$2:$D$805,$F$15,[1]شهریور!$AC$2:$AC$805,P3)</f>
        <v>0</v>
      </c>
      <c r="Q15" s="356">
        <f>SUMIFS([1]شهریور!$AF$2:$AF$805,[1]شهریور!$O$2:$O$805,7203,[1]شهریور!$D$2:$D$805,$F$15,[1]شهریور!$AC$2:$AC$805,Q3)</f>
        <v>0</v>
      </c>
      <c r="R15" s="356">
        <f>SUMIFS([1]شهریور!$AF$2:$AF$805,[1]شهریور!$O$2:$O$805,7203,[1]شهریور!$D$2:$D$805,$F$15,[1]شهریور!$AC$2:$AC$805,R3)</f>
        <v>0</v>
      </c>
      <c r="S15" s="356">
        <f>SUMIFS([1]شهریور!$AF$2:$AF$805,[1]شهریور!$O$2:$O$805,7203,[1]شهریور!$D$2:$D$805,$F$15,[1]شهریور!$AC$2:$AC$805,S3)</f>
        <v>0</v>
      </c>
      <c r="T15" s="395">
        <f>SUMIFS([1]شهریور!$AF$2:$AF$805,[1]شهریور!$O$2:$O$805,7203,[1]شهریور!$D$2:$D$805,$F$15,[1]شهریور!$AC$2:$AC$805,T3)</f>
        <v>0</v>
      </c>
      <c r="U15" s="395">
        <f>SUMIFS([1]شهریور!$AF$2:$AF$805,[1]شهریور!$O$2:$O$805,7203,[1]شهریور!$D$2:$D$805,$F$15,[1]شهریور!$AC$2:$AC$805,U3)</f>
        <v>0</v>
      </c>
      <c r="V15" s="165">
        <f>SUMIFS([1]مرداد!$AH$2:$AH$805,[1]مرداد!$O$2:$O$805,7203,[1]مرداد!$D$2:$D$805,$F$15,[1]مرداد!$AC$2:$AC$805,V3)</f>
        <v>0</v>
      </c>
      <c r="W15" s="393">
        <f>SUMIFS([1]مرداد!$AH$2:$AH$805,[1]مرداد!$O$2:$O$805,7203,[1]مرداد!$D$2:$D$805,$F$15,[1]مرداد!$AC$2:$AC$805,W3)</f>
        <v>0</v>
      </c>
      <c r="X15" s="292">
        <f>SUMIFS([1]مرداد!$AH$2:$AH$805,[1]مرداد!$O$2:$O$805,7203,[1]مرداد!$D$2:$D$805,$F$15,[1]مرداد!$AC$2:$AC$805,X3)</f>
        <v>0</v>
      </c>
      <c r="Y15" s="292">
        <f>SUMIFS([1]مرداد!$AH$2:$AH$805,[1]مرداد!$O$2:$O$805,7203,[1]مرداد!$D$2:$D$805,$F$15,[1]مرداد!$AC$2:$AC$805,Y3)</f>
        <v>0</v>
      </c>
      <c r="Z15" s="292">
        <f>SUMIFS([1]مرداد!$AH$2:$AH$805,[1]مرداد!$O$2:$O$805,7203,[1]مرداد!$D$2:$D$805,$F$15,[1]مرداد!$AC$2:$AC$805,Z3)</f>
        <v>0</v>
      </c>
      <c r="AA15" s="393">
        <f>SUMIFS([1]مرداد!$AH$2:$AH$805,[1]مرداد!$O$2:$O$805,7203,[1]مرداد!$D$2:$D$805,$F$15,[1]مرداد!$AC$2:$AC$805,AA3)</f>
        <v>0</v>
      </c>
      <c r="AB15" s="454">
        <f>SUMIFS([1]مرداد!$AH$2:$AH$805,[1]مرداد!$O$2:$O$805,7203,[1]مرداد!$D$2:$D$805,$F$15,[1]مرداد!$AC$2:$AC$805,AB3)</f>
        <v>0</v>
      </c>
    </row>
    <row r="16" spans="1:28" ht="33.75" customHeight="1" thickBot="1" x14ac:dyDescent="0.3">
      <c r="A16" s="987"/>
      <c r="B16" s="976"/>
      <c r="C16" s="934"/>
      <c r="D16" s="934"/>
      <c r="E16" s="934"/>
      <c r="F16" s="745" t="s">
        <v>230</v>
      </c>
      <c r="G16" s="6">
        <f t="shared" si="0"/>
        <v>53.5</v>
      </c>
      <c r="H16" s="761">
        <f t="shared" si="1"/>
        <v>0</v>
      </c>
      <c r="I16" s="1">
        <f t="shared" si="2"/>
        <v>0</v>
      </c>
      <c r="J16" s="6">
        <v>0</v>
      </c>
      <c r="K16" s="6">
        <v>0</v>
      </c>
      <c r="L16" s="6">
        <v>0</v>
      </c>
      <c r="M16" s="6">
        <f>(G16+H16+I16+J16+K16)-D15</f>
        <v>-1.5</v>
      </c>
      <c r="N16" s="883"/>
      <c r="O16" s="356">
        <f>SUMIFS([1]شهریور!$AF$2:$AF$805,[1]شهریور!$O$2:$O$805,7203,[1]شهریور!$D$2:$D$805,$F$16,[1]شهریور!$AC$2:$AC$805,O3)</f>
        <v>11</v>
      </c>
      <c r="P16" s="395">
        <f>SUMIFS([1]شهریور!$AF$2:$AF$805,[1]شهریور!$O$2:$O$805,7203,[1]شهریور!$D$2:$D$805,$F$16,[1]شهریور!$AC$2:$AC$805,P3)</f>
        <v>11</v>
      </c>
      <c r="Q16" s="356">
        <f>SUMIFS([1]شهریور!$AF$2:$AF$805,[1]شهریور!$O$2:$O$805,7203,[1]شهریور!$D$2:$D$805,$F$16,[1]شهریور!$AC$2:$AC$805,Q3)</f>
        <v>11</v>
      </c>
      <c r="R16" s="356">
        <f>SUMIFS([1]شهریور!$AF$2:$AF$805,[1]شهریور!$O$2:$O$805,7203,[1]شهریور!$D$2:$D$805,$F$16,[1]شهریور!$AC$2:$AC$805,R3)</f>
        <v>9.5</v>
      </c>
      <c r="S16" s="356">
        <f>SUMIFS([1]شهریور!$AF$2:$AF$805,[1]شهریور!$O$2:$O$805,7203,[1]شهریور!$D$2:$D$805,$F$16,[1]شهریور!$AC$2:$AC$805,S3)</f>
        <v>11</v>
      </c>
      <c r="T16" s="395">
        <f>SUMIFS([1]شهریور!$AF$2:$AF$805,[1]شهریور!$O$2:$O$805,7203,[1]شهریور!$D$2:$D$805,$F$16,[1]شهریور!$AC$2:$AC$805,T3)</f>
        <v>0</v>
      </c>
      <c r="U16" s="395">
        <f>SUMIFS([1]شهریور!$AF$2:$AF$805,[1]شهریور!$O$2:$O$805,7203,[1]شهریور!$D$2:$D$805,$F$16,[1]شهریور!$AC$2:$AC$805,U3)</f>
        <v>0</v>
      </c>
      <c r="V16" s="184">
        <f>SUMIFS([1]مرداد!$AH$2:$AH$805,[1]مرداد!$O$2:$O$805,7203,[1]مرداد!$D$2:$D$805,$F$16,[1]مرداد!$AC$2:$AC$805,V3)</f>
        <v>0</v>
      </c>
      <c r="W16" s="578">
        <f>SUMIFS([1]مرداد!$AH$2:$AH$805,[1]مرداد!$O$2:$O$805,7203,[1]مرداد!$D$2:$D$805,$F$16,[1]مرداد!$AC$2:$AC$805,W3)</f>
        <v>0</v>
      </c>
      <c r="X16" s="577">
        <f>SUMIFS([1]مرداد!$AH$2:$AH$805,[1]مرداد!$O$2:$O$805,7203,[1]مرداد!$D$2:$D$805,$F$16,[1]مرداد!$AC$2:$AC$805,X3)</f>
        <v>0</v>
      </c>
      <c r="Y16" s="577">
        <f>SUMIFS([1]مرداد!$AH$2:$AH$805,[1]مرداد!$O$2:$O$805,7203,[1]مرداد!$D$2:$D$805,$F$16,[1]مرداد!$AC$2:$AC$805,Y3)</f>
        <v>0</v>
      </c>
      <c r="Z16" s="577">
        <f>SUMIFS([1]مرداد!$AH$2:$AH$805,[1]مرداد!$O$2:$O$805,7203,[1]مرداد!$D$2:$D$805,$F$16,[1]مرداد!$AC$2:$AC$805,Z3)</f>
        <v>0</v>
      </c>
      <c r="AA16" s="578">
        <f>SUMIFS([1]مرداد!$AH$2:$AH$805,[1]مرداد!$O$2:$O$805,7203,[1]مرداد!$D$2:$D$805,$F$16,[1]مرداد!$AC$2:$AC$805,AA3)</f>
        <v>0</v>
      </c>
      <c r="AB16" s="907">
        <f>SUMIFS([1]مرداد!$AH$2:$AH$805,[1]مرداد!$O$2:$O$805,7203,[1]مرداد!$D$2:$D$805,$F$16,[1]مرداد!$AC$2:$AC$805,AB3)</f>
        <v>0</v>
      </c>
    </row>
    <row r="17" spans="1:28" ht="33.75" customHeight="1" thickBot="1" x14ac:dyDescent="0.3">
      <c r="A17" s="876">
        <v>7</v>
      </c>
      <c r="B17" s="12" t="s">
        <v>18</v>
      </c>
      <c r="C17" s="13">
        <v>7204</v>
      </c>
      <c r="D17" s="13">
        <v>55</v>
      </c>
      <c r="E17" s="13" t="s">
        <v>15</v>
      </c>
      <c r="F17" s="16" t="s">
        <v>144</v>
      </c>
      <c r="G17" s="14">
        <f t="shared" si="0"/>
        <v>46.5</v>
      </c>
      <c r="H17" s="48">
        <f t="shared" si="1"/>
        <v>0</v>
      </c>
      <c r="I17" s="885">
        <f t="shared" si="2"/>
        <v>7</v>
      </c>
      <c r="J17" s="14">
        <v>0</v>
      </c>
      <c r="K17" s="14">
        <v>0</v>
      </c>
      <c r="L17" s="14">
        <v>0</v>
      </c>
      <c r="M17" s="14">
        <f>SUM(G17:J17)-62</f>
        <v>-8.5</v>
      </c>
      <c r="N17" s="61" t="str">
        <f>IF(I17&gt;0,"②","")</f>
        <v>②</v>
      </c>
      <c r="O17" s="295">
        <f>SUMIFS([1]شهریور!$AF$2:$AF$805,[1]شهریور!$O$2:$O$805,7204,[1]شهریور!$D$2:$D$805,$F$17,[1]شهریور!$AC$2:$AC$805,O3)</f>
        <v>11</v>
      </c>
      <c r="P17" s="456">
        <f>SUMIFS([1]شهریور!$AF$2:$AF$805,[1]شهریور!$O$2:$O$805,7204,[1]شهریور!$D$2:$D$805,$F$17,[1]شهریور!$AC$2:$AC$805,P3)</f>
        <v>6.5</v>
      </c>
      <c r="Q17" s="295">
        <f>SUMIFS([1]شهریور!$AF$2:$AF$805,[1]شهریور!$O$2:$O$805,7204,[1]شهریور!$D$2:$D$805,$F$17,[1]شهریور!$AC$2:$AC$805,Q3)</f>
        <v>11</v>
      </c>
      <c r="R17" s="295">
        <f>SUMIFS([1]شهریور!$AF$2:$AF$805,[1]شهریور!$O$2:$O$805,7204,[1]شهریور!$D$2:$D$805,$F$17,[1]شهریور!$AC$2:$AC$805,R3)</f>
        <v>7</v>
      </c>
      <c r="S17" s="295">
        <f>SUMIFS([1]شهریور!$AF$2:$AF$805,[1]شهریور!$O$2:$O$805,7204,[1]شهریور!$D$2:$D$805,$F$17,[1]شهریور!$AC$2:$AC$805,S3)</f>
        <v>11</v>
      </c>
      <c r="T17" s="456">
        <f>SUMIFS([1]شهریور!$AF$2:$AF$805,[1]شهریور!$O$2:$O$805,7204,[1]شهریور!$D$2:$D$805,$F$17,[1]شهریور!$AC$2:$AC$805,T3)</f>
        <v>0</v>
      </c>
      <c r="U17" s="456">
        <f>SUMIFS([1]شهریور!$AF$2:$AF$805,[1]شهریور!$O$2:$O$805,7204,[1]شهریور!$D$2:$D$805,$F$17,[1]شهریور!$AC$2:$AC$805,U3)</f>
        <v>0</v>
      </c>
      <c r="V17" s="185">
        <f>SUMIFS([1]شهریور!$AH$2:$AH$805,[1]شهریور!$O$2:$O$805,7204,[1]شهریور!$D$2:$D$805,$F$17,[1]شهریور!$AC$2:$AC$805,V3)</f>
        <v>0</v>
      </c>
      <c r="W17" s="101">
        <f>SUMIFS([1]شهریور!$AH$2:$AH$805,[1]شهریور!$O$2:$O$805,7204,[1]شهریور!$D$2:$D$805,$F$17,[1]شهریور!$AC$2:$AC$805,W3)</f>
        <v>4.5</v>
      </c>
      <c r="X17" s="185">
        <f>SUMIFS([1]شهریور!$AH$2:$AH$805,[1]شهریور!$O$2:$O$805,7204,[1]شهریور!$D$2:$D$805,$F$17,[1]شهریور!$AC$2:$AC$805,X3)</f>
        <v>0</v>
      </c>
      <c r="Y17" s="185">
        <f>SUMIFS([1]شهریور!$AH$2:$AH$805,[1]شهریور!$O$2:$O$805,7204,[1]شهریور!$D$2:$D$805,$F$17,[1]شهریور!$AC$2:$AC$805,Y3)</f>
        <v>2.5</v>
      </c>
      <c r="Z17" s="185">
        <f>SUMIFS([1]شهریور!$AH$2:$AH$805,[1]شهریور!$O$2:$O$805,7204,[1]شهریور!$D$2:$D$805,$F$17,[1]شهریور!$AC$2:$AC$805,Z3)</f>
        <v>0</v>
      </c>
      <c r="AA17" s="101">
        <f>SUMIFS([1]شهریور!$AH$2:$AH$805,[1]شهریور!$O$2:$O$805,7204,[1]شهریور!$D$2:$D$805,$F$17,[1]شهریور!$AC$2:$AC$805,AA3)</f>
        <v>0</v>
      </c>
      <c r="AB17" s="101">
        <f>SUMIFS([1]شهریور!$AH$2:$AH$805,[1]شهریور!$O$2:$O$805,7204,[1]شهریور!$D$2:$D$805,$F$17,[1]شهریور!$AC$2:$AC$805,AB3)</f>
        <v>0</v>
      </c>
    </row>
    <row r="18" spans="1:28" ht="33.75" customHeight="1" thickBot="1" x14ac:dyDescent="0.3">
      <c r="A18" s="45">
        <v>8</v>
      </c>
      <c r="B18" s="12" t="s">
        <v>21</v>
      </c>
      <c r="C18" s="13">
        <v>7301</v>
      </c>
      <c r="D18" s="13">
        <v>55</v>
      </c>
      <c r="E18" s="13" t="s">
        <v>15</v>
      </c>
      <c r="F18" s="19" t="s">
        <v>22</v>
      </c>
      <c r="G18" s="14">
        <f t="shared" si="0"/>
        <v>52</v>
      </c>
      <c r="H18" s="48">
        <f t="shared" si="1"/>
        <v>0</v>
      </c>
      <c r="I18" s="885">
        <f t="shared" si="2"/>
        <v>3</v>
      </c>
      <c r="J18" s="14">
        <v>0</v>
      </c>
      <c r="K18" s="14">
        <v>0</v>
      </c>
      <c r="L18" s="14">
        <v>0</v>
      </c>
      <c r="M18" s="14">
        <f>SUM(G18:L18)-D18</f>
        <v>0</v>
      </c>
      <c r="N18" s="15" t="str">
        <f>IF(I18&gt;0,"②","")</f>
        <v>②</v>
      </c>
      <c r="O18" s="177">
        <f>SUMIFS([1]شهریور!$AF$2:$AF$805,[1]شهریور!$O$2:$O$805,7301,[1]شهریور!$D$2:$D$805,$F$18,[1]شهریور!$AC$2:$AC$805,O3)</f>
        <v>11</v>
      </c>
      <c r="P18" s="99">
        <f>SUMIFS([1]شهریور!$AF$2:$AF$805,[1]شهریور!$O$2:$O$805,7301,[1]شهریور!$D$2:$D$805,$F$18,[1]شهریور!$AC$2:$AC$805,P3)</f>
        <v>8</v>
      </c>
      <c r="Q18" s="177">
        <f>SUMIFS([1]شهریور!$AF$2:$AF$805,[1]شهریور!$O$2:$O$805,7301,[1]شهریور!$D$2:$D$805,$F$18,[1]شهریور!$AC$2:$AC$805,Q3)</f>
        <v>11</v>
      </c>
      <c r="R18" s="177">
        <f>SUMIFS([1]شهریور!$AF$2:$AF$805,[1]شهریور!$O$2:$O$805,7301,[1]شهریور!$D$2:$D$805,$F$18,[1]شهریور!$AC$2:$AC$805,R3)</f>
        <v>11</v>
      </c>
      <c r="S18" s="177">
        <f>SUMIFS([1]شهریور!$AF$2:$AF$805,[1]شهریور!$O$2:$O$805,7301,[1]شهریور!$D$2:$D$805,$F$18,[1]شهریور!$AC$2:$AC$805,S3)</f>
        <v>11</v>
      </c>
      <c r="T18" s="99">
        <f>SUMIFS([1]شهریور!$AF$2:$AF$805,[1]شهریور!$O$2:$O$805,7301,[1]شهریور!$D$2:$D$805,$F$18,[1]شهریور!$AC$2:$AC$805,T3)</f>
        <v>0</v>
      </c>
      <c r="U18" s="99">
        <f>SUMIFS([1]شهریور!$AF$2:$AF$805,[1]شهریور!$O$2:$O$805,7301,[1]شهریور!$D$2:$D$805,$F$18,[1]شهریور!$AC$2:$AC$805,U3)</f>
        <v>0</v>
      </c>
      <c r="V18" s="176">
        <f>SUMIFS([1]مرداد!$AH$2:$AH$805,[1]مرداد!$O$2:$O$805,7301,[1]مرداد!$D$2:$D$805,$F$18,[1]مرداد!$AC$2:$AC$805,V3)</f>
        <v>0</v>
      </c>
      <c r="W18" s="99">
        <f>SUMIFS([1]شهریور!$AH$2:$AH$805,[1]شهریور!$O$2:$O$805,7301,[1]شهریور!$D$2:$D$805,$F$18,[1]شهریور!$AC$2:$AC$805,W3)</f>
        <v>3</v>
      </c>
      <c r="X18" s="177">
        <f>SUMIFS([1]شهریور!$AH$2:$AH$805,[1]شهریور!$O$2:$O$805,7301,[1]شهریور!$D$2:$D$805,$F$18,[1]شهریور!$AC$2:$AC$805,X3)</f>
        <v>0</v>
      </c>
      <c r="Y18" s="177">
        <f>SUMIFS([1]شهریور!$AH$2:$AH$805,[1]شهریور!$O$2:$O$805,7301,[1]شهریور!$D$2:$D$805,$F$18,[1]شهریور!$AC$2:$AC$805,Y3)</f>
        <v>0</v>
      </c>
      <c r="Z18" s="177">
        <f>SUMIFS([1]شهریور!$AH$2:$AH$805,[1]شهریور!$O$2:$O$805,7301,[1]شهریور!$D$2:$D$805,$F$18,[1]شهریور!$AC$2:$AC$805,Z3)</f>
        <v>0</v>
      </c>
      <c r="AA18" s="99">
        <f>SUMIFS([1]شهریور!$AH$2:$AH$805,[1]شهریور!$O$2:$O$805,7301,[1]شهریور!$D$2:$D$805,$F$18,[1]شهریور!$AC$2:$AC$805,AA3)</f>
        <v>0</v>
      </c>
      <c r="AB18" s="99">
        <f>SUMIFS([1]شهریور!$AH$2:$AH$805,[1]شهریور!$O$2:$O$805,7301,[1]شهریور!$D$2:$D$805,$F$18,[1]شهریور!$AC$2:$AC$805,AB3)</f>
        <v>0</v>
      </c>
    </row>
    <row r="19" spans="1:28" ht="33.75" customHeight="1" x14ac:dyDescent="0.25">
      <c r="A19" s="874"/>
      <c r="B19" s="873"/>
      <c r="C19" s="886"/>
      <c r="D19" s="863"/>
      <c r="E19" s="933" t="s">
        <v>15</v>
      </c>
      <c r="F19" s="27"/>
      <c r="G19" s="1">
        <f t="shared" si="0"/>
        <v>0</v>
      </c>
      <c r="H19" s="49">
        <f t="shared" si="1"/>
        <v>0</v>
      </c>
      <c r="I19" s="885">
        <f t="shared" si="2"/>
        <v>0</v>
      </c>
      <c r="J19" s="1">
        <v>0</v>
      </c>
      <c r="K19" s="1">
        <v>0</v>
      </c>
      <c r="L19" s="1">
        <v>0</v>
      </c>
      <c r="M19" s="4"/>
      <c r="N19" s="928" t="str">
        <f>IF((SUM(I19:I21))&gt;0,"②","")</f>
        <v>②</v>
      </c>
      <c r="O19" s="356">
        <f>SUMIFS([1]تیر!$AF$2:$AF$805,[1]تیر!$O$2:$O$805,7302,[1]تیر!$D$2:$D$805,$F$19,[1]تیر!$AC$2:$AC$805,O3)</f>
        <v>0</v>
      </c>
      <c r="P19" s="537">
        <f>SUMIFS([1]شهریور!$AF$2:$AF$805,[1]شهریور!$O$2:$O$805,7302,[1]شهریور!$D$2:$D$805,$F$19,[1]شهریور!$AC$2:$AC$805,P3)</f>
        <v>0</v>
      </c>
      <c r="Q19" s="174">
        <f>SUMIFS([1]شهریور!$AF$2:$AF$805,[1]شهریور!$O$2:$O$805,7302,[1]شهریور!$D$2:$D$805,$F$19,[1]شهریور!$AC$2:$AC$805,Q3)</f>
        <v>0</v>
      </c>
      <c r="R19" s="174">
        <f>SUMIFS([1]شهریور!$AF$2:$AF$805,[1]شهریور!$O$2:$O$805,7302,[1]شهریور!$D$2:$D$805,$F$19,[1]شهریور!$AC$2:$AC$805,R3)</f>
        <v>0</v>
      </c>
      <c r="S19" s="174">
        <f>SUMIFS([1]شهریور!$AF$2:$AF$805,[1]شهریور!$O$2:$O$805,7302,[1]شهریور!$D$2:$D$805,$F$19,[1]شهریور!$AC$2:$AC$805,S3)</f>
        <v>0</v>
      </c>
      <c r="T19" s="537">
        <f>SUMIFS([1]شهریور!$AF$2:$AF$805,[1]شهریور!$O$2:$O$805,7302,[1]شهریور!$D$2:$D$805,$F$19,[1]شهریور!$AC$2:$AC$805,T3)</f>
        <v>0</v>
      </c>
      <c r="U19" s="537">
        <f>SUMIFS([1]شهریور!$AF$2:$AF$805,[1]شهریور!$O$2:$O$805,7302,[1]شهریور!$D$2:$D$805,$F$19,[1]شهریور!$AC$2:$AC$805,U3)</f>
        <v>0</v>
      </c>
      <c r="V19" s="165">
        <f>SUMIFS([1]مرداد!$AH$2:$AH$805,[1]مرداد!$O$2:$O$805,7302,[1]مرداد!$D$2:$D$805,$F$19,[1]مرداد!$AC$2:$AC$805,V3)</f>
        <v>0</v>
      </c>
      <c r="W19" s="393">
        <f>SUMIFS([1]مرداد!$AH$2:$AH$805,[1]مرداد!$O$2:$O$805,7302,[1]مرداد!$D$2:$D$805,$F$19,[1]مرداد!$AC$2:$AC$805,W3)</f>
        <v>0</v>
      </c>
      <c r="X19" s="292">
        <f>SUMIFS([1]مرداد!$AH$2:$AH$805,[1]مرداد!$O$2:$O$805,7302,[1]مرداد!$D$2:$D$805,$F$19,[1]مرداد!$AC$2:$AC$805,X3)</f>
        <v>0</v>
      </c>
      <c r="Y19" s="292">
        <f>SUMIFS([1]مرداد!$AH$2:$AH$805,[1]مرداد!$O$2:$O$805,7302,[1]مرداد!$D$2:$D$805,$F$19,[1]مرداد!$AC$2:$AC$805,Y3)</f>
        <v>0</v>
      </c>
      <c r="Z19" s="292">
        <f>SUMIFS([1]مرداد!$AH$2:$AH$805,[1]مرداد!$O$2:$O$805,7302,[1]مرداد!$D$2:$D$805,$F$19,[1]مرداد!$AC$2:$AC$805,Z3)</f>
        <v>0</v>
      </c>
      <c r="AA19" s="393">
        <f>SUMIFS([1]مرداد!$AH$2:$AH$805,[1]مرداد!$O$2:$O$805,7302,[1]مرداد!$D$2:$D$805,$F$19,[1]مرداد!$AC$2:$AC$805,AA3)</f>
        <v>0</v>
      </c>
      <c r="AB19" s="454">
        <f>SUMIFS([1]مرداد!$AH$2:$AH$805,[1]مرداد!$O$2:$O$805,7302,[1]مرداد!$D$2:$D$805,$F$19,[1]مرداد!$AC$2:$AC$805,AB3)</f>
        <v>0</v>
      </c>
    </row>
    <row r="20" spans="1:28" ht="33.75" customHeight="1" x14ac:dyDescent="0.25">
      <c r="A20" s="875">
        <v>9</v>
      </c>
      <c r="B20" s="865" t="s">
        <v>21</v>
      </c>
      <c r="C20" s="588">
        <v>7302</v>
      </c>
      <c r="D20" s="863">
        <v>55</v>
      </c>
      <c r="E20" s="1003"/>
      <c r="F20" s="27" t="s">
        <v>17</v>
      </c>
      <c r="G20" s="3">
        <f t="shared" si="0"/>
        <v>32</v>
      </c>
      <c r="H20" s="47">
        <f t="shared" si="1"/>
        <v>0</v>
      </c>
      <c r="I20" s="3">
        <f t="shared" si="2"/>
        <v>2</v>
      </c>
      <c r="J20" s="3">
        <v>0</v>
      </c>
      <c r="K20" s="3">
        <v>0</v>
      </c>
      <c r="L20" s="3">
        <v>0</v>
      </c>
      <c r="M20" s="4">
        <f>SUM(G19:L21)-D20</f>
        <v>-21</v>
      </c>
      <c r="N20" s="929"/>
      <c r="O20" s="293">
        <f>SUMIFS([1]شهریور!$AF$2:$AF$805,[1]شهریور!$O$2:$O$805,7302,[1]شهریور!$D$2:$D$805,$F$20,[1]شهریور!$AC$2:$AC$805,O3)</f>
        <v>9</v>
      </c>
      <c r="P20" s="891">
        <f>SUMIFS([1]شهریور!$AF$2:$AF$805,[1]شهریور!$O$2:$O$805,7302,[1]شهریور!$D$2:$D$805,$F$20,[1]شهریور!$AC$2:$AC$805,P3)</f>
        <v>6</v>
      </c>
      <c r="Q20" s="293">
        <f>SUMIFS([1]شهریور!$AF$2:$AF$805,[1]شهریور!$O$2:$O$805,7302,[1]شهریور!$D$2:$D$805,$F$20,[1]شهریور!$AC$2:$AC$805,Q3)</f>
        <v>7</v>
      </c>
      <c r="R20" s="293">
        <f>SUMIFS([1]شهریور!$AF$2:$AF$805,[1]شهریور!$O$2:$O$805,7302,[1]شهریور!$D$2:$D$805,$F$20,[1]شهریور!$AC$2:$AC$805,R3)</f>
        <v>10</v>
      </c>
      <c r="S20" s="293">
        <f>SUMIFS([1]شهریور!$AF$2:$AF$805,[1]شهریور!$O$2:$O$805,7302,[1]شهریور!$D$2:$D$805,$F$20,[1]شهریور!$AC$2:$AC$805,S3)</f>
        <v>0</v>
      </c>
      <c r="T20" s="891">
        <f>SUMIFS([1]شهریور!$AF$2:$AF$805,[1]شهریور!$O$2:$O$805,7302,[1]شهریور!$D$2:$D$805,$F$20,[1]شهریور!$AC$2:$AC$805,T3)</f>
        <v>0</v>
      </c>
      <c r="U20" s="891">
        <f>SUMIFS([1]شهریور!$AF$2:$AF$805,[1]شهریور!$O$2:$O$805,7302,[1]شهریور!$D$2:$D$805,$F$20,[1]شهریور!$AC$2:$AC$805,U3)</f>
        <v>0</v>
      </c>
      <c r="V20" s="166">
        <f>SUMIFS([1]شهریور!$AH$2:$AH$805,[1]شهریور!$O$2:$O$805,7302,[1]شهریور!$D$2:$D$805,$F$20,[1]شهریور!$AC$2:$AC$805,V3)</f>
        <v>2</v>
      </c>
      <c r="W20" s="166">
        <f>SUMIFS([1]شهریور!$AH$2:$AH$805,[1]شهریور!$O$2:$O$805,7302,[1]شهریور!$D$2:$D$805,$F$20,[1]شهریور!$AC$2:$AC$805,W3)</f>
        <v>0</v>
      </c>
      <c r="X20" s="166">
        <f>SUMIFS([1]شهریور!$AH$2:$AH$805,[1]شهریور!$O$2:$O$805,7302,[1]شهریور!$D$2:$D$805,$F$20,[1]شهریور!$AC$2:$AC$805,X3)</f>
        <v>0</v>
      </c>
      <c r="Y20" s="166">
        <f>SUMIFS([1]شهریور!$AH$2:$AH$805,[1]شهریور!$O$2:$O$805,7302,[1]شهریور!$D$2:$D$805,$F$20,[1]شهریور!$AC$2:$AC$805,Y3)</f>
        <v>0</v>
      </c>
      <c r="Z20" s="166">
        <f>SUMIFS([1]شهریور!$AH$2:$AH$805,[1]شهریور!$O$2:$O$805,7302,[1]شهریور!$D$2:$D$805,$F$20,[1]شهریور!$AC$2:$AC$805,Z3)</f>
        <v>0</v>
      </c>
      <c r="AA20" s="166">
        <f>SUMIFS([1]شهریور!$AH$2:$AH$805,[1]شهریور!$O$2:$O$805,7302,[1]شهریور!$D$2:$D$805,$F$20,[1]شهریور!$AC$2:$AC$805,AA3)</f>
        <v>0</v>
      </c>
      <c r="AB20" s="166">
        <f>SUMIFS([1]شهریور!$AH$2:$AH$805,[1]شهریور!$O$2:$O$805,7302,[1]شهریور!$D$2:$D$805,$F$20,[1]شهریور!$AC$2:$AC$805,AB3)</f>
        <v>0</v>
      </c>
    </row>
    <row r="21" spans="1:28" ht="33.75" customHeight="1" thickBot="1" x14ac:dyDescent="0.3">
      <c r="A21" s="876"/>
      <c r="B21" s="873"/>
      <c r="C21" s="886"/>
      <c r="D21" s="863"/>
      <c r="E21" s="933"/>
      <c r="F21" s="24"/>
      <c r="G21" s="4">
        <f t="shared" si="0"/>
        <v>0</v>
      </c>
      <c r="H21" s="765">
        <f t="shared" si="1"/>
        <v>0</v>
      </c>
      <c r="I21" s="1">
        <f t="shared" si="2"/>
        <v>0</v>
      </c>
      <c r="J21" s="25">
        <v>0</v>
      </c>
      <c r="K21" s="4">
        <v>0</v>
      </c>
      <c r="L21" s="4">
        <v>0</v>
      </c>
      <c r="M21" s="4"/>
      <c r="N21" s="929"/>
      <c r="O21" s="352">
        <f>SUMIFS([1]اردیبهشت!$AD$2:$AD$805,[1]اردیبهشت!$N$2:$N$805,$C$20,[1]اردیبهشت!$D$2:$D$805,$F$20,[1]اردیبهشت!$AA$2:$AA$805,O4)</f>
        <v>0</v>
      </c>
      <c r="P21" s="97">
        <f>SUMIFS([1]اردیبهشت!$AD$2:$AD$805,[1]اردیبهشت!$N$2:$N$805,$C$20,[1]اردیبهشت!$D$2:$D$805,$F$20,[1]اردیبهشت!$AA$2:$AA$805,P4)</f>
        <v>0</v>
      </c>
      <c r="Q21" s="175">
        <f>SUMIFS([1]اردیبهشت!$AD$2:$AD$805,[1]اردیبهشت!$N$2:$N$805,$C$20,[1]اردیبهشت!$D$2:$D$805,$F$20,[1]اردیبهشت!$AA$2:$AA$805,Q4)</f>
        <v>0</v>
      </c>
      <c r="R21" s="175">
        <f>SUMIFS([1]اردیبهشت!$AD$2:$AD$805,[1]اردیبهشت!$N$2:$N$805,$C$20,[1]اردیبهشت!$D$2:$D$805,$F$20,[1]اردیبهشت!$AA$2:$AA$805,R4)</f>
        <v>0</v>
      </c>
      <c r="S21" s="175">
        <f>SUMIFS([1]اردیبهشت!$AD$2:$AD$805,[1]اردیبهشت!$N$2:$N$805,$C$20,[1]اردیبهشت!$D$2:$D$805,$F$20,[1]اردیبهشت!$AA$2:$AA$805,S4)</f>
        <v>0</v>
      </c>
      <c r="T21" s="97">
        <f>SUMIFS([1]اردیبهشت!$AD$2:$AD$805,[1]اردیبهشت!$N$2:$N$805,$C$20,[1]اردیبهشت!$D$2:$D$805,$F$20,[1]اردیبهشت!$AA$2:$AA$805,T4)</f>
        <v>0</v>
      </c>
      <c r="U21" s="793">
        <f>SUMIFS([1]خرداد!$AF$2:$AF$700,[1]خرداد!$O$2:$O$700,7101,[1]خرداد!$D$2:$D$700,$F$4,[1]خرداد!$AC$2:$AC$700,U20)</f>
        <v>0</v>
      </c>
      <c r="V21" s="171">
        <f>SUMIFS([1]مرداد!$AH$2:$AH$805,[1]مرداد!$O$2:$O$805,7302,[1]مرداد!$D$2:$D$805,$F$21,[1]مرداد!$AC$2:$AC$805,V3)</f>
        <v>0</v>
      </c>
      <c r="W21" s="904">
        <f>SUMIFS([1]مرداد!$AH$2:$AH$805,[1]مرداد!$O$2:$O$805,7302,[1]مرداد!$D$2:$D$805,$F$21,[1]مرداد!$AC$2:$AC$805,W3)</f>
        <v>0</v>
      </c>
      <c r="X21" s="294">
        <f>SUMIFS([1]مرداد!$AH$2:$AH$805,[1]مرداد!$O$2:$O$805,7302,[1]مرداد!$D$2:$D$805,$F$21,[1]مرداد!$AC$2:$AC$805,X3)</f>
        <v>0</v>
      </c>
      <c r="Y21" s="294">
        <f>SUMIFS([1]مرداد!$AH$2:$AH$805,[1]مرداد!$O$2:$O$805,7302,[1]مرداد!$D$2:$D$805,$F$21,[1]مرداد!$AC$2:$AC$805,Y3)</f>
        <v>0</v>
      </c>
      <c r="Z21" s="294">
        <f>SUMIFS([1]مرداد!$AH$2:$AH$805,[1]مرداد!$O$2:$O$805,7302,[1]مرداد!$D$2:$D$805,$F$21,[1]مرداد!$AC$2:$AC$805,Z3)</f>
        <v>0</v>
      </c>
      <c r="AA21" s="904">
        <f>SUMIFS([1]مرداد!$AH$2:$AH$805,[1]مرداد!$O$2:$O$805,7302,[1]مرداد!$D$2:$D$805,$F$21,[1]مرداد!$AC$2:$AC$805,AA3)</f>
        <v>0</v>
      </c>
      <c r="AB21" s="700">
        <f>SUMIFS([1]مرداد!$AH$2:$AH$805,[1]مرداد!$O$2:$O$805,7302,[1]مرداد!$D$2:$D$805,$F$21,[1]مرداد!$AC$2:$AC$805,AB3)</f>
        <v>0</v>
      </c>
    </row>
    <row r="22" spans="1:28" ht="33.75" customHeight="1" thickBot="1" x14ac:dyDescent="0.3">
      <c r="A22" s="147">
        <v>10</v>
      </c>
      <c r="B22" s="207" t="s">
        <v>21</v>
      </c>
      <c r="C22" s="129">
        <v>7303</v>
      </c>
      <c r="D22" s="129">
        <v>44</v>
      </c>
      <c r="E22" s="129" t="s">
        <v>15</v>
      </c>
      <c r="F22" s="16" t="s">
        <v>17</v>
      </c>
      <c r="G22" s="209">
        <f t="shared" si="0"/>
        <v>17</v>
      </c>
      <c r="H22" s="48">
        <f t="shared" si="1"/>
        <v>0</v>
      </c>
      <c r="I22" s="885">
        <f t="shared" si="2"/>
        <v>0</v>
      </c>
      <c r="J22" s="209">
        <v>0</v>
      </c>
      <c r="K22" s="209">
        <v>0</v>
      </c>
      <c r="L22" s="209">
        <v>0</v>
      </c>
      <c r="M22" s="209">
        <f>SUM(G22:L22)-44</f>
        <v>-27</v>
      </c>
      <c r="N22" s="313" t="s">
        <v>40</v>
      </c>
      <c r="O22" s="297">
        <f>SUMIFS([1]شهریور!$AF$2:$AF$805,[1]شهریور!$O$2:$O$805,7303,[1]شهریور!$D$2:$D$805,$F$22,[1]شهریور!$AC$2:$AC$805,O3)</f>
        <v>0</v>
      </c>
      <c r="P22" s="297">
        <f>SUMIFS([1]شهریور!$AF$2:$AF$805,[1]شهریور!$O$2:$O$805,7303,[1]شهریور!$D$2:$D$805,$F$22,[1]شهریور!$AC$2:$AC$805,P3)</f>
        <v>3</v>
      </c>
      <c r="Q22" s="297">
        <f>SUMIFS([1]شهریور!$AF$2:$AF$805,[1]شهریور!$O$2:$O$805,7303,[1]شهریور!$D$2:$D$805,$F$22,[1]شهریور!$AC$2:$AC$805,Q3)</f>
        <v>3</v>
      </c>
      <c r="R22" s="297">
        <f>SUMIFS([1]شهریور!$AF$2:$AF$805,[1]شهریور!$O$2:$O$805,7303,[1]شهریور!$D$2:$D$805,$F$22,[1]شهریور!$AC$2:$AC$805,R3)</f>
        <v>0</v>
      </c>
      <c r="S22" s="297">
        <f>SUMIFS([1]شهریور!$AF$2:$AF$805,[1]شهریور!$O$2:$O$805,7303,[1]شهریور!$D$2:$D$805,$F$22,[1]شهریور!$AC$2:$AC$805,S3)</f>
        <v>11</v>
      </c>
      <c r="T22" s="297">
        <f>SUMIFS([1]شهریور!$AF$2:$AF$805,[1]شهریور!$O$2:$O$805,7303,[1]شهریور!$D$2:$D$805,$F$22,[1]شهریور!$AC$2:$AC$805,T3)</f>
        <v>0</v>
      </c>
      <c r="U22" s="297">
        <f>SUMIFS([1]شهریور!$AF$2:$AF$805,[1]شهریور!$O$2:$O$805,7303,[1]شهریور!$D$2:$D$805,$F$22,[1]شهریور!$AC$2:$AC$805,U3)</f>
        <v>0</v>
      </c>
      <c r="V22" s="181">
        <f>SUMIFS([1]مرداد!$AH$2:$AH$805,[1]مرداد!$O$2:$O$805,7303,[1]مرداد!$D$2:$D$805,$F$22,[1]مرداد!$AC$2:$AC$805,V3)</f>
        <v>0</v>
      </c>
      <c r="W22" s="892">
        <f>SUMIFS([1]مرداد!$AH$2:$AH$805,[1]مرداد!$O$2:$O$805,7303,[1]مرداد!$D$2:$D$805,$F$22,[1]مرداد!$AC$2:$AC$805,W3)</f>
        <v>0</v>
      </c>
      <c r="X22" s="297">
        <f>SUMIFS([1]مرداد!$AH$2:$AH$805,[1]مرداد!$O$2:$O$805,7303,[1]مرداد!$D$2:$D$805,$F$22,[1]مرداد!$AC$2:$AC$805,X3)</f>
        <v>0</v>
      </c>
      <c r="Y22" s="297">
        <f>SUMIFS([1]مرداد!$AH$2:$AH$805,[1]مرداد!$O$2:$O$805,7303,[1]مرداد!$D$2:$D$805,$F$22,[1]مرداد!$AC$2:$AC$805,Y3)</f>
        <v>0</v>
      </c>
      <c r="Z22" s="297">
        <f>SUMIFS([1]مرداد!$AH$2:$AH$805,[1]مرداد!$O$2:$O$805,7303,[1]مرداد!$D$2:$D$805,$F$22,[1]مرداد!$AC$2:$AC$805,Z3)</f>
        <v>0</v>
      </c>
      <c r="AA22" s="892">
        <f>SUMIFS([1]مرداد!$AH$2:$AH$805,[1]مرداد!$O$2:$O$805,7303,[1]مرداد!$D$2:$D$805,$F$22,[1]مرداد!$AC$2:$AC$805,AA3)</f>
        <v>0</v>
      </c>
      <c r="AB22" s="893">
        <f>SUMIFS([1]مرداد!$AH$2:$AH$805,[1]مرداد!$O$2:$O$805,7303,[1]مرداد!$D$2:$D$805,$F$22,[1]مرداد!$AC$2:$AC$805,AB3)</f>
        <v>0</v>
      </c>
    </row>
    <row r="23" spans="1:28" ht="33.75" customHeight="1" x14ac:dyDescent="0.25">
      <c r="A23" s="874"/>
      <c r="B23" s="871"/>
      <c r="C23" s="42"/>
      <c r="D23" s="862"/>
      <c r="E23" s="932" t="s">
        <v>15</v>
      </c>
      <c r="F23" s="574"/>
      <c r="G23" s="885">
        <f t="shared" si="0"/>
        <v>0</v>
      </c>
      <c r="H23" s="46">
        <f t="shared" si="1"/>
        <v>0</v>
      </c>
      <c r="I23" s="885">
        <f t="shared" si="2"/>
        <v>0</v>
      </c>
      <c r="J23" s="885">
        <v>0</v>
      </c>
      <c r="K23" s="885">
        <v>0</v>
      </c>
      <c r="L23" s="885">
        <v>0</v>
      </c>
      <c r="M23" s="21"/>
      <c r="N23" s="1004" t="s">
        <v>180</v>
      </c>
      <c r="O23" s="292">
        <f>SUMIFS([1]مرداد!$AF$2:$AF$805,[1]مرداد!$O$2:$O$805,7401,[1]مرداد!$D$2:$D$805,$F$23,[1]مرداد!$AC$2:$AC$805,O3)</f>
        <v>0</v>
      </c>
      <c r="P23" s="393">
        <f>SUMIFS([1]مرداد!$AF$2:$AF$805,[1]مرداد!$O$2:$O$805,7401,[1]مرداد!$D$2:$D$805,$F$23,[1]مرداد!$AC$2:$AC$805,P3)</f>
        <v>0</v>
      </c>
      <c r="Q23" s="292">
        <f>SUMIFS([1]مرداد!$AF$2:$AF$805,[1]مرداد!$O$2:$O$805,7401,[1]مرداد!$D$2:$D$805,$F$23,[1]مرداد!$AC$2:$AC$805,Q3)</f>
        <v>0</v>
      </c>
      <c r="R23" s="292">
        <f>SUMIFS([1]مرداد!$AF$2:$AF$805,[1]مرداد!$O$2:$O$805,7401,[1]مرداد!$D$2:$D$805,$F$23,[1]مرداد!$AC$2:$AC$805,R3)</f>
        <v>0</v>
      </c>
      <c r="S23" s="292">
        <f>SUMIFS([1]مرداد!$AF$2:$AF$805,[1]مرداد!$O$2:$O$805,7401,[1]مرداد!$D$2:$D$805,$F$23,[1]مرداد!$AC$2:$AC$805,S3)</f>
        <v>0</v>
      </c>
      <c r="T23" s="393">
        <f>SUMIFS([1]مرداد!$AF$2:$AF$805,[1]مرداد!$O$2:$O$805,7401,[1]مرداد!$D$2:$D$805,$F$23,[1]مرداد!$AC$2:$AC$805,T3)</f>
        <v>0</v>
      </c>
      <c r="U23" s="454">
        <f>SUMIFS([1]مرداد!$AF$2:$AF$805,[1]مرداد!$O$2:$O$805,7401,[1]مرداد!$D$2:$D$805,$F$23,[1]مرداد!$AC$2:$AC$805,U3)</f>
        <v>0</v>
      </c>
      <c r="V23" s="165">
        <f>SUMIFS([1]مرداد!$AH$2:$AH$805,[1]مرداد!$O$2:$O$805,7401,[1]مرداد!$D$2:$D$805,$F$23,[1]مرداد!$AC$2:$AC$805,V3)</f>
        <v>0</v>
      </c>
      <c r="W23" s="393">
        <f>SUMIFS([1]مرداد!$AH$2:$AH$805,[1]مرداد!$O$2:$O$805,7401,[1]مرداد!$D$2:$D$805,$F$23,[1]مرداد!$AC$2:$AC$805,W3)</f>
        <v>0</v>
      </c>
      <c r="X23" s="292">
        <f>SUMIFS([1]مرداد!$AH$2:$AH$805,[1]مرداد!$O$2:$O$805,7401,[1]مرداد!$D$2:$D$805,$F$23,[1]مرداد!$AC$2:$AC$805,X3)</f>
        <v>0</v>
      </c>
      <c r="Y23" s="292">
        <f>SUMIFS([1]مرداد!$AH$2:$AH$805,[1]مرداد!$O$2:$O$805,7401,[1]مرداد!$D$2:$D$805,$F$23,[1]مرداد!$AC$2:$AC$805,Y3)</f>
        <v>0</v>
      </c>
      <c r="Z23" s="292">
        <f>SUMIFS([1]مرداد!$AH$2:$AH$805,[1]مرداد!$O$2:$O$805,7401,[1]مرداد!$D$2:$D$805,$F$23,[1]مرداد!$AC$2:$AC$805,Z3)</f>
        <v>0</v>
      </c>
      <c r="AA23" s="393">
        <f>SUMIFS([1]مرداد!$AH$2:$AH$805,[1]مرداد!$O$2:$O$805,7401,[1]مرداد!$D$2:$D$805,$F$23,[1]مرداد!$AC$2:$AC$805,AA3)</f>
        <v>0</v>
      </c>
      <c r="AB23" s="454">
        <f>SUMIFS([1]مرداد!$AH$2:$AH$805,[1]مرداد!$O$2:$O$805,7401,[1]مرداد!$D$2:$D$805,$F$23,[1]مرداد!$AC$2:$AC$805,AB3)</f>
        <v>0</v>
      </c>
    </row>
    <row r="24" spans="1:28" ht="33.75" customHeight="1" x14ac:dyDescent="0.25">
      <c r="A24" s="875">
        <v>11</v>
      </c>
      <c r="B24" s="865" t="s">
        <v>24</v>
      </c>
      <c r="C24" s="863">
        <v>7401</v>
      </c>
      <c r="D24" s="863">
        <v>55</v>
      </c>
      <c r="E24" s="1003"/>
      <c r="F24" s="22" t="s">
        <v>16</v>
      </c>
      <c r="G24" s="3">
        <f t="shared" si="0"/>
        <v>14</v>
      </c>
      <c r="H24" s="47">
        <f t="shared" si="1"/>
        <v>0</v>
      </c>
      <c r="I24" s="3">
        <f t="shared" si="2"/>
        <v>0</v>
      </c>
      <c r="J24" s="3">
        <v>0</v>
      </c>
      <c r="K24" s="3">
        <v>0</v>
      </c>
      <c r="L24" s="205">
        <v>0</v>
      </c>
      <c r="M24" s="4">
        <f>SUM(G23:L25)-D24</f>
        <v>-41</v>
      </c>
      <c r="N24" s="1005"/>
      <c r="O24" s="293">
        <f>SUMIFS([1]شهریور!$AF$2:$AF$805,[1]شهریور!$O$2:$O$805,7401,[1]شهریور!$D$2:$D$805,$F$24,[1]شهریور!$AC$2:$AC$805,O3)</f>
        <v>0</v>
      </c>
      <c r="P24" s="891">
        <f>SUMIFS([1]شهریور!$AF$2:$AF$805,[1]شهریور!$O$2:$O$805,7401,[1]شهریور!$D$2:$D$805,$F$24,[1]شهریور!$AC$2:$AC$805,P3)</f>
        <v>8</v>
      </c>
      <c r="Q24" s="293">
        <f>SUMIFS([1]شهریور!$AF$2:$AF$805,[1]شهریور!$O$2:$O$805,7401,[1]شهریور!$D$2:$D$805,$F$24,[1]شهریور!$AC$2:$AC$805,Q3)</f>
        <v>4</v>
      </c>
      <c r="R24" s="293">
        <f>SUMIFS([1]شهریور!$AF$2:$AF$805,[1]شهریور!$O$2:$O$805,7401,[1]شهریور!$D$2:$D$805,$F$24,[1]شهریور!$AC$2:$AC$805,R3)</f>
        <v>2</v>
      </c>
      <c r="S24" s="293">
        <f>SUMIFS([1]شهریور!$AF$2:$AF$805,[1]شهریور!$O$2:$O$805,7401,[1]شهریور!$D$2:$D$805,$F$24,[1]شهریور!$AC$2:$AC$805,S3)</f>
        <v>0</v>
      </c>
      <c r="T24" s="891">
        <f>SUMIFS([1]شهریور!$AF$2:$AF$805,[1]شهریور!$O$2:$O$805,7401,[1]شهریور!$D$2:$D$805,$F$24,[1]شهریور!$AC$2:$AC$805,T3)</f>
        <v>0</v>
      </c>
      <c r="U24" s="891">
        <f>SUMIFS([1]شهریور!$AF$2:$AF$805,[1]شهریور!$O$2:$O$805,7401,[1]شهریور!$D$2:$D$805,$F$24,[1]شهریور!$AC$2:$AC$805,U3)</f>
        <v>0</v>
      </c>
      <c r="V24" s="166">
        <f>SUMIFS([1]مرداد!$AH$2:$AH$805,[1]مرداد!$O$2:$O$805,7401,[1]مرداد!$D$2:$D$805,$F$24,[1]مرداد!$AC$2:$AC$805,V3)</f>
        <v>0</v>
      </c>
      <c r="W24" s="891">
        <f>SUMIFS([1]مرداد!$AH$2:$AH$805,[1]مرداد!$O$2:$O$805,7401,[1]مرداد!$D$2:$D$805,$F$24,[1]مرداد!$AC$2:$AC$805,W3)</f>
        <v>0</v>
      </c>
      <c r="X24" s="293">
        <f>SUMIFS([1]مرداد!$AH$2:$AH$805,[1]مرداد!$O$2:$O$805,7401,[1]مرداد!$D$2:$D$805,$F$24,[1]مرداد!$AC$2:$AC$805,X3)</f>
        <v>0</v>
      </c>
      <c r="Y24" s="293">
        <f>SUMIFS([1]مرداد!$AH$2:$AH$805,[1]مرداد!$O$2:$O$805,7401,[1]مرداد!$D$2:$D$805,$F$24,[1]مرداد!$AC$2:$AC$805,Y3)</f>
        <v>0</v>
      </c>
      <c r="Z24" s="293">
        <f>SUMIFS([1]مرداد!$AH$2:$AH$805,[1]مرداد!$O$2:$O$805,7401,[1]مرداد!$D$2:$D$805,$F$24,[1]مرداد!$AC$2:$AC$805,Z3)</f>
        <v>0</v>
      </c>
      <c r="AA24" s="891">
        <f>SUMIFS([1]مرداد!$AH$2:$AH$805,[1]مرداد!$O$2:$O$805,7401,[1]مرداد!$D$2:$D$805,$F$24,[1]مرداد!$AC$2:$AC$805,AA3)</f>
        <v>0</v>
      </c>
      <c r="AB24" s="901">
        <f>SUMIFS([1]مرداد!$AH$2:$AH$805,[1]مرداد!$O$2:$O$805,7401,[1]مرداد!$D$2:$D$805,$F$24,[1]مرداد!$AC$2:$AC$805,AB3)</f>
        <v>0</v>
      </c>
    </row>
    <row r="25" spans="1:28" ht="33.75" customHeight="1" thickBot="1" x14ac:dyDescent="0.3">
      <c r="A25" s="876"/>
      <c r="B25" s="872"/>
      <c r="C25" s="43"/>
      <c r="D25" s="864"/>
      <c r="E25" s="934"/>
      <c r="F25" s="5"/>
      <c r="G25" s="6">
        <f t="shared" si="0"/>
        <v>0</v>
      </c>
      <c r="H25" s="761">
        <f t="shared" si="1"/>
        <v>0</v>
      </c>
      <c r="I25" s="1">
        <f t="shared" si="2"/>
        <v>0</v>
      </c>
      <c r="J25" s="7">
        <v>0</v>
      </c>
      <c r="K25" s="6">
        <v>0</v>
      </c>
      <c r="L25" s="6">
        <v>0</v>
      </c>
      <c r="M25" s="6"/>
      <c r="N25" s="1006"/>
      <c r="O25" s="294">
        <f>SUMIFS([1]تیر!$AF$2:$AF$805,[1]تیر!$O$2:$O$805,7401,[1]تیر!$D$2:$D$805,$F$25,[1]تیر!$AC$2:$AC$805,O3)</f>
        <v>0</v>
      </c>
      <c r="P25" s="103">
        <f>SUMIFS([1]تیر!$AF$2:$AF$805,[1]تیر!$O$2:$O$805,7401,[1]تیر!$D$2:$D$805,$F$25,[1]تیر!$AC$2:$AC$805,P3)</f>
        <v>0</v>
      </c>
      <c r="Q25" s="172">
        <f>SUMIFS([1]تیر!$AF$2:$AF$805,[1]تیر!$O$2:$O$805,7401,[1]تیر!$D$2:$D$805,$F$25,[1]تیر!$AC$2:$AC$805,Q3)</f>
        <v>0</v>
      </c>
      <c r="R25" s="172">
        <f>SUMIFS([1]تیر!$AF$2:$AF$805,[1]تیر!$O$2:$O$805,7401,[1]تیر!$D$2:$D$805,$F$25,[1]تیر!$AC$2:$AC$805,R3)</f>
        <v>0</v>
      </c>
      <c r="S25" s="172">
        <f>SUMIFS([1]تیر!$AF$2:$AF$805,[1]تیر!$O$2:$O$805,7401,[1]تیر!$D$2:$D$805,$F$25,[1]تیر!$AC$2:$AC$805,S3)</f>
        <v>0</v>
      </c>
      <c r="T25" s="103">
        <f>SUMIFS([1]تیر!$AF$2:$AF$805,[1]تیر!$O$2:$O$805,7401,[1]تیر!$D$2:$D$805,$F$25,[1]تیر!$AC$2:$AC$805,T3)</f>
        <v>0</v>
      </c>
      <c r="U25" s="109">
        <f>SUMIFS([1]تیر!$AF$2:$AF$805,[1]تیر!$O$2:$O$805,7401,[1]تیر!$D$2:$D$805,$F$25,[1]تیر!$AC$2:$AC$805,U3)</f>
        <v>0</v>
      </c>
      <c r="V25" s="171">
        <f>SUMIFS([1]مرداد!$AH$2:$AH$805,[1]مرداد!$O$2:$O$805,7401,[1]مرداد!$D$2:$D$805,$F$25,[1]مرداد!$AC$2:$AC$805,V3)</f>
        <v>0</v>
      </c>
      <c r="W25" s="904">
        <f>SUMIFS([1]مرداد!$AH$2:$AH$805,[1]مرداد!$O$2:$O$805,7401,[1]مرداد!$D$2:$D$805,$F$25,[1]مرداد!$AC$2:$AC$805,W3)</f>
        <v>0</v>
      </c>
      <c r="X25" s="294">
        <f>SUMIFS([1]مرداد!$AH$2:$AH$805,[1]مرداد!$O$2:$O$805,7401,[1]مرداد!$D$2:$D$805,$F$25,[1]مرداد!$AC$2:$AC$805,X3)</f>
        <v>0</v>
      </c>
      <c r="Y25" s="294">
        <f>SUMIFS([1]مرداد!$AH$2:$AH$805,[1]مرداد!$O$2:$O$805,7401,[1]مرداد!$D$2:$D$805,$F$25,[1]مرداد!$AC$2:$AC$805,Y3)</f>
        <v>0</v>
      </c>
      <c r="Z25" s="294">
        <f>SUMIFS([1]مرداد!$AH$2:$AH$805,[1]مرداد!$O$2:$O$805,7401,[1]مرداد!$D$2:$D$805,$F$25,[1]مرداد!$AC$2:$AC$805,Z3)</f>
        <v>0</v>
      </c>
      <c r="AA25" s="904">
        <f>SUMIFS([1]مرداد!$AH$2:$AH$805,[1]مرداد!$O$2:$O$805,7401,[1]مرداد!$D$2:$D$805,$F$25,[1]مرداد!$AC$2:$AC$805,AA3)</f>
        <v>0</v>
      </c>
      <c r="AB25" s="700">
        <f>SUMIFS([1]مرداد!$AH$2:$AH$805,[1]مرداد!$O$2:$O$805,7401,[1]مرداد!$D$2:$D$805,$F$25,[1]مرداد!$AC$2:$AC$805,AB3)</f>
        <v>0</v>
      </c>
    </row>
    <row r="26" spans="1:28" ht="33.75" hidden="1" customHeight="1" thickBot="1" x14ac:dyDescent="0.3">
      <c r="A26" s="766"/>
      <c r="B26" s="12"/>
      <c r="C26" s="13"/>
      <c r="D26" s="13"/>
      <c r="E26" s="767"/>
      <c r="F26" s="16"/>
      <c r="G26" s="14">
        <f t="shared" si="0"/>
        <v>0</v>
      </c>
      <c r="H26" s="48">
        <f t="shared" si="1"/>
        <v>0</v>
      </c>
      <c r="I26" s="885">
        <f t="shared" si="2"/>
        <v>0</v>
      </c>
      <c r="J26" s="14">
        <v>0</v>
      </c>
      <c r="K26" s="14">
        <v>0</v>
      </c>
      <c r="L26" s="14">
        <v>0</v>
      </c>
      <c r="M26" s="14"/>
      <c r="N26" s="768"/>
      <c r="O26" s="295">
        <f>SUMIFS([1]اردیبهشت!$AD$2:$AD$805,[1]اردیبهشت!$N$2:$N$805,$C$26,[1]اردیبهشت!$D$2:$D$805,$F$26,[1]اردیبهشت!$AA$2:$AA$805,O3)</f>
        <v>0</v>
      </c>
      <c r="P26" s="99">
        <f>SUMIFS([1]اردیبهشت!$AD$2:$AD$805,[1]اردیبهشت!$N$2:$N$805,$C$26,[1]اردیبهشت!$D$2:$D$805,$F$26,[1]اردیبهشت!$AA$2:$AA$805,P3)</f>
        <v>0</v>
      </c>
      <c r="Q26" s="177">
        <f>SUMIFS([1]اردیبهشت!$AD$2:$AD$805,[1]اردیبهشت!$N$2:$N$805,$C$26,[1]اردیبهشت!$D$2:$D$805,$F$26,[1]اردیبهشت!$AA$2:$AA$805,Q3)</f>
        <v>0</v>
      </c>
      <c r="R26" s="177">
        <f>SUMIFS([1]اردیبهشت!$AD$2:$AD$805,[1]اردیبهشت!$N$2:$N$805,$C$26,[1]اردیبهشت!$D$2:$D$805,$F$26,[1]اردیبهشت!$AA$2:$AA$805,R3)</f>
        <v>0</v>
      </c>
      <c r="S26" s="177">
        <f>SUMIFS([1]اردیبهشت!$AD$2:$AD$805,[1]اردیبهشت!$N$2:$N$805,$C$26,[1]اردیبهشت!$D$2:$D$805,$F$26,[1]اردیبهشت!$AA$2:$AA$805,S3)</f>
        <v>0</v>
      </c>
      <c r="T26" s="99">
        <f>SUMIFS([1]اردیبهشت!$AD$2:$AD$805,[1]اردیبهشت!$N$2:$N$805,$C$26,[1]اردیبهشت!$D$2:$D$805,$F$26,[1]اردیبهشت!$AA$2:$AA$805,T3)</f>
        <v>0</v>
      </c>
      <c r="U26" s="113">
        <f>SUMIFS([1]خرداد!$AF$2:$AF$700,[1]خرداد!$O$2:$O$700,7101,[1]خرداد!$D$2:$D$700,$F$4,[1]خرداد!$AC$2:$AC$700,U25)</f>
        <v>0</v>
      </c>
      <c r="V26" s="295">
        <f>SUMIFS([1]اردیبهشت!$AD$2:$AD$805,[1]اردیبهشت!$N$2:$N$805,$C$26,[1]اردیبهشت!$D$2:$D$805,$F$26,[1]اردیبهشت!$AA$2:$AA$805,V3)</f>
        <v>0</v>
      </c>
      <c r="W26" s="99">
        <f>SUMIFS([1]اردیبهشت!$AD$2:$AD$805,[1]اردیبهشت!$N$2:$N$805,$C$26,[1]اردیبهشت!$D$2:$D$805,$F$26,[1]اردیبهشت!$AA$2:$AA$805,W3)</f>
        <v>0</v>
      </c>
      <c r="X26" s="177">
        <f>SUMIFS([1]اردیبهشت!$AD$2:$AD$805,[1]اردیبهشت!$N$2:$N$805,$C$26,[1]اردیبهشت!$D$2:$D$805,$F$26,[1]اردیبهشت!$AA$2:$AA$805,X3)</f>
        <v>0</v>
      </c>
      <c r="Y26" s="177">
        <f>SUMIFS([1]اردیبهشت!$AD$2:$AD$805,[1]اردیبهشت!$N$2:$N$805,$C$26,[1]اردیبهشت!$D$2:$D$805,$F$26,[1]اردیبهشت!$AA$2:$AA$805,Y3)</f>
        <v>0</v>
      </c>
      <c r="Z26" s="177">
        <f>SUMIFS([1]اردیبهشت!$AD$2:$AD$805,[1]اردیبهشت!$N$2:$N$805,$C$26,[1]اردیبهشت!$D$2:$D$805,$F$26,[1]اردیبهشت!$AA$2:$AA$805,Z3)</f>
        <v>0</v>
      </c>
      <c r="AA26" s="99">
        <f>SUMIFS([1]اردیبهشت!$AD$2:$AD$805,[1]اردیبهشت!$N$2:$N$805,$C$26,[1]اردیبهشت!$D$2:$D$805,$F$26,[1]اردیبهشت!$AA$2:$AA$805,AA3)</f>
        <v>0</v>
      </c>
      <c r="AB26" s="113">
        <f>SUMIFS([1]خرداد!$AF$2:$AF$700,[1]خرداد!$O$2:$O$700,7101,[1]خرداد!$D$2:$D$700,$F$4,[1]خرداد!$AC$2:$AC$700,AB25)</f>
        <v>0</v>
      </c>
    </row>
    <row r="27" spans="1:28" ht="33.75" customHeight="1" thickBot="1" x14ac:dyDescent="0.3">
      <c r="A27" s="12">
        <v>12</v>
      </c>
      <c r="B27" s="13" t="s">
        <v>25</v>
      </c>
      <c r="C27" s="13">
        <v>7501</v>
      </c>
      <c r="D27" s="13">
        <v>55</v>
      </c>
      <c r="E27" s="13" t="s">
        <v>15</v>
      </c>
      <c r="F27" s="16" t="s">
        <v>36</v>
      </c>
      <c r="G27" s="14">
        <f t="shared" si="0"/>
        <v>11</v>
      </c>
      <c r="H27" s="48">
        <f t="shared" si="1"/>
        <v>0</v>
      </c>
      <c r="I27" s="14">
        <f t="shared" si="2"/>
        <v>0</v>
      </c>
      <c r="J27" s="14">
        <v>44</v>
      </c>
      <c r="K27" s="14">
        <v>0</v>
      </c>
      <c r="L27" s="14">
        <v>0</v>
      </c>
      <c r="M27" s="14">
        <f>SUM(G26:L28)-D27</f>
        <v>0</v>
      </c>
      <c r="N27" s="61"/>
      <c r="O27" s="747">
        <f>SUMIFS([1]شهریور!$AF$2:$AF$805,[1]شهریور!$O$2:$O$805,7501,[1]شهریور!$D$2:$D$805,$F$27,[1]شهریور!$AC$2:$AC$805,O3)</f>
        <v>0</v>
      </c>
      <c r="P27" s="747">
        <f>SUMIFS([1]شهریور!$AF$2:$AF$805,[1]شهریور!$O$2:$O$805,7501,[1]شهریور!$D$2:$D$805,$F$27,[1]شهریور!$AC$2:$AC$805,P3)</f>
        <v>0</v>
      </c>
      <c r="Q27" s="747">
        <f>SUMIFS([1]شهریور!$AF$2:$AF$805,[1]شهریور!$O$2:$O$805,7501,[1]شهریور!$D$2:$D$805,$F$27,[1]شهریور!$AC$2:$AC$805,Q3)</f>
        <v>0</v>
      </c>
      <c r="R27" s="747">
        <f>SUMIFS([1]شهریور!$AF$2:$AF$805,[1]شهریور!$O$2:$O$805,7501,[1]شهریور!$D$2:$D$805,$F$27,[1]شهریور!$AC$2:$AC$805,R3)</f>
        <v>0</v>
      </c>
      <c r="S27" s="747">
        <f>SUMIFS([1]شهریور!$AF$2:$AF$805,[1]شهریور!$O$2:$O$805,7501,[1]شهریور!$D$2:$D$805,$F$27,[1]شهریور!$AC$2:$AC$805,S3)</f>
        <v>11</v>
      </c>
      <c r="T27" s="747">
        <f>SUMIFS([1]شهریور!$AF$2:$AF$805,[1]شهریور!$O$2:$O$805,7501,[1]شهریور!$D$2:$D$805,$F$27,[1]شهریور!$AC$2:$AC$805,T3)</f>
        <v>0</v>
      </c>
      <c r="U27" s="747">
        <f>SUMIFS([1]شهریور!$AF$2:$AF$805,[1]شهریور!$O$2:$O$805,7501,[1]شهریور!$D$2:$D$805,$F$27,[1]شهریور!$AC$2:$AC$805,U3)</f>
        <v>0</v>
      </c>
      <c r="V27" s="176">
        <f>SUMIFS([1]مرداد!$AH$2:$AH$805,[1]مرداد!$O$2:$O$805,7501,[1]مرداد!$D$2:$D$805,$F$27,[1]مرداد!$AC$2:$AC$805,V3)</f>
        <v>0</v>
      </c>
      <c r="W27" s="456">
        <f>SUMIFS([1]مرداد!$AH$2:$AH$805,[1]مرداد!$O$2:$O$805,7501,[1]مرداد!$D$2:$D$805,$F$27,[1]مرداد!$AC$2:$AC$805,W3)</f>
        <v>0</v>
      </c>
      <c r="X27" s="295">
        <f>SUMIFS([1]مرداد!$AH$2:$AH$805,[1]مرداد!$O$2:$O$805,7501,[1]مرداد!$D$2:$D$805,$F$27,[1]مرداد!$AC$2:$AC$805,X3)</f>
        <v>0</v>
      </c>
      <c r="Y27" s="295">
        <f>SUMIFS([1]مرداد!$AH$2:$AH$805,[1]مرداد!$O$2:$O$805,7501,[1]مرداد!$D$2:$D$805,$F$27,[1]مرداد!$AC$2:$AC$805,Y3)</f>
        <v>0</v>
      </c>
      <c r="Z27" s="295">
        <f>SUMIFS([1]مرداد!$AH$2:$AH$805,[1]مرداد!$O$2:$O$805,7501,[1]مرداد!$D$2:$D$805,$F$27,[1]مرداد!$AC$2:$AC$805,Z3)</f>
        <v>0</v>
      </c>
      <c r="AA27" s="456">
        <f>SUMIFS([1]مرداد!$AH$2:$AH$805,[1]مرداد!$O$2:$O$805,7501,[1]مرداد!$D$2:$D$805,$F$27,[1]مرداد!$AC$2:$AC$805,AA3)</f>
        <v>0</v>
      </c>
      <c r="AB27" s="701">
        <f>SUMIFS([1]مرداد!$AH$2:$AH$805,[1]مرداد!$O$2:$O$805,7501,[1]مرداد!$D$2:$D$805,$F$27,[1]مرداد!$AC$2:$AC$805,AB3)</f>
        <v>0</v>
      </c>
    </row>
    <row r="28" spans="1:28" ht="33.75" hidden="1" customHeight="1" thickBot="1" x14ac:dyDescent="0.3">
      <c r="A28" s="872"/>
      <c r="B28" s="863"/>
      <c r="C28" s="863"/>
      <c r="D28" s="863"/>
      <c r="E28" s="750"/>
      <c r="F28" s="66"/>
      <c r="G28" s="4">
        <f t="shared" si="0"/>
        <v>0</v>
      </c>
      <c r="H28" s="67">
        <f t="shared" si="1"/>
        <v>0</v>
      </c>
      <c r="I28" s="1">
        <f t="shared" si="2"/>
        <v>0</v>
      </c>
      <c r="J28" s="4">
        <v>0</v>
      </c>
      <c r="K28" s="4">
        <v>0</v>
      </c>
      <c r="L28" s="4">
        <v>0</v>
      </c>
      <c r="M28" s="4"/>
      <c r="N28" s="867"/>
      <c r="O28" s="577">
        <f>SUMIFS([1]تیر!$AF$2:$AF$805,[1]تیر!$O$2:$O$805,7501,[1]تیر!$D$2:$D$805,$F$28,[1]تیر!$AC$2:$AC$805,O3)</f>
        <v>0</v>
      </c>
      <c r="P28" s="895">
        <f>SUMIFS([1]تیر!$AF$2:$AF$805,[1]تیر!$O$2:$O$805,7501,[1]تیر!$D$2:$D$805,$F$28,[1]تیر!$AC$2:$AC$805,P3)</f>
        <v>0</v>
      </c>
      <c r="Q28" s="202">
        <f>SUMIFS([1]تیر!$AF$2:$AF$805,[1]تیر!$O$2:$O$805,7501,[1]تیر!$D$2:$D$805,$F$28,[1]تیر!$AC$2:$AC$805,Q3)</f>
        <v>0</v>
      </c>
      <c r="R28" s="202">
        <f>SUMIFS([1]تیر!$AF$2:$AF$805,[1]تیر!$O$2:$O$805,7501,[1]تیر!$D$2:$D$805,$F$28,[1]تیر!$AC$2:$AC$805,R3)</f>
        <v>0</v>
      </c>
      <c r="S28" s="202">
        <f>SUMIFS([1]تیر!$AF$2:$AF$805,[1]تیر!$O$2:$O$805,7501,[1]تیر!$D$2:$D$805,$F$28,[1]تیر!$AC$2:$AC$805,S3)</f>
        <v>0</v>
      </c>
      <c r="T28" s="895">
        <f>SUMIFS([1]تیر!$AF$2:$AF$805,[1]تیر!$O$2:$O$805,7501,[1]تیر!$D$2:$D$805,$F$28,[1]تیر!$AC$2:$AC$805,T3)</f>
        <v>0</v>
      </c>
      <c r="U28" s="120">
        <f>SUMIFS([1]تیر!$AF$2:$AF$805,[1]تیر!$O$2:$O$805,7501,[1]تیر!$D$2:$D$805,$F$28,[1]تیر!$AC$2:$AC$805,U3)</f>
        <v>0</v>
      </c>
      <c r="V28" s="577">
        <f>SUMIFS([1]مرداد!$AH$2:$AH$805,[1]مرداد!$O$2:$O$805,7302,[1]مرداد!$D$2:$D$805,$F$21,[1]مرداد!$AC$2:$AC$805,V3)</f>
        <v>0</v>
      </c>
      <c r="W28" s="895">
        <f>SUMIFS([1]تیر!$AF$2:$AF$805,[1]تیر!$O$2:$O$805,7501,[1]تیر!$D$2:$D$805,$F$28,[1]تیر!$AC$2:$AC$805,W3)</f>
        <v>0</v>
      </c>
      <c r="X28" s="202">
        <f>SUMIFS([1]تیر!$AF$2:$AF$805,[1]تیر!$O$2:$O$805,7501,[1]تیر!$D$2:$D$805,$F$28,[1]تیر!$AC$2:$AC$805,X3)</f>
        <v>0</v>
      </c>
      <c r="Y28" s="202">
        <f>SUMIFS([1]تیر!$AF$2:$AF$805,[1]تیر!$O$2:$O$805,7501,[1]تیر!$D$2:$D$805,$F$28,[1]تیر!$AC$2:$AC$805,Y3)</f>
        <v>0</v>
      </c>
      <c r="Z28" s="202">
        <f>SUMIFS([1]تیر!$AF$2:$AF$805,[1]تیر!$O$2:$O$805,7501,[1]تیر!$D$2:$D$805,$F$28,[1]تیر!$AC$2:$AC$805,Z3)</f>
        <v>0</v>
      </c>
      <c r="AA28" s="895">
        <f>SUMIFS([1]تیر!$AF$2:$AF$805,[1]تیر!$O$2:$O$805,7501,[1]تیر!$D$2:$D$805,$F$28,[1]تیر!$AC$2:$AC$805,AA3)</f>
        <v>0</v>
      </c>
      <c r="AB28" s="120">
        <f>SUMIFS([1]تیر!$AF$2:$AF$805,[1]تیر!$O$2:$O$805,7501,[1]تیر!$D$2:$D$805,$F$28,[1]تیر!$AC$2:$AC$805,AB3)</f>
        <v>0</v>
      </c>
    </row>
    <row r="29" spans="1:28" ht="33.75" hidden="1" customHeight="1" thickBot="1" x14ac:dyDescent="0.3">
      <c r="A29" s="875"/>
      <c r="B29" s="12"/>
      <c r="C29" s="13"/>
      <c r="D29" s="13"/>
      <c r="E29" s="767"/>
      <c r="F29" s="16"/>
      <c r="G29" s="14">
        <f t="shared" si="0"/>
        <v>0</v>
      </c>
      <c r="H29" s="48">
        <f t="shared" si="1"/>
        <v>0</v>
      </c>
      <c r="I29" s="885">
        <f t="shared" si="2"/>
        <v>0</v>
      </c>
      <c r="J29" s="209">
        <v>0</v>
      </c>
      <c r="K29" s="209">
        <v>0</v>
      </c>
      <c r="L29" s="209">
        <v>0</v>
      </c>
      <c r="M29" s="14"/>
      <c r="N29" s="18"/>
      <c r="O29" s="295">
        <f>SUMIFS([1]تیر!$AF$2:$AF$805,[1]تیر!$O$2:$O$805,7502,[1]تیر!$D$2:$D$805,$F$29,[1]تیر!$AC$2:$AC$805,O3)</f>
        <v>0</v>
      </c>
      <c r="P29" s="99">
        <f>SUMIFS([1]تیر!$AF$2:$AF$805,[1]تیر!$O$2:$O$805,7502,[1]تیر!$D$2:$D$805,$F$29,[1]تیر!$AC$2:$AC$805,P3)</f>
        <v>0</v>
      </c>
      <c r="Q29" s="177">
        <f>SUMIFS([1]تیر!$AF$2:$AF$805,[1]تیر!$O$2:$O$805,7502,[1]تیر!$D$2:$D$805,$F$29,[1]تیر!$AC$2:$AC$805,Q3)</f>
        <v>0</v>
      </c>
      <c r="R29" s="177">
        <f>SUMIFS([1]تیر!$AF$2:$AF$805,[1]تیر!$O$2:$O$805,7502,[1]تیر!$D$2:$D$805,$F$29,[1]تیر!$AC$2:$AC$805,R3)</f>
        <v>0</v>
      </c>
      <c r="S29" s="177">
        <f>SUMIFS([1]تیر!$AF$2:$AF$805,[1]تیر!$O$2:$O$805,7502,[1]تیر!$D$2:$D$805,$F$29,[1]تیر!$AC$2:$AC$805,S3)</f>
        <v>0</v>
      </c>
      <c r="T29" s="99">
        <f>SUMIFS([1]مرداد!$AF$2:$AF$805,[1]مرداد!$O$2:$O$805,7502,[1]مرداد!$D$2:$D$805,F29,[1]مرداد!$AC$2:$AC$805,$T$3)</f>
        <v>0</v>
      </c>
      <c r="U29" s="113">
        <f>SUMIFS([1]تیر!$AF$2:$AF$805,[1]تیر!$O$2:$O$805,7502,[1]تیر!$D$2:$D$805,$F$29,[1]تیر!$AC$2:$AC$805,U3)</f>
        <v>0</v>
      </c>
      <c r="V29" s="295">
        <f>SUMIFS([1]تیر!$AF$2:$AF$805,[1]تیر!$O$2:$O$805,7502,[1]تیر!$D$2:$D$805,$F$29,[1]تیر!$AC$2:$AC$805,V3)</f>
        <v>0</v>
      </c>
      <c r="W29" s="99">
        <f>SUMIFS([1]تیر!$AF$2:$AF$805,[1]تیر!$O$2:$O$805,7502,[1]تیر!$D$2:$D$805,$F$29,[1]تیر!$AC$2:$AC$805,W3)</f>
        <v>0</v>
      </c>
      <c r="X29" s="177">
        <f>SUMIFS([1]تیر!$AF$2:$AF$805,[1]تیر!$O$2:$O$805,7502,[1]تیر!$D$2:$D$805,$F$29,[1]تیر!$AC$2:$AC$805,X3)</f>
        <v>0</v>
      </c>
      <c r="Y29" s="177">
        <f>SUMIFS([1]تیر!$AF$2:$AF$805,[1]تیر!$O$2:$O$805,7502,[1]تیر!$D$2:$D$805,$F$29,[1]تیر!$AC$2:$AC$805,Y3)</f>
        <v>0</v>
      </c>
      <c r="Z29" s="177">
        <f>SUMIFS([1]تیر!$AF$2:$AF$805,[1]تیر!$O$2:$O$805,7502,[1]تیر!$D$2:$D$805,$F$29,[1]تیر!$AC$2:$AC$805,Z3)</f>
        <v>0</v>
      </c>
      <c r="AA29" s="99">
        <f>SUMIFS([1]مرداد!$AF$2:$AF$805,[1]مرداد!$O$2:$O$805,7502,[1]مرداد!$D$2:$D$805,M29,[1]مرداد!$AC$2:$AC$805,$T$3)</f>
        <v>0</v>
      </c>
      <c r="AB29" s="113">
        <f>SUMIFS([1]تیر!$AF$2:$AF$805,[1]تیر!$O$2:$O$805,7502,[1]تیر!$D$2:$D$805,$F$29,[1]تیر!$AC$2:$AC$805,AB3)</f>
        <v>0</v>
      </c>
    </row>
    <row r="30" spans="1:28" ht="33.75" customHeight="1" thickBot="1" x14ac:dyDescent="0.3">
      <c r="A30" s="45">
        <v>13</v>
      </c>
      <c r="B30" s="984" t="s">
        <v>25</v>
      </c>
      <c r="C30" s="936">
        <v>7502</v>
      </c>
      <c r="D30" s="933">
        <v>55</v>
      </c>
      <c r="E30" s="936" t="s">
        <v>15</v>
      </c>
      <c r="F30" s="27" t="s">
        <v>36</v>
      </c>
      <c r="G30" s="1">
        <f t="shared" si="0"/>
        <v>44</v>
      </c>
      <c r="H30" s="49">
        <f t="shared" si="1"/>
        <v>0</v>
      </c>
      <c r="I30" s="885">
        <f t="shared" si="2"/>
        <v>0</v>
      </c>
      <c r="J30" s="1">
        <v>0</v>
      </c>
      <c r="K30" s="1">
        <v>0</v>
      </c>
      <c r="L30" s="1">
        <v>0</v>
      </c>
      <c r="M30" s="1">
        <f>SUM(G29:L31)-D30</f>
        <v>-11</v>
      </c>
      <c r="N30" s="988" t="s">
        <v>42</v>
      </c>
      <c r="O30" s="353">
        <f>SUMIFS([1]شهریور!$AF$2:$AF$805,[1]شهریور!$O$2:$O$805,7502,[1]شهریور!$D$2:$D$805,$F$30,[1]شهریور!$AC$2:$AC$805,O3)</f>
        <v>11</v>
      </c>
      <c r="P30" s="455">
        <f>SUMIFS([1]شهریور!$AF$2:$AF$805,[1]شهریور!$O$2:$O$805,7502,[1]شهریور!$D$2:$D$805,$F$30,[1]شهریور!$AC$2:$AC$805,P3)</f>
        <v>11</v>
      </c>
      <c r="Q30" s="353">
        <f>SUMIFS([1]شهریور!$AF$2:$AF$805,[1]شهریور!$O$2:$O$805,7502,[1]شهریور!$D$2:$D$805,$F$30,[1]شهریور!$AC$2:$AC$805,Q3)</f>
        <v>11</v>
      </c>
      <c r="R30" s="353">
        <f>SUMIFS([1]شهریور!$AF$2:$AF$805,[1]شهریور!$O$2:$O$805,7502,[1]شهریور!$D$2:$D$805,$F$30,[1]شهریور!$AC$2:$AC$805,R3)</f>
        <v>0</v>
      </c>
      <c r="S30" s="353">
        <f>SUMIFS([1]شهریور!$AF$2:$AF$805,[1]شهریور!$O$2:$O$805,7502,[1]شهریور!$D$2:$D$805,$F$30,[1]شهریور!$AC$2:$AC$805,S3)</f>
        <v>11</v>
      </c>
      <c r="T30" s="455">
        <f>SUMIFS([1]شهریور!$AF$2:$AF$805,[1]شهریور!$O$2:$O$805,7502,[1]شهریور!$D$2:$D$805,$F$30,[1]شهریور!$AC$2:$AC$805,T3)</f>
        <v>0</v>
      </c>
      <c r="U30" s="455">
        <f>SUMIFS([1]شهریور!$AF$2:$AF$805,[1]شهریور!$O$2:$O$805,7502,[1]شهریور!$D$2:$D$805,$F$30,[1]شهریور!$AC$2:$AC$805,U3)</f>
        <v>0</v>
      </c>
      <c r="V30" s="353">
        <f>SUMIFS([1]مرداد!$AH$2:$AH$805,[1]مرداد!$O$2:$O$805,7502,[1]مرداد!$D$2:$D$805,$F$30,[1]مرداد!$AC$2:$AC$805,V3)</f>
        <v>0</v>
      </c>
      <c r="W30" s="455">
        <f>SUMIFS([1]مرداد!$AH$2:$AH$805,[1]مرداد!$O$2:$O$805,7502,[1]مرداد!$D$2:$D$805,$F$30,[1]مرداد!$AC$2:$AC$805,W3)</f>
        <v>0</v>
      </c>
      <c r="X30" s="353">
        <f>SUMIFS([1]مرداد!$AH$2:$AH$805,[1]مرداد!$O$2:$O$805,7502,[1]مرداد!$D$2:$D$805,$F$30,[1]مرداد!$AC$2:$AC$805,X3)</f>
        <v>0</v>
      </c>
      <c r="Y30" s="353">
        <f>SUMIFS([1]مرداد!$AH$2:$AH$805,[1]مرداد!$O$2:$O$805,7502,[1]مرداد!$D$2:$D$805,$F$30,[1]مرداد!$AC$2:$AC$805,Y3)</f>
        <v>0</v>
      </c>
      <c r="Z30" s="353">
        <f>SUMIFS([1]مرداد!$AH$2:$AH$805,[1]مرداد!$O$2:$O$805,7502,[1]مرداد!$D$2:$D$805,$F$30,[1]مرداد!$AC$2:$AC$805,Z3)</f>
        <v>0</v>
      </c>
      <c r="AA30" s="455">
        <f>SUMIFS([1]مرداد!$AH$2:$AH$805,[1]مرداد!$O$2:$O$805,7502,[1]مرداد!$D$2:$D$805,$F$30,[1]مرداد!$AC$2:$AC$805,AA3)</f>
        <v>0</v>
      </c>
      <c r="AB30" s="455">
        <f>SUMIFS([1]مرداد!$AH$2:$AH$805,[1]مرداد!$O$2:$O$805,7502,[1]مرداد!$D$2:$D$805,$F$30,[1]مرداد!$AC$2:$AC$805,AB3)</f>
        <v>0</v>
      </c>
    </row>
    <row r="31" spans="1:28" ht="33.75" customHeight="1" thickBot="1" x14ac:dyDescent="0.3">
      <c r="A31" s="876"/>
      <c r="B31" s="984"/>
      <c r="C31" s="936"/>
      <c r="D31" s="933"/>
      <c r="E31" s="936"/>
      <c r="F31" s="66"/>
      <c r="G31" s="4">
        <f t="shared" si="0"/>
        <v>0</v>
      </c>
      <c r="H31" s="765">
        <f t="shared" si="1"/>
        <v>0</v>
      </c>
      <c r="I31" s="1">
        <f t="shared" si="2"/>
        <v>0</v>
      </c>
      <c r="J31" s="4">
        <v>0</v>
      </c>
      <c r="K31" s="4">
        <v>0</v>
      </c>
      <c r="L31" s="4">
        <v>0</v>
      </c>
      <c r="M31" s="4"/>
      <c r="N31" s="988"/>
      <c r="O31" s="577">
        <f>SUMIFS([1]مرداد!$AF$2:$AF$805,[1]مرداد!$O$2:$O$805,7502,[1]مرداد!$D$2:$D$805,$F$31,[1]مرداد!$AC$2:$AC$805,O3)</f>
        <v>0</v>
      </c>
      <c r="P31" s="578">
        <f>SUMIFS([1]مرداد!$AF$2:$AF$805,[1]مرداد!$O$2:$O$805,7502,[1]مرداد!$D$2:$D$805,$F$31,[1]مرداد!$AC$2:$AC$805,P3)</f>
        <v>0</v>
      </c>
      <c r="Q31" s="577">
        <f>SUMIFS([1]مرداد!$AF$2:$AF$805,[1]مرداد!$O$2:$O$805,7502,[1]مرداد!$D$2:$D$805,$F$31,[1]مرداد!$AC$2:$AC$805,Q3)</f>
        <v>0</v>
      </c>
      <c r="R31" s="577">
        <f>SUMIFS([1]مرداد!$AF$2:$AF$805,[1]مرداد!$O$2:$O$805,7502,[1]مرداد!$D$2:$D$805,$F$31,[1]مرداد!$AC$2:$AC$805,R3)</f>
        <v>0</v>
      </c>
      <c r="S31" s="577">
        <f>SUMIFS([1]مرداد!$AF$2:$AF$805,[1]مرداد!$O$2:$O$805,7502,[1]مرداد!$D$2:$D$805,$F$31,[1]مرداد!$AC$2:$AC$805,S3)</f>
        <v>0</v>
      </c>
      <c r="T31" s="578">
        <f>SUMIFS([1]مرداد!$AF$2:$AF$805,[1]مرداد!$O$2:$O$805,7502,[1]مرداد!$D$2:$D$805,$F$31,[1]مرداد!$AC$2:$AC$805,T3)</f>
        <v>0</v>
      </c>
      <c r="U31" s="578">
        <f>SUMIFS([1]مرداد!$AF$2:$AF$805,[1]مرداد!$O$2:$O$805,7502,[1]مرداد!$D$2:$D$805,$F$31,[1]مرداد!$AC$2:$AC$805,U3)</f>
        <v>0</v>
      </c>
      <c r="V31" s="577">
        <f>SUMIFS([1]مرداد!$AH$2:$AH$805,[1]مرداد!$O$2:$O$805,7502,[1]مرداد!$D$2:$D$805,$F$31,[1]مرداد!$AC$2:$AC$805,V3)</f>
        <v>0</v>
      </c>
      <c r="W31" s="578">
        <f>SUMIFS([1]مرداد!$AF$2:$AF$805,[1]مرداد!$O$2:$O$805,7502,[1]مرداد!$D$2:$D$805,$F$31,[1]مرداد!$AC$2:$AC$805,W3)</f>
        <v>0</v>
      </c>
      <c r="X31" s="577">
        <f>SUMIFS([1]مرداد!$AF$2:$AF$805,[1]مرداد!$O$2:$O$805,7502,[1]مرداد!$D$2:$D$805,$F$31,[1]مرداد!$AC$2:$AC$805,X3)</f>
        <v>0</v>
      </c>
      <c r="Y31" s="577">
        <f>SUMIFS([1]مرداد!$AF$2:$AF$805,[1]مرداد!$O$2:$O$805,7502,[1]مرداد!$D$2:$D$805,$F$31,[1]مرداد!$AC$2:$AC$805,Y3)</f>
        <v>0</v>
      </c>
      <c r="Z31" s="577">
        <f>SUMIFS([1]مرداد!$AF$2:$AF$805,[1]مرداد!$O$2:$O$805,7502,[1]مرداد!$D$2:$D$805,$F$31,[1]مرداد!$AC$2:$AC$805,Z3)</f>
        <v>0</v>
      </c>
      <c r="AA31" s="578">
        <f>SUMIFS([1]مرداد!$AF$2:$AF$805,[1]مرداد!$O$2:$O$805,7502,[1]مرداد!$D$2:$D$805,$F$31,[1]مرداد!$AC$2:$AC$805,AA3)</f>
        <v>0</v>
      </c>
      <c r="AB31" s="578">
        <f>SUMIFS([1]مرداد!$AF$2:$AF$805,[1]مرداد!$O$2:$O$805,7502,[1]مرداد!$D$2:$D$805,$F$31,[1]مرداد!$AC$2:$AC$805,AB3)</f>
        <v>0</v>
      </c>
    </row>
    <row r="32" spans="1:28" ht="33.75" customHeight="1" x14ac:dyDescent="0.25">
      <c r="A32" s="939">
        <v>14</v>
      </c>
      <c r="B32" s="83" t="s">
        <v>26</v>
      </c>
      <c r="C32" s="848">
        <v>7601</v>
      </c>
      <c r="D32" s="848">
        <f>72-8</f>
        <v>64</v>
      </c>
      <c r="E32" s="914" t="s">
        <v>15</v>
      </c>
      <c r="F32" s="84" t="s">
        <v>27</v>
      </c>
      <c r="G32" s="85">
        <f t="shared" si="0"/>
        <v>36</v>
      </c>
      <c r="H32" s="46">
        <f t="shared" si="1"/>
        <v>0</v>
      </c>
      <c r="I32" s="885">
        <f t="shared" si="2"/>
        <v>0</v>
      </c>
      <c r="J32" s="85">
        <v>0</v>
      </c>
      <c r="K32" s="85">
        <v>0</v>
      </c>
      <c r="L32" s="85">
        <v>0</v>
      </c>
      <c r="M32" s="87">
        <f>(J32+J33+I33+I32+H32+H33+G33+G32+L32+K32)-D32</f>
        <v>-28</v>
      </c>
      <c r="N32" s="941" t="str">
        <f>IF(I18&gt;0,"②","")</f>
        <v>②</v>
      </c>
      <c r="O32" s="298">
        <f>SUMIFS([1]شهریور!$AF$2:$AF$805,[1]شهریور!$O$2:$O$805,7601,[1]شهریور!$D$2:$D$805,$F$32,[1]شهریور!$AC$2:$AC$805,O3)</f>
        <v>0</v>
      </c>
      <c r="P32" s="464">
        <f>SUMIFS([1]شهریور!$AF$2:$AF$805,[1]شهریور!$O$2:$O$805,7601,[1]شهریور!$D$2:$D$805,$F$32,[1]شهریور!$AC$2:$AC$805,P3)</f>
        <v>9</v>
      </c>
      <c r="Q32" s="298">
        <f>SUMIFS([1]شهریور!$AF$2:$AF$805,[1]شهریور!$O$2:$O$805,7601,[1]شهریور!$D$2:$D$805,$F$32,[1]شهریور!$AC$2:$AC$805,Q3)</f>
        <v>12</v>
      </c>
      <c r="R32" s="298">
        <f>SUMIFS([1]شهریور!$AF$2:$AF$805,[1]شهریور!$O$2:$O$805,7601,[1]شهریور!$D$2:$D$805,$F$32,[1]شهریور!$AC$2:$AC$805,R3)</f>
        <v>3</v>
      </c>
      <c r="S32" s="298">
        <f>SUMIFS([1]شهریور!$AF$2:$AF$805,[1]شهریور!$O$2:$O$805,7601,[1]شهریور!$D$2:$D$805,$F$32,[1]شهریور!$AC$2:$AC$805,S3)</f>
        <v>12</v>
      </c>
      <c r="T32" s="464">
        <f>SUMIFS([1]شهریور!$AF$2:$AF$805,[1]شهریور!$O$2:$O$805,7601,[1]شهریور!$D$2:$D$805,$F$32,[1]شهریور!$AC$2:$AC$805,T3)</f>
        <v>0</v>
      </c>
      <c r="U32" s="464">
        <f>SUMIFS([1]شهریور!$AF$2:$AF$805,[1]شهریور!$O$2:$O$805,7601,[1]شهریور!$D$2:$D$805,$F$32,[1]شهریور!$AC$2:$AC$805,U3)</f>
        <v>0</v>
      </c>
      <c r="V32" s="187">
        <f>SUMIFS([1]شهریور!$AH$2:$AH$805,[1]شهریور!$O$2:$O$805,7601,[1]شهریور!$D$2:$D$805,$F$32,[1]شهریور!$AC$2:$AC$805,V3)</f>
        <v>0</v>
      </c>
      <c r="W32" s="163">
        <f>SUMIFS([1]شهریور!$AH$2:$AH$805,[1]شهریور!$O$2:$O$805,7601,[1]شهریور!$D$2:$D$805,$F$32,[1]شهریور!$AC$2:$AC$805,W3)</f>
        <v>0</v>
      </c>
      <c r="X32" s="187">
        <f>SUMIFS([1]شهریور!$AH$2:$AH$805,[1]شهریور!$O$2:$O$805,7601,[1]شهریور!$D$2:$D$805,$F$32,[1]شهریور!$AC$2:$AC$805,X3)</f>
        <v>0</v>
      </c>
      <c r="Y32" s="187">
        <f>SUMIFS([1]شهریور!$AH$2:$AH$805,[1]شهریور!$O$2:$O$805,7601,[1]شهریور!$D$2:$D$805,$F$32,[1]شهریور!$AC$2:$AC$805,Y3)</f>
        <v>0</v>
      </c>
      <c r="Z32" s="187">
        <f>SUMIFS([1]شهریور!$AH$2:$AH$805,[1]شهریور!$O$2:$O$805,7601,[1]شهریور!$D$2:$D$805,$F$32,[1]شهریور!$AC$2:$AC$805,Z3)</f>
        <v>0</v>
      </c>
      <c r="AA32" s="163">
        <f>SUMIFS([1]شهریور!$AH$2:$AH$805,[1]شهریور!$O$2:$O$805,7601,[1]شهریور!$D$2:$D$805,$F$32,[1]شهریور!$AC$2:$AC$805,AA3)</f>
        <v>0</v>
      </c>
      <c r="AB32" s="163">
        <f>SUMIFS([1]شهریور!$AH$2:$AH$805,[1]شهریور!$O$2:$O$805,7601,[1]شهریور!$D$2:$D$805,$F$32,[1]شهریور!$AC$2:$AC$805,AB3)</f>
        <v>0</v>
      </c>
    </row>
    <row r="33" spans="1:28" ht="33.75" customHeight="1" thickBot="1" x14ac:dyDescent="0.3">
      <c r="A33" s="940"/>
      <c r="B33" s="123"/>
      <c r="C33" s="849"/>
      <c r="D33" s="849"/>
      <c r="E33" s="915"/>
      <c r="F33" s="124"/>
      <c r="G33" s="126">
        <f t="shared" si="0"/>
        <v>0</v>
      </c>
      <c r="H33" s="761">
        <f t="shared" si="1"/>
        <v>0</v>
      </c>
      <c r="I33" s="1">
        <f t="shared" si="2"/>
        <v>0</v>
      </c>
      <c r="J33" s="125">
        <v>0</v>
      </c>
      <c r="K33" s="126">
        <v>0</v>
      </c>
      <c r="L33" s="126">
        <v>0</v>
      </c>
      <c r="M33" s="127"/>
      <c r="N33" s="917"/>
      <c r="O33" s="299">
        <f>SUMIFS([1]مرداد!$AF$2:$AF$805,[1]مرداد!$O$2:$O$805,7601,[1]مرداد!$D$2:$D$805,$F$33,[1]مرداد!$AC$2:$AC$805,O3)</f>
        <v>0</v>
      </c>
      <c r="P33" s="896">
        <f>SUMIFS([1]مرداد!$AF$2:$AF$805,[1]مرداد!$O$2:$O$805,7601,[1]مرداد!$D$2:$D$805,$F$33,[1]مرداد!$AC$2:$AC$805,P3)</f>
        <v>0</v>
      </c>
      <c r="Q33" s="299">
        <f>SUMIFS([1]مرداد!$AF$2:$AF$805,[1]مرداد!$O$2:$O$805,7601,[1]مرداد!$D$2:$D$805,$F$33,[1]مرداد!$AC$2:$AC$805,Q3)</f>
        <v>0</v>
      </c>
      <c r="R33" s="299">
        <f>SUMIFS([1]مرداد!$AF$2:$AF$805,[1]مرداد!$O$2:$O$805,7601,[1]مرداد!$D$2:$D$805,$F$33,[1]مرداد!$AC$2:$AC$805,R3)</f>
        <v>0</v>
      </c>
      <c r="S33" s="299">
        <f>SUMIFS([1]مرداد!$AF$2:$AF$805,[1]مرداد!$O$2:$O$805,7601,[1]مرداد!$D$2:$D$805,$F$33,[1]مرداد!$AC$2:$AC$805,S3)</f>
        <v>0</v>
      </c>
      <c r="T33" s="896">
        <f>SUMIFS([1]مرداد!$AF$2:$AF$805,[1]مرداد!$O$2:$O$805,7601,[1]مرداد!$D$2:$D$805,$F$33,[1]مرداد!$AC$2:$AC$805,T3)</f>
        <v>0</v>
      </c>
      <c r="U33" s="897">
        <f>SUMIFS([1]مرداد!$AF$2:$AF$805,[1]مرداد!$O$2:$O$805,7601,[1]مرداد!$D$2:$D$805,$F$33,[1]مرداد!$AC$2:$AC$805,U3)</f>
        <v>0</v>
      </c>
      <c r="V33" s="274">
        <f>SUMIFS([1]مرداد!$AH$2:$AH$805,[1]مرداد!$O$2:$O$805,7601,[1]مرداد!$D$2:$D$805,$F$33,[1]مرداد!$AC$2:$AC$805,V3)</f>
        <v>0</v>
      </c>
      <c r="W33" s="896">
        <f>SUMIFS([1]مرداد!$AH$2:$AH$805,[1]مرداد!$O$2:$O$805,7601,[1]مرداد!$D$2:$D$805,$F$33,[1]مرداد!$AC$2:$AC$805,W3)</f>
        <v>0</v>
      </c>
      <c r="X33" s="299">
        <f>SUMIFS([1]مرداد!$AH$2:$AH$805,[1]مرداد!$O$2:$O$805,7601,[1]مرداد!$D$2:$D$805,$F$33,[1]مرداد!$AC$2:$AC$805,X3)</f>
        <v>0</v>
      </c>
      <c r="Y33" s="299">
        <f>SUMIFS([1]مرداد!$AH$2:$AH$805,[1]مرداد!$O$2:$O$805,7601,[1]مرداد!$D$2:$D$805,$F$33,[1]مرداد!$AC$2:$AC$805,Y3)</f>
        <v>0</v>
      </c>
      <c r="Z33" s="299">
        <f>SUMIFS([1]مرداد!$AH$2:$AH$805,[1]مرداد!$O$2:$O$805,7601,[1]مرداد!$D$2:$D$805,$F$33,[1]مرداد!$AC$2:$AC$805,Z3)</f>
        <v>0</v>
      </c>
      <c r="AA33" s="896">
        <f>SUMIFS([1]مرداد!$AH$2:$AH$805,[1]مرداد!$O$2:$O$805,7601,[1]مرداد!$D$2:$D$805,$F$33,[1]مرداد!$AC$2:$AC$805,AA3)</f>
        <v>0</v>
      </c>
      <c r="AB33" s="897">
        <f>SUMIFS([1]مرداد!$AH$2:$AH$805,[1]مرداد!$O$2:$O$805,7601,[1]مرداد!$D$2:$D$805,$F$33,[1]مرداد!$AC$2:$AC$805,AB3)</f>
        <v>0</v>
      </c>
    </row>
    <row r="34" spans="1:28" ht="33.75" customHeight="1" x14ac:dyDescent="0.25">
      <c r="A34" s="912">
        <v>15</v>
      </c>
      <c r="B34" s="83" t="s">
        <v>26</v>
      </c>
      <c r="C34" s="848">
        <v>7602</v>
      </c>
      <c r="D34" s="848">
        <v>64</v>
      </c>
      <c r="E34" s="914" t="s">
        <v>15</v>
      </c>
      <c r="F34" s="84" t="s">
        <v>27</v>
      </c>
      <c r="G34" s="885">
        <f t="shared" si="0"/>
        <v>34</v>
      </c>
      <c r="H34" s="46">
        <f t="shared" si="1"/>
        <v>0</v>
      </c>
      <c r="I34" s="885">
        <f t="shared" si="2"/>
        <v>0</v>
      </c>
      <c r="J34" s="85">
        <v>0</v>
      </c>
      <c r="K34" s="85">
        <v>0</v>
      </c>
      <c r="L34" s="85">
        <v>0</v>
      </c>
      <c r="M34" s="87">
        <f>(J34+J35+I35+I34+H34+H35+G35+G34)-D34</f>
        <v>-30</v>
      </c>
      <c r="N34" s="916" t="s">
        <v>13</v>
      </c>
      <c r="O34" s="292">
        <f>SUMIFS([1]شهریور!$AF$2:$AF$805,[1]شهریور!$O$2:$O$805,7602,[1]شهریور!$D$2:$D$805,$F$34,[1]شهریور!$AC$2:$AC$805,O3)</f>
        <v>12</v>
      </c>
      <c r="P34" s="393">
        <f>SUMIFS([1]شهریور!$AF$2:$AF$805,[1]شهریور!$O$2:$O$805,7602,[1]شهریور!$D$2:$D$805,$F$34,[1]شهریور!$AC$2:$AC$805,P3)</f>
        <v>3</v>
      </c>
      <c r="Q34" s="292">
        <f>SUMIFS([1]شهریور!$AF$2:$AF$805,[1]شهریور!$O$2:$O$805,7602,[1]شهریور!$D$2:$D$805,$F$34,[1]شهریور!$AC$2:$AC$805,Q3)</f>
        <v>7</v>
      </c>
      <c r="R34" s="292">
        <f>SUMIFS([1]شهریور!$AF$2:$AF$805,[1]شهریور!$O$2:$O$805,7602,[1]شهریور!$D$2:$D$805,$F$34,[1]شهریور!$AC$2:$AC$805,R3)</f>
        <v>3</v>
      </c>
      <c r="S34" s="292">
        <f>SUMIFS([1]شهریور!$AF$2:$AF$805,[1]شهریور!$O$2:$O$805,7602,[1]شهریور!$D$2:$D$805,$F$34,[1]شهریور!$AC$2:$AC$805,S3)</f>
        <v>9</v>
      </c>
      <c r="T34" s="393">
        <f>SUMIFS([1]شهریور!$AF$2:$AF$805,[1]شهریور!$O$2:$O$805,7602,[1]شهریور!$D$2:$D$805,$F$34,[1]شهریور!$AC$2:$AC$805,T3)</f>
        <v>0</v>
      </c>
      <c r="U34" s="393">
        <f>SUMIFS([1]شهریور!$AF$2:$AF$805,[1]شهریور!$O$2:$O$805,7602,[1]شهریور!$D$2:$D$805,$F$34,[1]شهریور!$AC$2:$AC$805,U3)</f>
        <v>0</v>
      </c>
      <c r="V34" s="165">
        <f>SUMIFS([1]شهریور!$AH$2:$AH$805,[1]شهریور!$O$2:$O$805,7602,[1]شهریور!$D$2:$D$805,$F$36,[1]شهریور!$AC$2:$AC$805,V3)</f>
        <v>0</v>
      </c>
      <c r="W34" s="159">
        <f>SUMIFS([1]شهریور!$AH$2:$AH$805,[1]شهریور!$O$2:$O$805,7602,[1]شهریور!$D$2:$D$805,$F$36,[1]شهریور!$AC$2:$AC$805,W3)</f>
        <v>0</v>
      </c>
      <c r="X34" s="165">
        <f>SUMIFS([1]شهریور!$AH$2:$AH$805,[1]شهریور!$O$2:$O$805,7602,[1]شهریور!$D$2:$D$805,$F$36,[1]شهریور!$AC$2:$AC$805,X3)</f>
        <v>0</v>
      </c>
      <c r="Y34" s="165">
        <f>SUMIFS([1]شهریور!$AH$2:$AH$805,[1]شهریور!$O$2:$O$805,7602,[1]شهریور!$D$2:$D$805,$F$36,[1]شهریور!$AC$2:$AC$805,Y3)</f>
        <v>0</v>
      </c>
      <c r="Z34" s="165">
        <f>SUMIFS([1]شهریور!$AH$2:$AH$805,[1]شهریور!$O$2:$O$805,7602,[1]شهریور!$D$2:$D$805,$F$36,[1]شهریور!$AC$2:$AC$805,Z3)</f>
        <v>0</v>
      </c>
      <c r="AA34" s="159">
        <f>SUMIFS([1]شهریور!$AH$2:$AH$805,[1]شهریور!$O$2:$O$805,7602,[1]شهریور!$D$2:$D$805,$F$36,[1]شهریور!$AC$2:$AC$805,AA3)</f>
        <v>0</v>
      </c>
      <c r="AB34" s="159">
        <f>SUMIFS([1]شهریور!$AH$2:$AH$805,[1]شهریور!$O$2:$O$805,7602,[1]شهریور!$D$2:$D$805,$F$36,[1]شهریور!$AC$2:$AC$805,AB3)</f>
        <v>0</v>
      </c>
    </row>
    <row r="35" spans="1:28" ht="33.75" customHeight="1" thickBot="1" x14ac:dyDescent="0.3">
      <c r="A35" s="913"/>
      <c r="B35" s="123"/>
      <c r="C35" s="849"/>
      <c r="D35" s="849"/>
      <c r="E35" s="915"/>
      <c r="F35" s="124"/>
      <c r="G35" s="6">
        <f t="shared" si="0"/>
        <v>0</v>
      </c>
      <c r="H35" s="761">
        <f t="shared" si="1"/>
        <v>0</v>
      </c>
      <c r="I35" s="1">
        <f t="shared" si="2"/>
        <v>0</v>
      </c>
      <c r="J35" s="125">
        <v>0</v>
      </c>
      <c r="K35" s="126">
        <v>0</v>
      </c>
      <c r="L35" s="126">
        <v>0</v>
      </c>
      <c r="M35" s="127"/>
      <c r="N35" s="917"/>
      <c r="O35" s="294">
        <f>SUMIFS([1]اردیبهشت!$AD$2:$AD$805,[1]اردیبهشت!$N$2:$N$805,$C$34,[1]اردیبهشت!$D$2:$D$805,$F$35,[1]اردیبهشت!$AA$2:$AA$805,O3)</f>
        <v>0</v>
      </c>
      <c r="P35" s="103">
        <f>SUMIFS([1]اردیبهشت!$AD$2:$AD$600,[1]اردیبهشت!$N$2:$N$600,$C$34,[1]اردیبهشت!$D$2:$D$600,$F$35,[1]اردیبهشت!$AA$2:$AA$600,P3)</f>
        <v>0</v>
      </c>
      <c r="Q35" s="172">
        <f>SUMIFS([1]اردیبهشت!$AD$2:$AD$600,[1]اردیبهشت!$N$2:$N$600,$C$34,[1]اردیبهشت!$D$2:$D$600,$F$35,[1]اردیبهشت!$AA$2:$AA$600,Q3)</f>
        <v>0</v>
      </c>
      <c r="R35" s="172">
        <f>SUMIFS([1]اردیبهشت!$AD$2:$AD$600,[1]اردیبهشت!$N$2:$N$600,$C$34,[1]اردیبهشت!$D$2:$D$600,$F$35,[1]اردیبهشت!$AA$2:$AA$600,R3)</f>
        <v>0</v>
      </c>
      <c r="S35" s="172">
        <f>SUMIFS([1]اردیبهشت!$AD$2:$AD$600,[1]اردیبهشت!$N$2:$N$600,$C$34,[1]اردیبهشت!$D$2:$D$600,$F$35,[1]اردیبهشت!$AA$2:$AA$600,S3)</f>
        <v>0</v>
      </c>
      <c r="T35" s="103">
        <f>SUMIFS([1]اردیبهشت!$AD$2:$AD$600,[1]اردیبهشت!$N$2:$N$600,$C$34,[1]اردیبهشت!$D$2:$D$600,$F$35,[1]اردیبهشت!$AA$2:$AA$600,T3)</f>
        <v>0</v>
      </c>
      <c r="U35" s="109">
        <f>SUMIFS([1]خرداد!$AF$2:$AF$700,[1]خرداد!$O$2:$O$700,7101,[1]خرداد!$D$2:$D$700,$F$4,[1]خرداد!$AC$2:$AC$700,U34)</f>
        <v>0</v>
      </c>
      <c r="V35" s="171">
        <f>SUMIFS([1]مرداد!$AH$2:$AH$805,[1]مرداد!$O$2:$O$805,7602,[1]مرداد!$D$2:$D$805,$F$35,[1]مرداد!$AC$2:$AC$805,V3)</f>
        <v>0</v>
      </c>
      <c r="W35" s="904">
        <f>SUMIFS([1]مرداد!$AH$2:$AH$805,[1]مرداد!$O$2:$O$805,7602,[1]مرداد!$D$2:$D$805,$F$35,[1]مرداد!$AC$2:$AC$805,W3)</f>
        <v>0</v>
      </c>
      <c r="X35" s="294">
        <f>SUMIFS([1]مرداد!$AH$2:$AH$805,[1]مرداد!$O$2:$O$805,7602,[1]مرداد!$D$2:$D$805,$F$35,[1]مرداد!$AC$2:$AC$805,X3)</f>
        <v>0</v>
      </c>
      <c r="Y35" s="294">
        <f>SUMIFS([1]مرداد!$AH$2:$AH$805,[1]مرداد!$O$2:$O$805,7602,[1]مرداد!$D$2:$D$805,$F$35,[1]مرداد!$AC$2:$AC$805,Y3)</f>
        <v>0</v>
      </c>
      <c r="Z35" s="294">
        <f>SUMIFS([1]مرداد!$AH$2:$AH$805,[1]مرداد!$O$2:$O$805,7602,[1]مرداد!$D$2:$D$805,$F$35,[1]مرداد!$AC$2:$AC$805,Z3)</f>
        <v>0</v>
      </c>
      <c r="AA35" s="904">
        <f>SUMIFS([1]مرداد!$AH$2:$AH$805,[1]مرداد!$O$2:$O$805,7602,[1]مرداد!$D$2:$D$805,$F$35,[1]مرداد!$AC$2:$AC$805,AA3)</f>
        <v>0</v>
      </c>
      <c r="AB35" s="700">
        <f>SUMIFS([1]مرداد!$AH$2:$AH$805,[1]مرداد!$O$2:$O$805,7602,[1]مرداد!$D$2:$D$805,$F$35,[1]مرداد!$AC$2:$AC$805,AB3)</f>
        <v>0</v>
      </c>
    </row>
    <row r="36" spans="1:28" ht="33.75" customHeight="1" x14ac:dyDescent="0.25">
      <c r="A36" s="912">
        <v>16</v>
      </c>
      <c r="B36" s="882" t="s">
        <v>26</v>
      </c>
      <c r="C36" s="880">
        <v>7603</v>
      </c>
      <c r="D36" s="880">
        <v>64</v>
      </c>
      <c r="E36" s="970" t="s">
        <v>15</v>
      </c>
      <c r="F36" s="91" t="s">
        <v>27</v>
      </c>
      <c r="G36" s="1">
        <f t="shared" si="0"/>
        <v>0</v>
      </c>
      <c r="H36" s="49">
        <f t="shared" si="1"/>
        <v>0</v>
      </c>
      <c r="I36" s="885">
        <f t="shared" si="2"/>
        <v>0</v>
      </c>
      <c r="J36" s="1">
        <v>0</v>
      </c>
      <c r="K36" s="1">
        <v>0</v>
      </c>
      <c r="L36" s="1">
        <v>0</v>
      </c>
      <c r="M36" s="60">
        <f>(J36+J37+I37+I36+H36+H37+G37+G36+L36+L37)-D36</f>
        <v>-64</v>
      </c>
      <c r="N36" s="928" t="s">
        <v>13</v>
      </c>
      <c r="O36" s="356">
        <f>SUMIFS([1]شهریور!$AF$2:$AF$805,[1]شهریور!$O$2:$O$805,7603,[1]شهریور!$D$2:$D$805,$F$36,[1]شهریور!$AC$2:$AC$805,O3)</f>
        <v>0</v>
      </c>
      <c r="P36" s="395">
        <f>SUMIFS([1]شهریور!$AF$2:$AF$805,[1]شهریور!$O$2:$O$805,7603,[1]شهریور!$D$2:$D$805,$F$36,[1]شهریور!$AC$2:$AC$805,P3)</f>
        <v>0</v>
      </c>
      <c r="Q36" s="356">
        <f>SUMIFS([1]شهریور!$AF$2:$AF$805,[1]شهریور!$O$2:$O$805,7603,[1]شهریور!$D$2:$D$805,$F$36,[1]شهریور!$AC$2:$AC$805,Q3)</f>
        <v>0</v>
      </c>
      <c r="R36" s="356">
        <f>SUMIFS([1]شهریور!$AF$2:$AF$805,[1]شهریور!$O$2:$O$805,7603,[1]شهریور!$D$2:$D$805,$F$36,[1]شهریور!$AC$2:$AC$805,R3)</f>
        <v>0</v>
      </c>
      <c r="S36" s="356">
        <f>SUMIFS([1]شهریور!$AF$2:$AF$805,[1]شهریور!$O$2:$O$805,7603,[1]شهریور!$D$2:$D$805,$F$36,[1]شهریور!$AC$2:$AC$805,S3)</f>
        <v>0</v>
      </c>
      <c r="T36" s="395">
        <f>SUMIFS([1]شهریور!$AF$2:$AF$805,[1]شهریور!$O$2:$O$805,7603,[1]شهریور!$D$2:$D$805,$F$36,[1]شهریور!$AC$2:$AC$805,T3)</f>
        <v>0</v>
      </c>
      <c r="U36" s="395">
        <f>SUMIFS([1]شهریور!$AF$2:$AF$805,[1]شهریور!$O$2:$O$805,7603,[1]شهریور!$D$2:$D$805,$F$36,[1]شهریور!$AC$2:$AC$805,U3)</f>
        <v>0</v>
      </c>
      <c r="V36" s="165">
        <f>SUMIFS([1]شهریور!$AH$2:$AH$805,[1]شهریور!$O$2:$O$805,7603,[1]شهریور!$D$2:$D$805,$F$36,[1]شهریور!$AC$2:$AC$805,V3)</f>
        <v>0</v>
      </c>
      <c r="W36" s="159">
        <f>SUMIFS([1]شهریور!$AH$2:$AH$805,[1]شهریور!$O$2:$O$805,7603,[1]شهریور!$D$2:$D$805,$F$36,[1]شهریور!$AC$2:$AC$805,W3)</f>
        <v>0</v>
      </c>
      <c r="X36" s="165">
        <f>SUMIFS([1]شهریور!$AH$2:$AH$805,[1]شهریور!$O$2:$O$805,7603,[1]شهریور!$D$2:$D$805,$F$36,[1]شهریور!$AC$2:$AC$805,X3)</f>
        <v>0</v>
      </c>
      <c r="Y36" s="165">
        <f>SUMIFS([1]شهریور!$AH$2:$AH$805,[1]شهریور!$O$2:$O$805,7603,[1]شهریور!$D$2:$D$805,$F$36,[1]شهریور!$AC$2:$AC$805,Y3)</f>
        <v>0</v>
      </c>
      <c r="Z36" s="165">
        <f>SUMIFS([1]شهریور!$AH$2:$AH$805,[1]شهریور!$O$2:$O$805,7603,[1]شهریور!$D$2:$D$805,$F$36,[1]شهریور!$AC$2:$AC$805,Z3)</f>
        <v>0</v>
      </c>
      <c r="AA36" s="159">
        <f>SUMIFS([1]شهریور!$AH$2:$AH$805,[1]شهریور!$O$2:$O$805,7603,[1]شهریور!$D$2:$D$805,$F$36,[1]شهریور!$AC$2:$AC$805,AA3)</f>
        <v>0</v>
      </c>
      <c r="AB36" s="159">
        <f>SUMIFS([1]شهریور!$AH$2:$AH$805,[1]شهریور!$O$2:$O$805,7603,[1]شهریور!$D$2:$D$805,$F$36,[1]شهریور!$AC$2:$AC$805,AB3)</f>
        <v>0</v>
      </c>
    </row>
    <row r="37" spans="1:28" ht="33.75" customHeight="1" thickBot="1" x14ac:dyDescent="0.3">
      <c r="A37" s="942"/>
      <c r="B37" s="856"/>
      <c r="C37" s="860"/>
      <c r="D37" s="860"/>
      <c r="E37" s="966"/>
      <c r="F37" s="24"/>
      <c r="G37" s="4">
        <f t="shared" si="0"/>
        <v>0</v>
      </c>
      <c r="H37" s="765">
        <f t="shared" si="1"/>
        <v>0</v>
      </c>
      <c r="I37" s="1">
        <f t="shared" si="2"/>
        <v>0</v>
      </c>
      <c r="J37" s="25">
        <v>0</v>
      </c>
      <c r="K37" s="4">
        <v>0</v>
      </c>
      <c r="L37" s="4">
        <v>0</v>
      </c>
      <c r="M37" s="65"/>
      <c r="N37" s="950"/>
      <c r="O37" s="352">
        <f>SUMIFS([1]اردیبهشت!$AD$2:$AD$805,[1]اردیبهشت!$N$2:$N$805,$C$36,[1]اردیبهشت!$D$2:$D$805,$F$37,[1]اردیبهشت!$AA$2:$AA$805,O3)</f>
        <v>0</v>
      </c>
      <c r="P37" s="97">
        <f>SUMIFS([1]اردیبهشت!$AD$2:$AD$600,[1]اردیبهشت!$N$2:$N$600,$C$36,[1]اردیبهشت!$D$2:$D$600,$F$37,[1]اردیبهشت!$AA$2:$AA$600,P3)</f>
        <v>0</v>
      </c>
      <c r="Q37" s="175">
        <f>SUMIFS([1]اردیبهشت!$AD$2:$AD$600,[1]اردیبهشت!$N$2:$N$600,$C$36,[1]اردیبهشت!$D$2:$D$600,$F$37,[1]اردیبهشت!$AA$2:$AA$600,Q3)</f>
        <v>0</v>
      </c>
      <c r="R37" s="175">
        <f>SUMIFS([1]اردیبهشت!$AD$2:$AD$600,[1]اردیبهشت!$N$2:$N$600,$C$36,[1]اردیبهشت!$D$2:$D$600,$F$37,[1]اردیبهشت!$AA$2:$AA$600,R3)</f>
        <v>0</v>
      </c>
      <c r="S37" s="175">
        <f>SUMIFS([1]اردیبهشت!$AD$2:$AD$600,[1]اردیبهشت!$N$2:$N$600,$C$36,[1]اردیبهشت!$D$2:$D$600,$F$37,[1]اردیبهشت!$AA$2:$AA$600,S3)</f>
        <v>0</v>
      </c>
      <c r="T37" s="97">
        <f>SUMIFS([1]اردیبهشت!$AD$2:$AD$600,[1]اردیبهشت!$N$2:$N$600,$C$36,[1]اردیبهشت!$D$2:$D$600,$F$37,[1]اردیبهشت!$AA$2:$AA$600,T3)</f>
        <v>0</v>
      </c>
      <c r="U37" s="793">
        <f>SUMIFS([1]خرداد!$AF$2:$AF$700,[1]خرداد!$O$2:$O$700,7101,[1]خرداد!$D$2:$D$700,$F$4,[1]خرداد!$AC$2:$AC$700,U36)</f>
        <v>0</v>
      </c>
      <c r="V37" s="171">
        <f>SUMIFS([1]مرداد!$AH$2:$AH$805,[1]مرداد!$O$2:$O$805,7603,[1]مرداد!$D$2:$D$805,$F$37,[1]مرداد!$AC$2:$AC$805,V3)</f>
        <v>0</v>
      </c>
      <c r="W37" s="904">
        <f>SUMIFS([1]مرداد!$AH$2:$AH$805,[1]مرداد!$O$2:$O$805,7603,[1]مرداد!$D$2:$D$805,$F$37,[1]مرداد!$AC$2:$AC$805,W3)</f>
        <v>0</v>
      </c>
      <c r="X37" s="294">
        <f>SUMIFS([1]مرداد!$AH$2:$AH$805,[1]مرداد!$O$2:$O$805,7603,[1]مرداد!$D$2:$D$805,$F$37,[1]مرداد!$AC$2:$AC$805,X3)</f>
        <v>0</v>
      </c>
      <c r="Y37" s="294">
        <f>SUMIFS([1]مرداد!$AH$2:$AH$805,[1]مرداد!$O$2:$O$805,7603,[1]مرداد!$D$2:$D$805,$F$37,[1]مرداد!$AC$2:$AC$805,Y3)</f>
        <v>0</v>
      </c>
      <c r="Z37" s="294">
        <f>SUMIFS([1]مرداد!$AH$2:$AH$805,[1]مرداد!$O$2:$O$805,7603,[1]مرداد!$D$2:$D$805,$F$37,[1]مرداد!$AC$2:$AC$805,Z3)</f>
        <v>0</v>
      </c>
      <c r="AA37" s="904">
        <f>SUMIFS([1]مرداد!$AH$2:$AH$805,[1]مرداد!$O$2:$O$805,7603,[1]مرداد!$D$2:$D$805,$F$37,[1]مرداد!$AC$2:$AC$805,AA3)</f>
        <v>0</v>
      </c>
      <c r="AB37" s="700">
        <f>SUMIFS([1]مرداد!$AH$2:$AH$805,[1]مرداد!$O$2:$O$805,7603,[1]مرداد!$D$2:$D$805,$F$37,[1]مرداد!$AC$2:$AC$805,AB3)</f>
        <v>0</v>
      </c>
    </row>
    <row r="38" spans="1:28" ht="33.75" customHeight="1" x14ac:dyDescent="0.25">
      <c r="A38" s="912">
        <v>17</v>
      </c>
      <c r="B38" s="869" t="s">
        <v>26</v>
      </c>
      <c r="C38" s="771">
        <v>7604</v>
      </c>
      <c r="D38" s="848">
        <v>64</v>
      </c>
      <c r="E38" s="914" t="s">
        <v>15</v>
      </c>
      <c r="F38" s="84" t="s">
        <v>27</v>
      </c>
      <c r="G38" s="85">
        <f>SUM(O38:T38)</f>
        <v>33</v>
      </c>
      <c r="H38" s="46">
        <f t="shared" si="1"/>
        <v>0</v>
      </c>
      <c r="I38" s="885">
        <f t="shared" si="2"/>
        <v>0</v>
      </c>
      <c r="J38" s="85">
        <v>0</v>
      </c>
      <c r="K38" s="85">
        <v>0</v>
      </c>
      <c r="L38" s="85">
        <v>0</v>
      </c>
      <c r="M38" s="87"/>
      <c r="N38" s="955" t="str">
        <f>IF(I18&gt;0,"②","")</f>
        <v>②</v>
      </c>
      <c r="O38" s="298">
        <f>SUMIFS([1]شهریور!$AF$2:$AF$805,[1]شهریور!$O$2:$O$805,7604,[1]شهریور!$D$2:$D$805,$F$38,[1]شهریور!$AC$2:$AC$805,O3)</f>
        <v>12</v>
      </c>
      <c r="P38" s="464">
        <f>SUMIFS([1]شهریور!$AF$2:$AF$805,[1]شهریور!$O$2:$O$805,7604,[1]شهریور!$D$2:$D$805,$F$38,[1]شهریور!$AC$2:$AC$805,P3)</f>
        <v>9</v>
      </c>
      <c r="Q38" s="298">
        <f>SUMIFS([1]شهریور!$AF$2:$AF$805,[1]شهریور!$O$2:$O$805,7604,[1]شهریور!$D$2:$D$805,$F$38,[1]شهریور!$AC$2:$AC$805,Q3)</f>
        <v>0</v>
      </c>
      <c r="R38" s="298">
        <f>SUMIFS([1]شهریور!$AF$2:$AF$805,[1]شهریور!$O$2:$O$805,7604,[1]شهریور!$D$2:$D$805,$F$38,[1]شهریور!$AC$2:$AC$805,R3)</f>
        <v>3</v>
      </c>
      <c r="S38" s="298">
        <f>SUMIFS([1]شهریور!$AF$2:$AF$805,[1]شهریور!$O$2:$O$805,7604,[1]شهریور!$D$2:$D$805,$F$38,[1]شهریور!$AC$2:$AC$805,S3)</f>
        <v>9</v>
      </c>
      <c r="T38" s="464">
        <f>SUMIFS([1]شهریور!$AF$2:$AF$805,[1]شهریور!$O$2:$O$805,7604,[1]شهریور!$D$2:$D$805,$F$38,[1]شهریور!$AC$2:$AC$805,T3)</f>
        <v>0</v>
      </c>
      <c r="U38" s="464">
        <f>SUMIFS([1]شهریور!$AF$2:$AF$805,[1]شهریور!$O$2:$O$805,7604,[1]شهریور!$D$2:$D$805,$F$38,[1]شهریور!$AC$2:$AC$805,U3)</f>
        <v>0</v>
      </c>
      <c r="V38" s="187">
        <f>SUMIFS([1]شهریور!$AH$2:$AH$805,[1]شهریور!$O$2:$O$805,7604,[1]شهریور!$D$2:$D$805,$F$38,[1]شهریور!$AC$2:$AC$805,V3)</f>
        <v>0</v>
      </c>
      <c r="W38" s="163">
        <f>SUMIFS([1]شهریور!$AH$2:$AH$805,[1]شهریور!$O$2:$O$805,7604,[1]شهریور!$D$2:$D$805,$F$38,[1]شهریور!$AC$2:$AC$805,W3)</f>
        <v>0</v>
      </c>
      <c r="X38" s="187">
        <f>SUMIFS([1]شهریور!$AH$2:$AH$805,[1]شهریور!$O$2:$O$805,7604,[1]شهریور!$D$2:$D$805,$F$38,[1]شهریور!$AC$2:$AC$805,X3)</f>
        <v>0</v>
      </c>
      <c r="Y38" s="187">
        <f>SUMIFS([1]شهریور!$AH$2:$AH$805,[1]شهریور!$O$2:$O$805,7604,[1]شهریور!$D$2:$D$805,$F$38,[1]شهریور!$AC$2:$AC$805,Y3)</f>
        <v>0</v>
      </c>
      <c r="Z38" s="187">
        <f>SUMIFS([1]شهریور!$AH$2:$AH$805,[1]شهریور!$O$2:$O$805,7604,[1]شهریور!$D$2:$D$805,$F$38,[1]شهریور!$AC$2:$AC$805,Z3)</f>
        <v>0</v>
      </c>
      <c r="AA38" s="163">
        <f>SUMIFS([1]شهریور!$AH$2:$AH$805,[1]شهریور!$O$2:$O$805,7604,[1]شهریور!$D$2:$D$805,$F$38,[1]شهریور!$AC$2:$AC$805,AA3)</f>
        <v>0</v>
      </c>
      <c r="AB38" s="163">
        <f>SUMIFS([1]شهریور!$AH$2:$AH$805,[1]شهریور!$O$2:$O$805,7604,[1]شهریور!$D$2:$D$805,$F$38,[1]شهریور!$AC$2:$AC$805,AB3)</f>
        <v>0</v>
      </c>
    </row>
    <row r="39" spans="1:28" ht="41.25" customHeight="1" thickBot="1" x14ac:dyDescent="0.3">
      <c r="A39" s="913"/>
      <c r="B39" s="870"/>
      <c r="C39" s="772"/>
      <c r="D39" s="849"/>
      <c r="E39" s="915"/>
      <c r="F39" s="124"/>
      <c r="G39" s="126">
        <f t="shared" si="0"/>
        <v>0</v>
      </c>
      <c r="H39" s="761">
        <f t="shared" si="1"/>
        <v>0</v>
      </c>
      <c r="I39" s="1">
        <f t="shared" si="2"/>
        <v>0</v>
      </c>
      <c r="J39" s="125">
        <v>0</v>
      </c>
      <c r="K39" s="126">
        <v>0</v>
      </c>
      <c r="L39" s="126">
        <v>0</v>
      </c>
      <c r="M39" s="154"/>
      <c r="N39" s="917"/>
      <c r="O39" s="274"/>
      <c r="P39" s="890"/>
      <c r="Q39" s="275"/>
      <c r="R39" s="275"/>
      <c r="S39" s="275"/>
      <c r="T39" s="890"/>
      <c r="U39" s="795"/>
      <c r="V39" s="274">
        <f>SUMIFS([1]مرداد!$AH$2:$AH$805,[1]مرداد!$O$2:$O$805,7604,[1]مرداد!$D$2:$D$805,$F$39,[1]مرداد!$AC$2:$AC$805,V3)</f>
        <v>0</v>
      </c>
      <c r="W39" s="890">
        <f>SUMIFS([1]مرداد!$AH$2:$AH$805,[1]مرداد!$O$2:$O$805,7604,[1]مرداد!$D$2:$D$805,$F$39,[1]مرداد!$AC$2:$AC$805,W3)</f>
        <v>0</v>
      </c>
      <c r="X39" s="275">
        <f>SUMIFS([1]مرداد!$AH$2:$AH$805,[1]مرداد!$O$2:$O$805,7604,[1]مرداد!$D$2:$D$805,$F$39,[1]مرداد!$AC$2:$AC$805,X3)</f>
        <v>0</v>
      </c>
      <c r="Y39" s="275">
        <f>SUMIFS([1]مرداد!$AH$2:$AH$805,[1]مرداد!$O$2:$O$805,7604,[1]مرداد!$D$2:$D$805,$F$39,[1]مرداد!$AC$2:$AC$805,Y3)</f>
        <v>0</v>
      </c>
      <c r="Z39" s="275">
        <f>SUMIFS([1]مرداد!$AH$2:$AH$805,[1]مرداد!$O$2:$O$805,7604,[1]مرداد!$D$2:$D$805,$F$39,[1]مرداد!$AC$2:$AC$805,Z3)</f>
        <v>0</v>
      </c>
      <c r="AA39" s="890">
        <f>SUMIFS([1]مرداد!$AH$2:$AH$805,[1]مرداد!$O$2:$O$805,7604,[1]مرداد!$D$2:$D$805,$F$39,[1]مرداد!$AC$2:$AC$805,AA3)</f>
        <v>0</v>
      </c>
      <c r="AB39" s="121">
        <f>SUMIFS([1]مرداد!$AH$2:$AH$805,[1]مرداد!$O$2:$O$805,7604,[1]مرداد!$D$2:$D$805,$F$39,[1]مرداد!$AC$2:$AC$805,AB3)</f>
        <v>0</v>
      </c>
    </row>
    <row r="40" spans="1:28" ht="33.75" customHeight="1" x14ac:dyDescent="0.25">
      <c r="A40" s="954">
        <v>18</v>
      </c>
      <c r="B40" s="769" t="s">
        <v>26</v>
      </c>
      <c r="C40" s="881">
        <v>7605</v>
      </c>
      <c r="D40" s="881">
        <v>64</v>
      </c>
      <c r="E40" s="968" t="s">
        <v>15</v>
      </c>
      <c r="F40" s="91" t="s">
        <v>27</v>
      </c>
      <c r="G40" s="93">
        <f t="shared" si="0"/>
        <v>14</v>
      </c>
      <c r="H40" s="49">
        <f t="shared" si="1"/>
        <v>0</v>
      </c>
      <c r="I40" s="885">
        <f t="shared" si="2"/>
        <v>0</v>
      </c>
      <c r="J40" s="93">
        <v>0</v>
      </c>
      <c r="K40" s="93">
        <v>0</v>
      </c>
      <c r="L40" s="314">
        <v>0</v>
      </c>
      <c r="M40" s="94">
        <f>(G40+H40+I40+J40+K40+L40)-D40</f>
        <v>-50</v>
      </c>
      <c r="N40" s="971" t="s">
        <v>13</v>
      </c>
      <c r="O40" s="770">
        <f>SUMIFS([1]شهریور!$AF$2:$AF$805,[1]شهریور!$O$2:$O$805,7605,[1]شهریور!$D$2:$D$805,$F$40,[1]شهریور!$AC$2:$AC$805,O3)</f>
        <v>0</v>
      </c>
      <c r="P40" s="898">
        <f>SUMIFS([1]شهریور!$AF$2:$AF$805,[1]شهریور!$O$2:$O$805,7605,[1]شهریور!$D$2:$D$805,$F$40,[1]شهریور!$AC$2:$AC$805,P3)</f>
        <v>0</v>
      </c>
      <c r="Q40" s="770">
        <f>SUMIFS([1]شهریور!$AF$2:$AF$805,[1]شهریور!$O$2:$O$805,7605,[1]شهریور!$D$2:$D$805,$F$40,[1]شهریور!$AC$2:$AC$805,Q3)</f>
        <v>4</v>
      </c>
      <c r="R40" s="770">
        <f>SUMIFS([1]شهریور!$AF$2:$AF$805,[1]شهریور!$O$2:$O$805,7605,[1]شهریور!$D$2:$D$805,$F$40,[1]شهریور!$AC$2:$AC$805,R3)</f>
        <v>10</v>
      </c>
      <c r="S40" s="770">
        <f>SUMIFS([1]شهریور!$AF$2:$AF$805,[1]شهریور!$O$2:$O$805,7605,[1]شهریور!$D$2:$D$805,$F$40,[1]شهریور!$AC$2:$AC$805,S3)</f>
        <v>0</v>
      </c>
      <c r="T40" s="898">
        <f>SUMIFS([1]شهریور!$AF$2:$AF$805,[1]شهریور!$O$2:$O$805,7605,[1]شهریور!$D$2:$D$805,$F$40,[1]شهریور!$AC$2:$AC$805,T3)</f>
        <v>0</v>
      </c>
      <c r="U40" s="898">
        <f>SUMIFS([1]شهریور!$AF$2:$AF$805,[1]شهریور!$O$2:$O$805,7605,[1]شهریور!$D$2:$D$805,$F$40,[1]شهریور!$AC$2:$AC$805,U3)</f>
        <v>0</v>
      </c>
      <c r="V40" s="187">
        <f>SUMIFS([1]شهریور!$AH$2:$AH$805,[1]شهریور!$O$2:$O$805,7602,[1]شهریور!$D$2:$D$805,$F$40,[1]شهریور!$AC$2:$AC$805,V3)</f>
        <v>0</v>
      </c>
      <c r="W40" s="163">
        <f>SUMIFS([1]شهریور!$AH$2:$AH$805,[1]شهریور!$O$2:$O$805,7602,[1]شهریور!$D$2:$D$805,$F$40,[1]شهریور!$AC$2:$AC$805,W3)</f>
        <v>0</v>
      </c>
      <c r="X40" s="187">
        <f>SUMIFS([1]شهریور!$AH$2:$AH$805,[1]شهریور!$O$2:$O$805,7602,[1]شهریور!$D$2:$D$805,$F$40,[1]شهریور!$AC$2:$AC$805,X3)</f>
        <v>0</v>
      </c>
      <c r="Y40" s="187">
        <f>SUMIFS([1]شهریور!$AH$2:$AH$805,[1]شهریور!$O$2:$O$805,7602,[1]شهریور!$D$2:$D$805,$F$40,[1]شهریور!$AC$2:$AC$805,Y3)</f>
        <v>0</v>
      </c>
      <c r="Z40" s="187">
        <f>SUMIFS([1]شهریور!$AH$2:$AH$805,[1]شهریور!$O$2:$O$805,7602,[1]شهریور!$D$2:$D$805,$F$40,[1]شهریور!$AC$2:$AC$805,Z3)</f>
        <v>0</v>
      </c>
      <c r="AA40" s="163">
        <f>SUMIFS([1]شهریور!$AH$2:$AH$805,[1]شهریور!$O$2:$O$805,7602,[1]شهریور!$D$2:$D$805,$F$40,[1]شهریور!$AC$2:$AC$805,AA3)</f>
        <v>0</v>
      </c>
      <c r="AB40" s="163">
        <f>SUMIFS([1]شهریور!$AH$2:$AH$805,[1]شهریور!$O$2:$O$805,7602,[1]شهریور!$D$2:$D$805,$F$40,[1]شهریور!$AC$2:$AC$805,AB3)</f>
        <v>0</v>
      </c>
    </row>
    <row r="41" spans="1:28" ht="33.75" customHeight="1" thickBot="1" x14ac:dyDescent="0.3">
      <c r="A41" s="942"/>
      <c r="B41" s="589"/>
      <c r="C41" s="884"/>
      <c r="D41" s="884"/>
      <c r="E41" s="997"/>
      <c r="F41" s="461"/>
      <c r="G41" s="89">
        <f t="shared" si="0"/>
        <v>0</v>
      </c>
      <c r="H41" s="765">
        <f t="shared" si="1"/>
        <v>0</v>
      </c>
      <c r="I41" s="1">
        <f t="shared" si="2"/>
        <v>0</v>
      </c>
      <c r="J41" s="462">
        <v>0</v>
      </c>
      <c r="K41" s="89">
        <v>0</v>
      </c>
      <c r="L41" s="89">
        <v>0</v>
      </c>
      <c r="M41" s="94"/>
      <c r="N41" s="998"/>
      <c r="O41" s="584">
        <f>SUMIFS([1]اردیبهشت!$AD$2:$AD$805,[1]اردیبهشت!$N$2:$N$805,$C$40,[1]اردیبهشت!$D$2:$D$805,$F$41,[1]اردیبهشت!$AA$2:$AA$805,O3)</f>
        <v>0</v>
      </c>
      <c r="P41" s="102">
        <f>SUMIFS([1]اردیبهشت!$AD$2:$AD$600,[1]اردیبهشت!$N$2:$N$600,$C$40,[1]اردیبهشت!$D$2:$D$600,$F$41,[1]اردیبهشت!$AA$2:$AA$600,P3)</f>
        <v>0</v>
      </c>
      <c r="Q41" s="191">
        <f>SUMIFS([1]اردیبهشت!$AD$2:$AD$600,[1]اردیبهشت!$N$2:$N$600,$C$40,[1]اردیبهشت!$D$2:$D$600,$F$41,[1]اردیبهشت!$AA$2:$AA$600,Q3)</f>
        <v>0</v>
      </c>
      <c r="R41" s="191">
        <f>SUMIFS([1]اردیبهشت!$AD$2:$AD$600,[1]اردیبهشت!$N$2:$N$600,$C$40,[1]اردیبهشت!$D$2:$D$600,$F$41,[1]اردیبهشت!$AA$2:$AA$600,R3)</f>
        <v>0</v>
      </c>
      <c r="S41" s="191">
        <f>SUMIFS([1]اردیبهشت!$AD$2:$AD$600,[1]اردیبهشت!$N$2:$N$600,$C$40,[1]اردیبهشت!$D$2:$D$600,$F$41,[1]اردیبهشت!$AA$2:$AA$600,S3)</f>
        <v>0</v>
      </c>
      <c r="T41" s="102">
        <f>SUMIFS([1]اردیبهشت!$AD$2:$AD$600,[1]اردیبهشت!$N$2:$N$600,$C$40,[1]اردیبهشت!$D$2:$D$600,$F$41,[1]اردیبهشت!$AA$2:$AA$600,T3)</f>
        <v>0</v>
      </c>
      <c r="U41" s="797">
        <f>SUMIFS([1]اردیبهشت!$AD$2:$AD$600,[1]اردیبهشت!$N$2:$N$600,$C$40,[1]اردیبهشت!$D$2:$D$600,$F$41,[1]اردیبهشت!$AA$2:$AA$600,U3)</f>
        <v>0</v>
      </c>
      <c r="V41" s="190">
        <f>SUMIFS([1]مرداد!$AH$2:$AH$805,[1]مرداد!$O$2:$O$805,7605,[1]مرداد!$D$2:$D$805,$F$41,[1]مرداد!$AC$2:$AC$805,V3)</f>
        <v>0</v>
      </c>
      <c r="W41" s="908">
        <f>SUMIFS([1]مرداد!$AH$2:$AH$805,[1]مرداد!$O$2:$O$805,7605,[1]مرداد!$D$2:$D$805,$F$41,[1]مرداد!$AC$2:$AC$805,W3)</f>
        <v>0</v>
      </c>
      <c r="X41" s="584">
        <f>SUMIFS([1]مرداد!$AH$2:$AH$805,[1]مرداد!$O$2:$O$805,7605,[1]مرداد!$D$2:$D$805,$F$41,[1]مرداد!$AC$2:$AC$805,X3)</f>
        <v>0</v>
      </c>
      <c r="Y41" s="584">
        <f>SUMIFS([1]مرداد!$AH$2:$AH$805,[1]مرداد!$O$2:$O$805,7605,[1]مرداد!$D$2:$D$805,$F$41,[1]مرداد!$AC$2:$AC$805,Y3)</f>
        <v>0</v>
      </c>
      <c r="Z41" s="584">
        <f>SUMIFS([1]مرداد!$AH$2:$AH$805,[1]مرداد!$O$2:$O$805,7605,[1]مرداد!$D$2:$D$805,$F$41,[1]مرداد!$AC$2:$AC$805,Z3)</f>
        <v>0</v>
      </c>
      <c r="AA41" s="908">
        <f>SUMIFS([1]مرداد!$AH$2:$AH$805,[1]مرداد!$O$2:$O$805,7605,[1]مرداد!$D$2:$D$805,$F$41,[1]مرداد!$AC$2:$AC$805,AA3)</f>
        <v>0</v>
      </c>
      <c r="AB41" s="909">
        <f>SUMIFS([1]مرداد!$AH$2:$AH$805,[1]مرداد!$O$2:$O$805,7605,[1]مرداد!$D$2:$D$805,$F$41,[1]مرداد!$AC$2:$AC$805,AB3)</f>
        <v>0</v>
      </c>
    </row>
    <row r="42" spans="1:28" ht="33.75" customHeight="1" x14ac:dyDescent="0.25">
      <c r="A42" s="874"/>
      <c r="B42" s="854"/>
      <c r="C42" s="858"/>
      <c r="D42" s="858"/>
      <c r="E42" s="932" t="s">
        <v>15</v>
      </c>
      <c r="F42" s="84" t="s">
        <v>27</v>
      </c>
      <c r="G42" s="885">
        <f t="shared" si="0"/>
        <v>12</v>
      </c>
      <c r="H42" s="46">
        <f t="shared" si="1"/>
        <v>0</v>
      </c>
      <c r="I42" s="885">
        <f t="shared" si="2"/>
        <v>0</v>
      </c>
      <c r="J42" s="885">
        <v>0</v>
      </c>
      <c r="K42" s="885">
        <v>0</v>
      </c>
      <c r="L42" s="885">
        <v>0</v>
      </c>
      <c r="M42" s="28"/>
      <c r="N42" s="945" t="s">
        <v>183</v>
      </c>
      <c r="O42" s="292">
        <f>SUMIFS([1]شهریور!$AF$2:$AF$805,[1]شهریور!$O$2:$O$805,7701,[1]شهریور!$D$2:$D$805,$F$42,[1]شهریور!$AC$2:$AC$805,O3)</f>
        <v>12</v>
      </c>
      <c r="P42" s="393">
        <f>SUMIFS([1]شهریور!$AF$2:$AF$805,[1]شهریور!$O$2:$O$805,7701,[1]شهریور!$D$2:$D$805,$F$42,[1]شهریور!$AC$2:$AC$805,P3)</f>
        <v>0</v>
      </c>
      <c r="Q42" s="292">
        <f>SUMIFS([1]شهریور!$AF$2:$AF$805,[1]شهریور!$O$2:$O$805,7701,[1]شهریور!$D$2:$D$805,$F$42,[1]شهریور!$AC$2:$AC$805,Q3)</f>
        <v>0</v>
      </c>
      <c r="R42" s="292">
        <f>SUMIFS([1]شهریور!$AF$2:$AF$805,[1]شهریور!$O$2:$O$805,7701,[1]شهریور!$D$2:$D$805,$F$42,[1]شهریور!$AC$2:$AC$805,R3)</f>
        <v>0</v>
      </c>
      <c r="S42" s="292">
        <f>SUMIFS([1]شهریور!$AF$2:$AF$805,[1]شهریور!$O$2:$O$805,7701,[1]شهریور!$D$2:$D$805,$F$42,[1]شهریور!$AC$2:$AC$805,S3)</f>
        <v>0</v>
      </c>
      <c r="T42" s="393">
        <f>SUMIFS([1]شهریور!$AF$2:$AF$805,[1]شهریور!$O$2:$O$805,7701,[1]شهریور!$D$2:$D$805,$F$42,[1]شهریور!$AC$2:$AC$805,T3)</f>
        <v>0</v>
      </c>
      <c r="U42" s="393">
        <f>SUMIFS([1]شهریور!$AF$2:$AF$805,[1]شهریور!$O$2:$O$805,7701,[1]شهریور!$D$2:$D$805,$F$42,[1]شهریور!$AC$2:$AC$805,U3)</f>
        <v>0</v>
      </c>
      <c r="V42" s="169">
        <f>SUMIFS([1]شهریور!$AH$2:$AH$805,[1]شهریور!$O$2:$O$805,7701,[1]شهریور!$D$2:$D$805,$F$42,[1]شهریور!$AC$2:$AC$805,V3)</f>
        <v>0</v>
      </c>
      <c r="W42" s="98">
        <f>SUMIFS([1]شهریور!$AH$2:$AH$805,[1]شهریور!$O$2:$O$805,7701,[1]شهریور!$D$2:$D$805,$F$42,[1]شهریور!$AC$2:$AC$805,W3)</f>
        <v>0</v>
      </c>
      <c r="X42" s="169">
        <f>SUMIFS([1]شهریور!$AH$2:$AH$805,[1]شهریور!$O$2:$O$805,7701,[1]شهریور!$D$2:$D$805,$F$42,[1]شهریور!$AC$2:$AC$805,X3)</f>
        <v>0</v>
      </c>
      <c r="Y42" s="169">
        <f>SUMIFS([1]شهریور!$AH$2:$AH$805,[1]شهریور!$O$2:$O$805,7701,[1]شهریور!$D$2:$D$805,$F$42,[1]شهریور!$AC$2:$AC$805,Y3)</f>
        <v>0</v>
      </c>
      <c r="Z42" s="169">
        <f>SUMIFS([1]شهریور!$AH$2:$AH$805,[1]شهریور!$O$2:$O$805,7701,[1]شهریور!$D$2:$D$805,$F$42,[1]شهریور!$AC$2:$AC$805,Z3)</f>
        <v>0</v>
      </c>
      <c r="AA42" s="98">
        <f>SUMIFS([1]شهریور!$AH$2:$AH$805,[1]شهریور!$O$2:$O$805,7701,[1]شهریور!$D$2:$D$805,$F$42,[1]شهریور!$AC$2:$AC$805,AA3)</f>
        <v>0</v>
      </c>
      <c r="AB42" s="98">
        <f>SUMIFS([1]شهریور!$AH$2:$AH$805,[1]شهریور!$O$2:$O$805,7701,[1]شهریور!$D$2:$D$805,$F$42,[1]شهریور!$AC$2:$AC$805,AB3)</f>
        <v>0</v>
      </c>
    </row>
    <row r="43" spans="1:28" ht="39" customHeight="1" x14ac:dyDescent="0.25">
      <c r="A43" s="875">
        <v>19</v>
      </c>
      <c r="B43" s="855" t="s">
        <v>30</v>
      </c>
      <c r="C43" s="859">
        <v>7701</v>
      </c>
      <c r="D43" s="859">
        <v>55</v>
      </c>
      <c r="E43" s="933"/>
      <c r="F43" s="29"/>
      <c r="G43" s="3">
        <f t="shared" si="0"/>
        <v>0</v>
      </c>
      <c r="H43" s="47">
        <f t="shared" si="1"/>
        <v>0</v>
      </c>
      <c r="I43" s="3">
        <f t="shared" si="2"/>
        <v>0</v>
      </c>
      <c r="J43" s="25">
        <v>0</v>
      </c>
      <c r="K43" s="25">
        <v>0</v>
      </c>
      <c r="L43" s="70">
        <v>0</v>
      </c>
      <c r="M43" s="4">
        <f>(J42+J43+J44+I44+I43+I42+H42+H43+H44+G44+G43+G42)-D43</f>
        <v>-43</v>
      </c>
      <c r="N43" s="956"/>
      <c r="O43" s="293">
        <f>SUMIFS([1]اردیبهشت!$AD$2:$AD$805,[1]اردیبهشت!$N$2:$N$805,$C$43,[1]اردیبهشت!$D$2:$D$805,$F$43,[1]اردیبهشت!$AA$2:$AA$805,O3)</f>
        <v>0</v>
      </c>
      <c r="P43" s="96">
        <f>SUMIFS([1]اردیبهشت!$AD$2:$AD$805,[1]اردیبهشت!$N$2:$N$805,$C$43,[1]اردیبهشت!$D$2:$D$805,$F$43,[1]اردیبهشت!$AA$2:$AA$805,P3)</f>
        <v>0</v>
      </c>
      <c r="Q43" s="168">
        <f>SUMIFS([1]اردیبهشت!$AD$2:$AD$805,[1]اردیبهشت!$N$2:$N$805,$C$43,[1]اردیبهشت!$D$2:$D$805,$F$43,[1]اردیبهشت!$AA$2:$AA$805,Q3)</f>
        <v>0</v>
      </c>
      <c r="R43" s="168">
        <f>SUMIFS([1]اردیبهشت!$AD$2:$AD$805,[1]اردیبهشت!$N$2:$N$805,$C$43,[1]اردیبهشت!$D$2:$D$805,$F$43,[1]اردیبهشت!$AA$2:$AA$805,R3)</f>
        <v>0</v>
      </c>
      <c r="S43" s="168">
        <f>SUMIFS([1]اردیبهشت!$AD$2:$AD$805,[1]اردیبهشت!$N$2:$N$805,$C$43,[1]اردیبهشت!$D$2:$D$805,$F$43,[1]اردیبهشت!$AA$2:$AA$805,S3)</f>
        <v>0</v>
      </c>
      <c r="T43" s="96">
        <f>SUMIFS([1]اردیبهشت!$AD$2:$AD$805,[1]اردیبهشت!$N$2:$N$805,$C$43,[1]اردیبهشت!$D$2:$D$805,$F$43,[1]اردیبهشت!$AA$2:$AA$805,T3)</f>
        <v>0</v>
      </c>
      <c r="U43" s="800">
        <f>SUMIFS([1]اردیبهشت!$AD$2:$AD$600,[1]اردیبهشت!$N$2:$N$600,$C$43,[1]اردیبهشت!$D$2:$D$600,$F$43,[1]اردیبهشت!$AA$2:$AA$600,U3)</f>
        <v>0</v>
      </c>
      <c r="V43" s="166">
        <f>SUMIFS([1]مرداد!$AH$2:$AH$805,[1]مرداد!$O$2:$O$805,7701,[1]مرداد!$D$2:$D$805,$F$43,[1]مرداد!$AC$2:$AC$805,V3)</f>
        <v>0</v>
      </c>
      <c r="W43" s="96">
        <f>SUMIFS([1]مرداد!$AH$2:$AH$805,[1]مرداد!$O$2:$O$805,7701,[1]مرداد!$D$2:$D$805,$F$43,[1]مرداد!$AC$2:$AC$805,W3)</f>
        <v>0</v>
      </c>
      <c r="X43" s="168">
        <f>SUMIFS([1]مرداد!$AH$2:$AH$805,[1]مرداد!$O$2:$O$805,7701,[1]مرداد!$D$2:$D$805,$F$43,[1]مرداد!$AC$2:$AC$805,X3)</f>
        <v>0</v>
      </c>
      <c r="Y43" s="168">
        <f>SUMIFS([1]مرداد!$AH$2:$AH$805,[1]مرداد!$O$2:$O$805,7701,[1]مرداد!$D$2:$D$805,$F$43,[1]مرداد!$AC$2:$AC$805,Y3)</f>
        <v>0</v>
      </c>
      <c r="Z43" s="168">
        <f>SUMIFS([1]مرداد!$AH$2:$AH$805,[1]مرداد!$O$2:$O$805,7701,[1]مرداد!$D$2:$D$805,$F$43,[1]مرداد!$AC$2:$AC$805,Z3)</f>
        <v>0</v>
      </c>
      <c r="AA43" s="96">
        <f>SUMIFS([1]مرداد!$AH$2:$AH$805,[1]مرداد!$O$2:$O$805,7701,[1]مرداد!$D$2:$D$805,$F$43,[1]مرداد!$AC$2:$AC$805,AA3)</f>
        <v>0</v>
      </c>
      <c r="AB43" s="108">
        <f>SUMIFS([1]مرداد!$AH$2:$AH$805,[1]مرداد!$O$2:$O$805,7701,[1]مرداد!$D$2:$D$805,$F$43,[1]مرداد!$AC$2:$AC$805,AB3)</f>
        <v>0</v>
      </c>
    </row>
    <row r="44" spans="1:28" ht="40.5" customHeight="1" thickBot="1" x14ac:dyDescent="0.3">
      <c r="A44" s="875"/>
      <c r="B44" s="857"/>
      <c r="C44" s="861"/>
      <c r="D44" s="861"/>
      <c r="E44" s="934"/>
      <c r="F44" s="30"/>
      <c r="G44" s="6">
        <f t="shared" si="0"/>
        <v>0</v>
      </c>
      <c r="H44" s="761">
        <f t="shared" si="1"/>
        <v>0</v>
      </c>
      <c r="I44" s="1">
        <f t="shared" si="2"/>
        <v>0</v>
      </c>
      <c r="J44" s="7">
        <v>0</v>
      </c>
      <c r="K44" s="7">
        <v>0</v>
      </c>
      <c r="L44" s="7">
        <v>0</v>
      </c>
      <c r="M44" s="8"/>
      <c r="N44" s="946"/>
      <c r="O44" s="294">
        <f>SUMIFS([1]اردیبهشت!$AD$2:$AD$805,[1]اردیبهشت!$N$2:$N$805,$C$43,[1]اردیبهشت!$D$2:$D$805,$F$44,[1]اردیبهشت!$AA$2:$AA$805,O3)</f>
        <v>0</v>
      </c>
      <c r="P44" s="103">
        <f>SUMIFS([1]اردیبهشت!$AD$2:$AD$805,[1]اردیبهشت!$N$2:$N$805,$C$43,[1]اردیبهشت!$D$2:$D$805,$F$44,[1]اردیبهشت!$AA$2:$AA$805,P3)</f>
        <v>0</v>
      </c>
      <c r="Q44" s="172">
        <f>SUMIFS([1]اردیبهشت!$AD$2:$AD$805,[1]اردیبهشت!$N$2:$N$805,$C$43,[1]اردیبهشت!$D$2:$D$805,$F$44,[1]اردیبهشت!$AA$2:$AA$805,Q3)</f>
        <v>0</v>
      </c>
      <c r="R44" s="172">
        <f>SUMIFS([1]اردیبهشت!$AD$2:$AD$805,[1]اردیبهشت!$N$2:$N$805,$C$43,[1]اردیبهشت!$D$2:$D$805,$F$44,[1]اردیبهشت!$AA$2:$AA$805,R3)</f>
        <v>0</v>
      </c>
      <c r="S44" s="172">
        <f>SUMIFS([1]اردیبهشت!$AD$2:$AD$805,[1]اردیبهشت!$N$2:$N$805,$C$43,[1]اردیبهشت!$D$2:$D$805,$F$44,[1]اردیبهشت!$AA$2:$AA$805,S3)</f>
        <v>0</v>
      </c>
      <c r="T44" s="103">
        <f>SUMIFS([1]اردیبهشت!$AD$2:$AD$805,[1]اردیبهشت!$N$2:$N$805,$C$43,[1]اردیبهشت!$D$2:$D$805,$F$44,[1]اردیبهشت!$AA$2:$AA$805,T3)</f>
        <v>0</v>
      </c>
      <c r="U44" s="802">
        <f>SUMIFS([1]اردیبهشت!$AD$2:$AD$600,[1]اردیبهشت!$N$2:$N$600,$C$43,[1]اردیبهشت!$D$2:$D$600,$F$44,[1]اردیبهشت!$AA$2:$AA$600,U3)</f>
        <v>0</v>
      </c>
      <c r="V44" s="763">
        <f>SUMIFS([1]مرداد!$AH$2:$AH$805,[1]مرداد!$O$2:$O$805,7701,[1]مرداد!$D$2:$D$805,$F$44,[1]مرداد!$AC$2:$AC$805,V3)</f>
        <v>0</v>
      </c>
      <c r="W44" s="455">
        <f>SUMIFS([1]مرداد!$AH$2:$AH$805,[1]مرداد!$O$2:$O$805,7701,[1]مرداد!$D$2:$D$805,$F$44,[1]مرداد!$AC$2:$AC$805,W3)</f>
        <v>0</v>
      </c>
      <c r="X44" s="353">
        <f>SUMIFS([1]مرداد!$AH$2:$AH$805,[1]مرداد!$O$2:$O$805,7701,[1]مرداد!$D$2:$D$805,$F$44,[1]مرداد!$AC$2:$AC$805,X3)</f>
        <v>0</v>
      </c>
      <c r="Y44" s="353">
        <f>SUMIFS([1]مرداد!$AH$2:$AH$805,[1]مرداد!$O$2:$O$805,7701,[1]مرداد!$D$2:$D$805,$F$44,[1]مرداد!$AC$2:$AC$805,Y3)</f>
        <v>0</v>
      </c>
      <c r="Z44" s="353">
        <f>SUMIFS([1]مرداد!$AH$2:$AH$805,[1]مرداد!$O$2:$O$805,7701,[1]مرداد!$D$2:$D$805,$F$44,[1]مرداد!$AC$2:$AC$805,Z3)</f>
        <v>0</v>
      </c>
      <c r="AA44" s="455">
        <f>SUMIFS([1]مرداد!$AH$2:$AH$805,[1]مرداد!$O$2:$O$805,7701,[1]مرداد!$D$2:$D$805,$F$44,[1]مرداد!$AC$2:$AC$805,AA3)</f>
        <v>0</v>
      </c>
      <c r="AB44" s="426">
        <f>SUMIFS([1]مرداد!$AH$2:$AH$805,[1]مرداد!$O$2:$O$805,7701,[1]مرداد!$D$2:$D$805,$F$44,[1]مرداد!$AC$2:$AC$805,AB3)</f>
        <v>0</v>
      </c>
    </row>
    <row r="45" spans="1:28" ht="42.75" customHeight="1" thickBot="1" x14ac:dyDescent="0.3">
      <c r="A45" s="45">
        <v>20</v>
      </c>
      <c r="B45" s="873" t="s">
        <v>63</v>
      </c>
      <c r="C45" s="863">
        <v>8001</v>
      </c>
      <c r="D45" s="863">
        <v>55</v>
      </c>
      <c r="E45" s="863" t="s">
        <v>15</v>
      </c>
      <c r="F45" s="54" t="s">
        <v>54</v>
      </c>
      <c r="G45" s="4">
        <f t="shared" si="0"/>
        <v>9</v>
      </c>
      <c r="H45" s="67">
        <f t="shared" si="1"/>
        <v>0</v>
      </c>
      <c r="I45" s="885">
        <f t="shared" si="2"/>
        <v>0</v>
      </c>
      <c r="J45" s="4">
        <v>0</v>
      </c>
      <c r="K45" s="4">
        <v>0</v>
      </c>
      <c r="L45" s="4">
        <v>0</v>
      </c>
      <c r="M45" s="4">
        <f>SUM(G45:J45)-62</f>
        <v>-53</v>
      </c>
      <c r="N45" s="879" t="s">
        <v>31</v>
      </c>
      <c r="O45" s="580">
        <f>SUMIFS([1]شهریور!$AF$2:$AF$805,[1]شهریور!$O$2:$O$805,8001,[1]شهریور!$D$2:$D$805,"*",[1]شهریور!$AC$2:$AC$805,O3)</f>
        <v>2</v>
      </c>
      <c r="P45" s="580">
        <f>SUMIFS([1]شهریور!$AF$2:$AF$805,[1]شهریور!$O$2:$O$805,8001,[1]شهریور!$D$2:$D$805,"*",[1]شهریور!$AC$2:$AC$805,P3)</f>
        <v>0</v>
      </c>
      <c r="Q45" s="580">
        <f>SUMIFS([1]شهریور!$AF$2:$AF$805,[1]شهریور!$O$2:$O$805,8001,[1]شهریور!$D$2:$D$805,"*",[1]شهریور!$AC$2:$AC$805,Q3)</f>
        <v>5</v>
      </c>
      <c r="R45" s="580">
        <f>SUMIFS([1]شهریور!$AF$2:$AF$805,[1]شهریور!$O$2:$O$805,8001,[1]شهریور!$D$2:$D$805,"*",[1]شهریور!$AC$2:$AC$805,R3)</f>
        <v>2</v>
      </c>
      <c r="S45" s="580">
        <f>SUMIFS([1]شهریور!$AF$2:$AF$805,[1]شهریور!$O$2:$O$805,8001,[1]شهریور!$D$2:$D$805,"*",[1]شهریور!$AC$2:$AC$805,S3)</f>
        <v>0</v>
      </c>
      <c r="T45" s="580">
        <f>SUMIFS([1]شهریور!$AF$2:$AF$805,[1]شهریور!$O$2:$O$805,8001,[1]شهریور!$D$2:$D$805,"*",[1]شهریور!$AC$2:$AC$805,T3)</f>
        <v>0</v>
      </c>
      <c r="U45" s="580">
        <f>SUMIFS([1]شهریور!$AF$2:$AF$805,[1]شهریور!$O$2:$O$805,8001,[1]شهریور!$D$2:$D$805,"*",[1]شهریور!$AC$2:$AC$805,U3)</f>
        <v>0</v>
      </c>
      <c r="V45" s="181">
        <f>SUMIFS([1]مرداد!$AH$2:$AH$805,[1]مرداد!$O$2:$O$805,8001,[1]مرداد!$D$2:$D$805,$F$45,[1]مرداد!$AC$2:$AC$805,V3)</f>
        <v>0</v>
      </c>
      <c r="W45" s="892">
        <f>SUMIFS([1]مرداد!$AH$2:$AH$805,[1]مرداد!$O$2:$O$805,8001,[1]مرداد!$D$2:$D$805,$F$45,[1]مرداد!$AC$2:$AC$805,W3)</f>
        <v>0</v>
      </c>
      <c r="X45" s="297">
        <f>SUMIFS([1]مرداد!$AH$2:$AH$805,[1]مرداد!$O$2:$O$805,8001,[1]مرداد!$D$2:$D$805,$F$45,[1]مرداد!$AC$2:$AC$805,X3)</f>
        <v>0</v>
      </c>
      <c r="Y45" s="297">
        <f>SUMIFS([1]مرداد!$AH$2:$AH$805,[1]مرداد!$O$2:$O$805,8001,[1]مرداد!$D$2:$D$805,$F$45,[1]مرداد!$AC$2:$AC$805,Y3)</f>
        <v>0</v>
      </c>
      <c r="Z45" s="297">
        <f>SUMIFS([1]مرداد!$AH$2:$AH$805,[1]مرداد!$O$2:$O$805,8001,[1]مرداد!$D$2:$D$805,$F$45,[1]مرداد!$AC$2:$AC$805,Z3)</f>
        <v>0</v>
      </c>
      <c r="AA45" s="892">
        <f>SUMIFS([1]مرداد!$AH$2:$AH$805,[1]مرداد!$O$2:$O$805,8001,[1]مرداد!$D$2:$D$805,$F$45,[1]مرداد!$AC$2:$AC$805,AA3)</f>
        <v>0</v>
      </c>
      <c r="AB45" s="893">
        <f>SUMIFS([1]مرداد!$AH$2:$AH$805,[1]مرداد!$O$2:$O$805,8001,[1]مرداد!$D$2:$D$805,$F$45,[1]مرداد!$AC$2:$AC$805,AB3)</f>
        <v>0</v>
      </c>
    </row>
    <row r="46" spans="1:28" ht="39" customHeight="1" thickBot="1" x14ac:dyDescent="0.3">
      <c r="A46" s="45">
        <v>21</v>
      </c>
      <c r="B46" s="12" t="s">
        <v>32</v>
      </c>
      <c r="C46" s="13">
        <v>8002</v>
      </c>
      <c r="D46" s="13">
        <v>44</v>
      </c>
      <c r="E46" s="13" t="s">
        <v>15</v>
      </c>
      <c r="F46" s="31" t="s">
        <v>55</v>
      </c>
      <c r="G46" s="14">
        <f t="shared" si="0"/>
        <v>0</v>
      </c>
      <c r="H46" s="48">
        <f t="shared" si="1"/>
        <v>0</v>
      </c>
      <c r="I46" s="1">
        <f t="shared" si="2"/>
        <v>0</v>
      </c>
      <c r="J46" s="14">
        <v>0</v>
      </c>
      <c r="K46" s="14">
        <v>0</v>
      </c>
      <c r="L46" s="14">
        <v>0</v>
      </c>
      <c r="M46" s="14">
        <f>SUM(G46:L46)-(D46)</f>
        <v>-44</v>
      </c>
      <c r="N46" s="17" t="s">
        <v>40</v>
      </c>
      <c r="O46" s="297">
        <f>SUMIFS([1]شهریور!$AF$2:$AF$805,[1]شهریور!$O$2:$O$805,8002,[1]شهریور!$D$2:$D$805,$F$46,[1]شهریور!$AC$2:$AC$805,O3)</f>
        <v>0</v>
      </c>
      <c r="P46" s="892">
        <f>SUMIFS([1]شهریور!$AF$2:$AF$805,[1]شهریور!$O$2:$O$805,8002,[1]شهریور!$D$2:$D$805,$F$46,[1]شهریور!$AC$2:$AC$805,P3)</f>
        <v>0</v>
      </c>
      <c r="Q46" s="297">
        <f>SUMIFS([1]شهریور!$AF$2:$AF$805,[1]شهریور!$O$2:$O$805,8002,[1]شهریور!$D$2:$D$805,$F$46,[1]شهریور!$AC$2:$AC$805,Q3)</f>
        <v>0</v>
      </c>
      <c r="R46" s="297">
        <f>SUMIFS([1]شهریور!$AF$2:$AF$805,[1]شهریور!$O$2:$O$805,8002,[1]شهریور!$D$2:$D$805,$F$46,[1]شهریور!$AC$2:$AC$805,R3)</f>
        <v>0</v>
      </c>
      <c r="S46" s="297">
        <f>SUMIFS([1]شهریور!$AF$2:$AF$805,[1]شهریور!$O$2:$O$805,8002,[1]شهریور!$D$2:$D$805,$F$46,[1]شهریور!$AC$2:$AC$805,S3)</f>
        <v>0</v>
      </c>
      <c r="T46" s="892">
        <f>SUMIFS([1]شهریور!$AF$2:$AF$805,[1]شهریور!$O$2:$O$805,8002,[1]شهریور!$D$2:$D$805,$F$46,[1]شهریور!$AC$2:$AC$805,T3)</f>
        <v>0</v>
      </c>
      <c r="U46" s="892">
        <f>SUMIFS([1]شهریور!$AF$2:$AF$805,[1]شهریور!$O$2:$O$805,8002,[1]شهریور!$D$2:$D$805,$F$46,[1]شهریور!$AC$2:$AC$805,U3)</f>
        <v>0</v>
      </c>
      <c r="V46" s="181">
        <f>SUMIFS([1]مرداد!$AH$2:$AH$805,[1]مرداد!$O$2:$O$805,8002,[1]مرداد!$D$2:$D$805,$F$46,[1]مرداد!$AC$2:$AC$805,V3)</f>
        <v>0</v>
      </c>
      <c r="W46" s="892">
        <f>SUMIFS([1]مرداد!$AH$2:$AH$805,[1]مرداد!$O$2:$O$805,8002,[1]مرداد!$D$2:$D$805,$F$46,[1]مرداد!$AC$2:$AC$805,W3)</f>
        <v>0</v>
      </c>
      <c r="X46" s="297">
        <f>SUMIFS([1]مرداد!$AH$2:$AH$805,[1]مرداد!$O$2:$O$805,8002,[1]مرداد!$D$2:$D$805,$F$46,[1]مرداد!$AC$2:$AC$805,X3)</f>
        <v>0</v>
      </c>
      <c r="Y46" s="297">
        <f>SUMIFS([1]مرداد!$AH$2:$AH$805,[1]مرداد!$O$2:$O$805,8002,[1]مرداد!$D$2:$D$805,$F$46,[1]مرداد!$AC$2:$AC$805,Y3)</f>
        <v>0</v>
      </c>
      <c r="Z46" s="297">
        <f>SUMIFS([1]مرداد!$AH$2:$AH$805,[1]مرداد!$O$2:$O$805,8002,[1]مرداد!$D$2:$D$805,$F$46,[1]مرداد!$AC$2:$AC$805,Z3)</f>
        <v>0</v>
      </c>
      <c r="AA46" s="892">
        <f>SUMIFS([1]مرداد!$AH$2:$AH$805,[1]مرداد!$O$2:$O$805,8002,[1]مرداد!$D$2:$D$805,$F$46,[1]مرداد!$AC$2:$AC$805,AA3)</f>
        <v>0</v>
      </c>
      <c r="AB46" s="893">
        <f>SUMIFS([1]مرداد!$AH$2:$AH$805,[1]مرداد!$O$2:$O$805,8002,[1]مرداد!$D$2:$D$805,$F$46,[1]مرداد!$AC$2:$AC$805,AB3)</f>
        <v>0</v>
      </c>
    </row>
    <row r="47" spans="1:28" ht="33.75" customHeight="1" x14ac:dyDescent="0.25">
      <c r="A47" s="957">
        <v>22</v>
      </c>
      <c r="B47" s="974" t="s">
        <v>33</v>
      </c>
      <c r="C47" s="943" t="s">
        <v>33</v>
      </c>
      <c r="D47" s="932">
        <v>55</v>
      </c>
      <c r="E47" s="1002"/>
      <c r="F47" s="32" t="s">
        <v>16</v>
      </c>
      <c r="G47" s="885">
        <f t="shared" si="0"/>
        <v>22</v>
      </c>
      <c r="H47" s="46">
        <f t="shared" si="1"/>
        <v>0</v>
      </c>
      <c r="I47" s="885">
        <f t="shared" si="2"/>
        <v>11</v>
      </c>
      <c r="J47" s="885">
        <v>0</v>
      </c>
      <c r="K47" s="885">
        <v>0</v>
      </c>
      <c r="L47" s="885">
        <v>0</v>
      </c>
      <c r="M47" s="885">
        <f>(SUM(G47:L47))-D47</f>
        <v>-22</v>
      </c>
      <c r="N47" s="33"/>
      <c r="O47" s="292">
        <f>SUMIFS([1]شهریور!$AF$2:$AF$805,[1]شهریور!$O$2:$O$805,"مونتاژ",[1]شهریور!$D$2:$D$805,$F$47,[1]شهریور!$AC$2:$AC$805,O3)</f>
        <v>0</v>
      </c>
      <c r="P47" s="393">
        <f>SUMIFS([1]شهریور!$AF$2:$AF$805,[1]شهریور!$O$2:$O$805,"مونتاژ",[1]شهریور!$D$2:$D$805,$F$47,[1]شهریور!$AC$2:$AC$805,P3)</f>
        <v>2</v>
      </c>
      <c r="Q47" s="292">
        <f>SUMIFS([1]شهریور!$AF$2:$AF$805,[1]شهریور!$O$2:$O$805,"مونتاژ",[1]شهریور!$D$2:$D$805,$F$47,[1]شهریور!$AC$2:$AC$805,Q3)</f>
        <v>4</v>
      </c>
      <c r="R47" s="292">
        <f>SUMIFS([1]شهریور!$AF$2:$AF$805,[1]شهریور!$O$2:$O$805,"مونتاژ",[1]شهریور!$D$2:$D$805,$F$47,[1]شهریور!$AC$2:$AC$805,R3)</f>
        <v>8</v>
      </c>
      <c r="S47" s="292">
        <f>SUMIFS([1]شهریور!$AF$2:$AF$805,[1]شهریور!$O$2:$O$805,"مونتاژ",[1]شهریور!$D$2:$D$805,$F$47,[1]شهریور!$AC$2:$AC$805,S3)</f>
        <v>8</v>
      </c>
      <c r="T47" s="393">
        <f>SUMIFS([1]شهریور!$AF$2:$AF$805,[1]شهریور!$O$2:$O$805,"مونتاژ",[1]شهریور!$D$2:$D$805,$F$47,[1]شهریور!$AC$2:$AC$805,T3)</f>
        <v>0</v>
      </c>
      <c r="U47" s="393">
        <f>SUMIFS([1]شهریور!$AF$2:$AF$805,[1]شهریور!$O$2:$O$805,"مونتاژ",[1]شهریور!$D$2:$D$805,$F$47,[1]شهریور!$AC$2:$AC$805,U3)</f>
        <v>0</v>
      </c>
      <c r="V47" s="165">
        <f>SUMIFS([1]شهریور!$AH$2:$AH$805,[1]شهریور!$O$2:$O$805,7401,[1]شهریور!$D$2:$D$805,$F$47,[1]شهریور!$AC$2:$AC$805,V3)</f>
        <v>0</v>
      </c>
      <c r="W47" s="165">
        <f>SUMIFS([1]شهریور!$AH$2:$AH$805,[1]شهریور!$O$2:$O$805,7401,[1]شهریور!$D$2:$D$805,$F$47,[1]شهریور!$AC$2:$AC$805,W3)</f>
        <v>11</v>
      </c>
      <c r="X47" s="165">
        <f>SUMIFS([1]شهریور!$AH$2:$AH$805,[1]شهریور!$O$2:$O$805,7401,[1]شهریور!$D$2:$D$805,$F$47,[1]شهریور!$AC$2:$AC$805,X3)</f>
        <v>0</v>
      </c>
      <c r="Y47" s="165">
        <f>SUMIFS([1]شهریور!$AH$2:$AH$805,[1]شهریور!$O$2:$O$805,7401,[1]شهریور!$D$2:$D$805,$F$47,[1]شهریور!$AC$2:$AC$805,Y3)</f>
        <v>0</v>
      </c>
      <c r="Z47" s="165">
        <f>SUMIFS([1]شهریور!$AH$2:$AH$805,[1]شهریور!$O$2:$O$805,7401,[1]شهریور!$D$2:$D$805,$F$47,[1]شهریور!$AC$2:$AC$805,Z3)</f>
        <v>0</v>
      </c>
      <c r="AA47" s="165">
        <f>SUMIFS([1]شهریور!$AH$2:$AH$805,[1]شهریور!$O$2:$O$805,7401,[1]شهریور!$D$2:$D$805,$F$47,[1]شهریور!$AC$2:$AC$805,AA3)</f>
        <v>0</v>
      </c>
      <c r="AB47" s="165">
        <f>SUMIFS([1]شهریور!$AH$2:$AH$805,[1]شهریور!$O$2:$O$805,7401,[1]شهریور!$D$2:$D$805,$F$47,[1]شهریور!$AC$2:$AC$805,AB3)</f>
        <v>0</v>
      </c>
    </row>
    <row r="48" spans="1:28" ht="33.75" customHeight="1" x14ac:dyDescent="0.25">
      <c r="A48" s="958"/>
      <c r="B48" s="975"/>
      <c r="C48" s="965"/>
      <c r="D48" s="933"/>
      <c r="E48" s="965"/>
      <c r="F48" s="29" t="s">
        <v>17</v>
      </c>
      <c r="G48" s="3">
        <f>SUM(O48:T48)</f>
        <v>2</v>
      </c>
      <c r="H48" s="47">
        <f t="shared" si="1"/>
        <v>0</v>
      </c>
      <c r="I48" s="3">
        <f t="shared" si="2"/>
        <v>0</v>
      </c>
      <c r="J48" s="3">
        <v>0</v>
      </c>
      <c r="K48" s="3">
        <v>0</v>
      </c>
      <c r="L48" s="3">
        <v>0</v>
      </c>
      <c r="M48" s="3">
        <f>(SUM(G48:L48))-D47</f>
        <v>-53</v>
      </c>
      <c r="N48" s="58"/>
      <c r="O48" s="293">
        <f>SUMIFS([1]شهریور!$AF$2:$AF$805,[1]شهریور!$O$2:$O$805,"مونتاژ",[1]شهریور!$D$2:$D$805,$F$48,[1]شهریور!$AC$2:$AC$805,O3)</f>
        <v>0</v>
      </c>
      <c r="P48" s="891">
        <f>SUMIFS([1]شهریور!$AF$2:$AF$805,[1]شهریور!$O$2:$O$805,"مونتاژ",[1]شهریور!$D$2:$D$805,$F$48,[1]شهریور!$AC$2:$AC$805,P3)</f>
        <v>0</v>
      </c>
      <c r="Q48" s="293">
        <f>SUMIFS([1]شهریور!$AF$2:$AF$805,[1]شهریور!$O$2:$O$805,"مونتاژ",[1]شهریور!$D$2:$D$805,$F$48,[1]شهریور!$AC$2:$AC$805,Q3)</f>
        <v>1</v>
      </c>
      <c r="R48" s="293">
        <f>SUMIFS([1]شهریور!$AF$2:$AF$805,[1]شهریور!$O$2:$O$805,"مونتاژ",[1]شهریور!$D$2:$D$805,$F$48,[1]شهریور!$AC$2:$AC$805,R3)</f>
        <v>1</v>
      </c>
      <c r="S48" s="293">
        <f>SUMIFS([1]شهریور!$AF$2:$AF$805,[1]شهریور!$O$2:$O$805,"مونتاژ",[1]شهریور!$D$2:$D$805,$F$48,[1]شهریور!$AC$2:$AC$805,S3)</f>
        <v>0</v>
      </c>
      <c r="T48" s="891">
        <f>SUMIFS([1]شهریور!$AF$2:$AF$805,[1]شهریور!$O$2:$O$805,"مونتاژ",[1]شهریور!$D$2:$D$805,$F$48,[1]شهریور!$AC$2:$AC$805,T3)</f>
        <v>0</v>
      </c>
      <c r="U48" s="891">
        <f>SUMIFS([1]شهریور!$AF$2:$AF$805,[1]شهریور!$O$2:$O$805,"مونتاژ",[1]شهریور!$D$2:$D$805,$F$48,[1]شهریور!$AC$2:$AC$805,U3)</f>
        <v>0</v>
      </c>
      <c r="V48" s="166" cm="1">
        <f t="array" ref="V48">SUMIFS([1]مرداد!$AH$2:$AH$805,[1]مرداد!$O$2:$O$805,مونتاژ,[1]مرداد!$D$2:$D$805,$F$48,[1]مرداد!$AC$2:$AC$805,V3)</f>
        <v>0</v>
      </c>
      <c r="W48" s="891" cm="1">
        <f t="array" ref="W48">SUMIFS([1]مرداد!$AH$2:$AH$805,[1]مرداد!$O$2:$O$805,مونتاژ,[1]مرداد!$D$2:$D$805,$F$48,[1]مرداد!$AC$2:$AC$805,W3)</f>
        <v>0</v>
      </c>
      <c r="X48" s="293" cm="1">
        <f t="array" ref="X48">SUMIFS([1]مرداد!$AH$2:$AH$805,[1]مرداد!$O$2:$O$805,مونتاژ,[1]مرداد!$D$2:$D$805,$F$48,[1]مرداد!$AC$2:$AC$805,X3)</f>
        <v>0</v>
      </c>
      <c r="Y48" s="293" cm="1">
        <f t="array" ref="Y48">SUMIFS([1]مرداد!$AH$2:$AH$805,[1]مرداد!$O$2:$O$805,مونتاژ,[1]مرداد!$D$2:$D$805,$F$48,[1]مرداد!$AC$2:$AC$805,Y3)</f>
        <v>0</v>
      </c>
      <c r="Z48" s="293" cm="1">
        <f t="array" ref="Z48">SUMIFS([1]مرداد!$AH$2:$AH$805,[1]مرداد!$O$2:$O$805,مونتاژ,[1]مرداد!$D$2:$D$805,$F$48,[1]مرداد!$AC$2:$AC$805,Z3)</f>
        <v>0</v>
      </c>
      <c r="AA48" s="891" cm="1">
        <f t="array" ref="AA48">SUMIFS([1]مرداد!$AH$2:$AH$805,[1]مرداد!$O$2:$O$805,مونتاژ,[1]مرداد!$D$2:$D$805,$F$48,[1]مرداد!$AC$2:$AC$805,AA3)</f>
        <v>0</v>
      </c>
      <c r="AB48" s="901" cm="1">
        <f t="array" ref="AB48">SUMIFS([1]مرداد!$AH$2:$AH$805,[1]مرداد!$O$2:$O$805,مونتاژ,[1]مرداد!$D$2:$D$805,$F$48,[1]مرداد!$AC$2:$AC$805,AB3)</f>
        <v>0</v>
      </c>
    </row>
    <row r="49" spans="1:28" ht="33.75" customHeight="1" x14ac:dyDescent="0.25">
      <c r="A49" s="959"/>
      <c r="B49" s="975"/>
      <c r="C49" s="966"/>
      <c r="D49" s="933"/>
      <c r="E49" s="966"/>
      <c r="F49" s="29" t="s">
        <v>54</v>
      </c>
      <c r="G49" s="3">
        <f t="shared" ref="G49:G54" si="3">SUM(O49:T49)</f>
        <v>39</v>
      </c>
      <c r="H49" s="47">
        <f t="shared" si="1"/>
        <v>0</v>
      </c>
      <c r="I49" s="3">
        <f t="shared" si="2"/>
        <v>0</v>
      </c>
      <c r="J49" s="3">
        <v>0</v>
      </c>
      <c r="K49" s="3">
        <v>0</v>
      </c>
      <c r="L49" s="3">
        <v>0</v>
      </c>
      <c r="M49" s="3">
        <f>(SUM(G49:L49))-62</f>
        <v>-23</v>
      </c>
      <c r="N49" s="62"/>
      <c r="O49" s="293">
        <f>SUMIFS([1]شهریور!$AF$2:$AF$805,[1]شهریور!$O$2:$O$805,"مونتاژ",[1]شهریور!$D$2:$D$805,$F$49,[1]شهریور!$AC$2:$AC$805,O3)</f>
        <v>5</v>
      </c>
      <c r="P49" s="891">
        <f>SUMIFS([1]شهریور!$AF$2:$AF$805,[1]شهریور!$O$2:$O$805,"مونتاژ",[1]شهریور!$D$2:$D$805,$F$49,[1]شهریور!$AC$2:$AC$805,P3)</f>
        <v>8</v>
      </c>
      <c r="Q49" s="293">
        <f>SUMIFS([1]شهریور!$AF$2:$AF$805,[1]شهریور!$O$2:$O$805,"مونتاژ",[1]شهریور!$D$2:$D$805,$F$49,[1]شهریور!$AC$2:$AC$805,Q3)</f>
        <v>9</v>
      </c>
      <c r="R49" s="293">
        <f>SUMIFS([1]شهریور!$AF$2:$AF$805,[1]شهریور!$O$2:$O$805,"مونتاژ",[1]شهریور!$D$2:$D$805,$F$49,[1]شهریور!$AC$2:$AC$805,R3)</f>
        <v>9</v>
      </c>
      <c r="S49" s="293">
        <f>SUMIFS([1]شهریور!$AF$2:$AF$805,[1]شهریور!$O$2:$O$805,"مونتاژ",[1]شهریور!$D$2:$D$805,$F$49,[1]شهریور!$AC$2:$AC$805,S3)</f>
        <v>8</v>
      </c>
      <c r="T49" s="891">
        <f>SUMIFS([1]شهریور!$AF$2:$AF$805,[1]شهریور!$O$2:$O$805,"مونتاژ",[1]شهریور!$D$2:$D$805,$F$49,[1]شهریور!$AC$2:$AC$805,T3)</f>
        <v>0</v>
      </c>
      <c r="U49" s="891">
        <f>SUMIFS([1]شهریور!$AF$2:$AF$805,[1]شهریور!$O$2:$O$805,"مونتاژ",[1]شهریور!$D$2:$D$805,$F$49,[1]شهریور!$AC$2:$AC$805,U3)</f>
        <v>0</v>
      </c>
      <c r="V49" s="166" cm="1">
        <f t="array" ref="V49">SUMIFS([1]مرداد!$AH$2:$AH$805,[1]مرداد!$O$2:$O$805,مونتاژ,[1]مرداد!$D$2:$D$805,$F$49,[1]مرداد!$AC$2:$AC$805,V3)</f>
        <v>0</v>
      </c>
      <c r="W49" s="891" cm="1">
        <f t="array" ref="W49">SUMIFS([1]مرداد!$AH$2:$AH$805,[1]مرداد!$O$2:$O$805,مونتاژ,[1]مرداد!$D$2:$D$805,$F$49,[1]مرداد!$AC$2:$AC$805,W3)</f>
        <v>0</v>
      </c>
      <c r="X49" s="293" cm="1">
        <f t="array" ref="X49">SUMIFS([1]مرداد!$AH$2:$AH$805,[1]مرداد!$O$2:$O$805,مونتاژ,[1]مرداد!$D$2:$D$805,$F$49,[1]مرداد!$AC$2:$AC$805,X3)</f>
        <v>0</v>
      </c>
      <c r="Y49" s="293" cm="1">
        <f t="array" ref="Y49">SUMIFS([1]مرداد!$AH$2:$AH$805,[1]مرداد!$O$2:$O$805,مونتاژ,[1]مرداد!$D$2:$D$805,$F$49,[1]مرداد!$AC$2:$AC$805,Y3)</f>
        <v>0</v>
      </c>
      <c r="Z49" s="293" cm="1">
        <f t="array" ref="Z49">SUMIFS([1]مرداد!$AH$2:$AH$805,[1]مرداد!$O$2:$O$805,مونتاژ,[1]مرداد!$D$2:$D$805,$F$49,[1]مرداد!$AC$2:$AC$805,Z3)</f>
        <v>0</v>
      </c>
      <c r="AA49" s="891" cm="1">
        <f t="array" ref="AA49">SUMIFS([1]مرداد!$AH$2:$AH$805,[1]مرداد!$O$2:$O$805,مونتاژ,[1]مرداد!$D$2:$D$805,$F$49,[1]مرداد!$AC$2:$AC$805,AA3)</f>
        <v>0</v>
      </c>
      <c r="AB49" s="901" cm="1">
        <f t="array" ref="AB49">SUMIFS([1]مرداد!$AH$2:$AH$805,[1]مرداد!$O$2:$O$805,مونتاژ,[1]مرداد!$D$2:$D$805,$F$49,[1]مرداد!$AC$2:$AC$805,AB3)</f>
        <v>0</v>
      </c>
    </row>
    <row r="50" spans="1:28" ht="33.75" customHeight="1" thickBot="1" x14ac:dyDescent="0.3">
      <c r="A50" s="960"/>
      <c r="B50" s="975"/>
      <c r="C50" s="944"/>
      <c r="D50" s="934"/>
      <c r="E50" s="944"/>
      <c r="F50" s="30" t="s">
        <v>55</v>
      </c>
      <c r="G50" s="6">
        <f t="shared" si="3"/>
        <v>1.5</v>
      </c>
      <c r="H50" s="765">
        <f t="shared" si="1"/>
        <v>0</v>
      </c>
      <c r="I50" s="1">
        <f t="shared" si="2"/>
        <v>0</v>
      </c>
      <c r="J50" s="7">
        <v>0</v>
      </c>
      <c r="K50" s="7">
        <v>0</v>
      </c>
      <c r="L50" s="7">
        <v>0</v>
      </c>
      <c r="M50" s="7">
        <f>SUM(G50:J50)-62</f>
        <v>-60.5</v>
      </c>
      <c r="N50" s="34"/>
      <c r="O50" s="352">
        <f>SUMIFS([1]شهریور!$AF$2:$AF$805,[1]شهریور!$O$2:$O$805,"مونتاژ",[1]شهریور!$D$2:$D$805,"آذرمنش",[1]شهریور!$AC$2:$AC$805,O3)</f>
        <v>0</v>
      </c>
      <c r="P50" s="352">
        <f>SUMIFS([1]شهریور!$AF$2:$AF$805,[1]شهریور!$O$2:$O$805,"مونتاژ",[1]شهریور!$D$2:$D$805,"آذرمنش",[1]شهریور!$AC$2:$AC$805,P3)</f>
        <v>0</v>
      </c>
      <c r="Q50" s="352">
        <f>SUMIFS([1]شهریور!$AF$2:$AF$805,[1]شهریور!$O$2:$O$805,"مونتاژ",[1]شهریور!$D$2:$D$805,"آذرمنش",[1]شهریور!$AC$2:$AC$805,Q3)</f>
        <v>0</v>
      </c>
      <c r="R50" s="352">
        <f>SUMIFS([1]شهریور!$AF$2:$AF$805,[1]شهریور!$O$2:$O$805,"مونتاژ",[1]شهریور!$D$2:$D$805,"آذرمنش",[1]شهریور!$AC$2:$AC$805,R3)</f>
        <v>1.5</v>
      </c>
      <c r="S50" s="352">
        <f>SUMIFS([1]شهریور!$AF$2:$AF$805,[1]شهریور!$O$2:$O$805,"مونتاژ",[1]شهریور!$D$2:$D$805,"آذرمنش",[1]شهریور!$AC$2:$AC$805,S3)</f>
        <v>0</v>
      </c>
      <c r="T50" s="352">
        <f>SUMIFS([1]شهریور!$AF$2:$AF$805,[1]شهریور!$O$2:$O$805,"مونتاژ",[1]شهریور!$D$2:$D$805,"آذرمنش",[1]شهریور!$AC$2:$AC$805,T3)</f>
        <v>0</v>
      </c>
      <c r="U50" s="352">
        <f>SUMIFS([1]شهریور!$AF$2:$AF$805,[1]شهریور!$O$2:$O$805,"مونتاژ",[1]شهریور!$D$2:$D$805,"آذرمنش",[1]شهریور!$AC$2:$AC$805,U3)</f>
        <v>0</v>
      </c>
      <c r="V50" s="171" cm="1">
        <f t="array" ref="V50">SUMIFS([1]مرداد!$AH$2:$AH$805,[1]مرداد!$O$2:$O$805,مونتاژ,[1]مرداد!$D$2:$D$805,$F$50,[1]مرداد!$AC$2:$AC$805,V3)</f>
        <v>0</v>
      </c>
      <c r="W50" s="904" cm="1">
        <f t="array" ref="W50">SUMIFS([1]مرداد!$AH$2:$AH$805,[1]مرداد!$O$2:$O$805,مونتاژ,[1]مرداد!$D$2:$D$805,$F$50,[1]مرداد!$AC$2:$AC$805,W3)</f>
        <v>0</v>
      </c>
      <c r="X50" s="294" cm="1">
        <f t="array" ref="X50">SUMIFS([1]مرداد!$AH$2:$AH$805,[1]مرداد!$O$2:$O$805,مونتاژ,[1]مرداد!$D$2:$D$805,$F$50,[1]مرداد!$AC$2:$AC$805,X3)</f>
        <v>0</v>
      </c>
      <c r="Y50" s="294" cm="1">
        <f t="array" ref="Y50">SUMIFS([1]مرداد!$AH$2:$AH$805,[1]مرداد!$O$2:$O$805,مونتاژ,[1]مرداد!$D$2:$D$805,$F$50,[1]مرداد!$AC$2:$AC$805,Y3)</f>
        <v>0</v>
      </c>
      <c r="Z50" s="294" cm="1">
        <f t="array" ref="Z50">SUMIFS([1]مرداد!$AH$2:$AH$805,[1]مرداد!$O$2:$O$805,مونتاژ,[1]مرداد!$D$2:$D$805,$F$50,[1]مرداد!$AC$2:$AC$805,Z3)</f>
        <v>0</v>
      </c>
      <c r="AA50" s="904" cm="1">
        <f t="array" ref="AA50">SUMIFS([1]مرداد!$AH$2:$AH$805,[1]مرداد!$O$2:$O$805,مونتاژ,[1]مرداد!$D$2:$D$805,$F$50,[1]مرداد!$AC$2:$AC$805,AA3)</f>
        <v>0</v>
      </c>
      <c r="AB50" s="700" cm="1">
        <f t="array" ref="AB50">SUMIFS([1]مرداد!$AH$2:$AH$805,[1]مرداد!$O$2:$O$805,مونتاژ,[1]مرداد!$D$2:$D$805,$F$50,[1]مرداد!$AC$2:$AC$805,AB3)</f>
        <v>0</v>
      </c>
    </row>
    <row r="51" spans="1:28" ht="33.75" customHeight="1" x14ac:dyDescent="0.25">
      <c r="A51" s="967">
        <v>23</v>
      </c>
      <c r="B51" s="975"/>
      <c r="C51" s="943" t="s">
        <v>34</v>
      </c>
      <c r="D51" s="932">
        <v>55</v>
      </c>
      <c r="E51" s="932"/>
      <c r="F51" s="32" t="s">
        <v>16</v>
      </c>
      <c r="G51" s="59">
        <f t="shared" si="3"/>
        <v>4</v>
      </c>
      <c r="H51" s="46">
        <f t="shared" si="1"/>
        <v>0</v>
      </c>
      <c r="I51" s="910">
        <f t="shared" si="2"/>
        <v>0</v>
      </c>
      <c r="J51" s="885">
        <v>0</v>
      </c>
      <c r="K51" s="885">
        <v>0</v>
      </c>
      <c r="L51" s="885">
        <v>0</v>
      </c>
      <c r="M51" s="885">
        <f>SUM(G51:L51)-62</f>
        <v>-58</v>
      </c>
      <c r="N51" s="56"/>
      <c r="O51" s="292">
        <f>SUMIFS([1]شهریور!$AF$2:$AF$805,[1]شهریور!$O$2:$O$805,"دمونتاژ",[1]شهریور!$D$2:$D$805,$F$51,[1]شهریور!$AC$2:$AC$805,O3)</f>
        <v>0</v>
      </c>
      <c r="P51" s="292">
        <f>SUMIFS([1]شهریور!$AF$2:$AF$805,[1]شهریور!$O$2:$O$805,"دمونتاژ",[1]شهریور!$D$2:$D$805,$F$51,[1]شهریور!$AC$2:$AC$805,P3)</f>
        <v>0</v>
      </c>
      <c r="Q51" s="292">
        <f>SUMIFS([1]شهریور!$AF$2:$AF$805,[1]شهریور!$O$2:$O$805,"دمونتاژ",[1]شهریور!$D$2:$D$805,$F$51,[1]شهریور!$AC$2:$AC$805,Q3)</f>
        <v>0</v>
      </c>
      <c r="R51" s="292">
        <f>SUMIFS([1]شهریور!$AF$2:$AF$805,[1]شهریور!$O$2:$O$805,"دمونتاژ",[1]شهریور!$D$2:$D$805,$F$51,[1]شهریور!$AC$2:$AC$805,R3)</f>
        <v>1</v>
      </c>
      <c r="S51" s="292">
        <f>SUMIFS([1]شهریور!$AF$2:$AF$805,[1]شهریور!$O$2:$O$805,"دمونتاژ",[1]شهریور!$D$2:$D$805,$F$51,[1]شهریور!$AC$2:$AC$805,S3)</f>
        <v>3</v>
      </c>
      <c r="T51" s="292">
        <f>SUMIFS([1]شهریور!$AF$2:$AF$805,[1]شهریور!$O$2:$O$805,"دمونتاژ",[1]شهریور!$D$2:$D$805,$F$51,[1]شهریور!$AC$2:$AC$805,T3)</f>
        <v>0</v>
      </c>
      <c r="U51" s="292">
        <f>SUMIFS([1]شهریور!$AF$2:$AF$805,[1]شهریور!$O$2:$O$805,"دمونتاژ",[1]شهریور!$D$2:$D$805,$F$51,[1]شهریور!$AC$2:$AC$805,U3)</f>
        <v>0</v>
      </c>
      <c r="V51" s="165" cm="1">
        <f t="array" ref="V51">SUMIFS([1]شهریور!$AH$2:$AH$805,[1]شهریور!$O$2:$O$805,دمونتاژ,[1]شهریور!$D$2:$D$805,$F$51,[1]شهریور!$AC$2:$AC$805,V3)</f>
        <v>0</v>
      </c>
      <c r="W51" s="165" cm="1">
        <f t="array" ref="W51">SUMIFS([1]شهریور!$AH$2:$AH$805,[1]شهریور!$O$2:$O$805,دمونتاژ,[1]شهریور!$D$2:$D$805,$F$51,[1]شهریور!$AC$2:$AC$805,W3)</f>
        <v>0</v>
      </c>
      <c r="X51" s="165" cm="1">
        <f t="array" ref="X51">SUMIFS([1]شهریور!$AH$2:$AH$805,[1]شهریور!$O$2:$O$805,دمونتاژ,[1]شهریور!$D$2:$D$805,$F$51,[1]شهریور!$AC$2:$AC$805,X3)</f>
        <v>0</v>
      </c>
      <c r="Y51" s="165" cm="1">
        <f t="array" ref="Y51">SUMIFS([1]شهریور!$AH$2:$AH$805,[1]شهریور!$O$2:$O$805,دمونتاژ,[1]شهریور!$D$2:$D$805,$F$51,[1]شهریور!$AC$2:$AC$805,Y3)</f>
        <v>0</v>
      </c>
      <c r="Z51" s="165" cm="1">
        <f t="array" ref="Z51">SUMIFS([1]شهریور!$AH$2:$AH$805,[1]شهریور!$O$2:$O$805,دمونتاژ,[1]شهریور!$D$2:$D$805,$F$51,[1]شهریور!$AC$2:$AC$805,Z3)</f>
        <v>0</v>
      </c>
      <c r="AA51" s="165" cm="1">
        <f t="array" ref="AA51">SUMIFS([1]شهریور!$AH$2:$AH$805,[1]شهریور!$O$2:$O$805,دمونتاژ,[1]شهریور!$D$2:$D$805,$F$51,[1]شهریور!$AC$2:$AC$805,AA3)</f>
        <v>0</v>
      </c>
      <c r="AB51" s="165" cm="1">
        <f t="array" ref="AB51">SUMIFS([1]شهریور!$AH$2:$AH$805,[1]شهریور!$O$2:$O$805,دمونتاژ,[1]شهریور!$D$2:$D$805,$F$51,[1]شهریور!$AC$2:$AC$805,AB3)</f>
        <v>0</v>
      </c>
    </row>
    <row r="52" spans="1:28" ht="33.75" customHeight="1" x14ac:dyDescent="0.25">
      <c r="A52" s="967"/>
      <c r="B52" s="975"/>
      <c r="C52" s="965"/>
      <c r="D52" s="933"/>
      <c r="E52" s="933"/>
      <c r="F52" s="29" t="s">
        <v>55</v>
      </c>
      <c r="G52" s="3">
        <f t="shared" si="3"/>
        <v>1</v>
      </c>
      <c r="H52" s="49">
        <f t="shared" si="1"/>
        <v>0</v>
      </c>
      <c r="I52" s="3">
        <f t="shared" si="2"/>
        <v>0</v>
      </c>
      <c r="J52" s="3">
        <v>0</v>
      </c>
      <c r="K52" s="3">
        <v>0</v>
      </c>
      <c r="L52" s="3">
        <v>0</v>
      </c>
      <c r="M52" s="3">
        <f>SUM(G52:L52)-62</f>
        <v>-61</v>
      </c>
      <c r="N52" s="62"/>
      <c r="O52" s="293">
        <f>SUMIFS([1]شهریور!$AF$2:$AF$805,[1]شهریور!$O$2:$O$805,"دمونتاژ",[1]شهریور!$D$2:$D$805,$F$52,[1]شهریور!$AC$2:$AC$805,O3)</f>
        <v>0</v>
      </c>
      <c r="P52" s="293">
        <f>SUMIFS([1]شهریور!$AF$2:$AF$805,[1]شهریور!$O$2:$O$805,"دمونتاژ",[1]شهریور!$D$2:$D$805,$F$52,[1]شهریور!$AC$2:$AC$805,P3)</f>
        <v>0</v>
      </c>
      <c r="Q52" s="293">
        <f>SUMIFS([1]شهریور!$AF$2:$AF$805,[1]شهریور!$O$2:$O$805,"دمونتاژ",[1]شهریور!$D$2:$D$805,$F$52,[1]شهریور!$AC$2:$AC$805,Q3)</f>
        <v>0</v>
      </c>
      <c r="R52" s="293">
        <f>SUMIFS([1]شهریور!$AF$2:$AF$805,[1]شهریور!$O$2:$O$805,"دمونتاژ",[1]شهریور!$D$2:$D$805,$F$52,[1]شهریور!$AC$2:$AC$805,R3)</f>
        <v>1</v>
      </c>
      <c r="S52" s="293">
        <f>SUMIFS([1]شهریور!$AF$2:$AF$805,[1]شهریور!$O$2:$O$805,"دمونتاژ",[1]شهریور!$D$2:$D$805,$F$52,[1]شهریور!$AC$2:$AC$805,S3)</f>
        <v>0</v>
      </c>
      <c r="T52" s="293">
        <f>SUMIFS([1]شهریور!$AF$2:$AF$805,[1]شهریور!$O$2:$O$805,"دمونتاژ",[1]شهریور!$D$2:$D$805,$F$52,[1]شهریور!$AC$2:$AC$805,T3)</f>
        <v>0</v>
      </c>
      <c r="U52" s="293">
        <f>SUMIFS([1]شهریور!$AF$2:$AF$805,[1]شهریور!$O$2:$O$805,"دمونتاژ",[1]شهریور!$D$2:$D$805,$F$52,[1]شهریور!$AC$2:$AC$805,U3)</f>
        <v>0</v>
      </c>
      <c r="V52" s="166" cm="1">
        <f t="array" ref="V52">SUMIFS([1]مرداد!$AH$2:$AH$805,[1]مرداد!$O$2:$O$805,دمونتاژ,[1]مرداد!$D$2:$D$805,$F$52,[1]مرداد!$AC$2:$AC$805,V3)</f>
        <v>0</v>
      </c>
      <c r="W52" s="891" cm="1">
        <f t="array" ref="W52">SUMIFS([1]مرداد!$AH$2:$AH$805,[1]مرداد!$O$2:$O$805,دمونتاژ,[1]مرداد!$D$2:$D$805,$F$52,[1]مرداد!$AC$2:$AC$805,W3)</f>
        <v>0</v>
      </c>
      <c r="X52" s="293" cm="1">
        <f t="array" ref="X52">SUMIFS([1]مرداد!$AH$2:$AH$805,[1]مرداد!$O$2:$O$805,دمونتاژ,[1]مرداد!$D$2:$D$805,$F$52,[1]مرداد!$AC$2:$AC$805,X3)</f>
        <v>0</v>
      </c>
      <c r="Y52" s="293" cm="1">
        <f t="array" ref="Y52">SUMIFS([1]مرداد!$AH$2:$AH$805,[1]مرداد!$O$2:$O$805,دمونتاژ,[1]مرداد!$D$2:$D$805,$F$52,[1]مرداد!$AC$2:$AC$805,Y3)</f>
        <v>0</v>
      </c>
      <c r="Z52" s="293" cm="1">
        <f t="array" ref="Z52">SUMIFS([1]مرداد!$AH$2:$AH$805,[1]مرداد!$O$2:$O$805,دمونتاژ,[1]مرداد!$D$2:$D$805,$F$52,[1]مرداد!$AC$2:$AC$805,Z3)</f>
        <v>0</v>
      </c>
      <c r="AA52" s="891" cm="1">
        <f t="array" ref="AA52">SUMIFS([1]مرداد!$AH$2:$AH$805,[1]مرداد!$O$2:$O$805,دمونتاژ,[1]مرداد!$D$2:$D$805,$F$52,[1]مرداد!$AC$2:$AC$805,AA3)</f>
        <v>0</v>
      </c>
      <c r="AB52" s="901" cm="1">
        <f t="array" ref="AB52">SUMIFS([1]مرداد!$AH$2:$AH$805,[1]مرداد!$O$2:$O$805,دمونتاژ,[1]مرداد!$D$2:$D$805,$F$52,[1]مرداد!$AC$2:$AC$805,AB3)</f>
        <v>0</v>
      </c>
    </row>
    <row r="53" spans="1:28" ht="33.75" customHeight="1" x14ac:dyDescent="0.25">
      <c r="A53" s="967"/>
      <c r="B53" s="975"/>
      <c r="C53" s="965"/>
      <c r="D53" s="933"/>
      <c r="E53" s="933"/>
      <c r="F53" s="29" t="s">
        <v>54</v>
      </c>
      <c r="G53" s="3">
        <f t="shared" si="3"/>
        <v>7</v>
      </c>
      <c r="H53" s="47">
        <f t="shared" si="1"/>
        <v>0</v>
      </c>
      <c r="I53" s="3">
        <f t="shared" si="2"/>
        <v>0</v>
      </c>
      <c r="J53" s="3">
        <v>0</v>
      </c>
      <c r="K53" s="3">
        <v>0</v>
      </c>
      <c r="L53" s="3">
        <v>0</v>
      </c>
      <c r="M53" s="3">
        <f>SUM(G53:L53)-62</f>
        <v>-55</v>
      </c>
      <c r="N53" s="62"/>
      <c r="O53" s="293">
        <f>SUMIFS([1]شهریور!$AF$2:$AF$805,[1]شهریور!$O$2:$O$805,"دمونتاژ",[1]شهریور!$D$2:$D$805,$F$53,[1]شهریور!$AC$2:$AC$805,O3)</f>
        <v>4</v>
      </c>
      <c r="P53" s="293">
        <f>SUMIFS([1]شهریور!$AF$2:$AF$805,[1]شهریور!$O$2:$O$805,"دمونتاژ",[1]شهریور!$D$2:$D$805,$F$53,[1]شهریور!$AC$2:$AC$805,P3)</f>
        <v>0</v>
      </c>
      <c r="Q53" s="293">
        <f>SUMIFS([1]شهریور!$AF$2:$AF$805,[1]شهریور!$O$2:$O$805,"دمونتاژ",[1]شهریور!$D$2:$D$805,$F$53,[1]شهریور!$AC$2:$AC$805,Q3)</f>
        <v>0</v>
      </c>
      <c r="R53" s="293">
        <f>SUMIFS([1]شهریور!$AF$2:$AF$805,[1]شهریور!$O$2:$O$805,"دمونتاژ",[1]شهریور!$D$2:$D$805,$F$53,[1]شهریور!$AC$2:$AC$805,R3)</f>
        <v>0</v>
      </c>
      <c r="S53" s="293">
        <f>SUMIFS([1]شهریور!$AF$2:$AF$805,[1]شهریور!$O$2:$O$805,"دمونتاژ",[1]شهریور!$D$2:$D$805,$F$53,[1]شهریور!$AC$2:$AC$805,S3)</f>
        <v>3</v>
      </c>
      <c r="T53" s="293">
        <f>SUMIFS([1]شهریور!$AF$2:$AF$805,[1]شهریور!$O$2:$O$805,"دمونتاژ",[1]شهریور!$D$2:$D$805,$F$53,[1]شهریور!$AC$2:$AC$805,T3)</f>
        <v>0</v>
      </c>
      <c r="U53" s="293">
        <f>SUMIFS([1]شهریور!$AF$2:$AF$805,[1]شهریور!$O$2:$O$805,"دمونتاژ",[1]شهریور!$D$2:$D$805,$F$53,[1]شهریور!$AC$2:$AC$805,U3)</f>
        <v>0</v>
      </c>
      <c r="V53" s="166" cm="1">
        <f t="array" ref="V53">SUMIFS([1]مرداد!$AH$2:$AH$805,[1]مرداد!$O$2:$O$805,دمونتاژ,[1]مرداد!$D$2:$D$805,$F$53,[1]مرداد!$AC$2:$AC$805,V3)</f>
        <v>0</v>
      </c>
      <c r="W53" s="891" cm="1">
        <f t="array" ref="W53">SUMIFS([1]مرداد!$AH$2:$AH$805,[1]مرداد!$O$2:$O$805,دمونتاژ,[1]مرداد!$D$2:$D$805,$F$53,[1]مرداد!$AC$2:$AC$805,W3)</f>
        <v>0</v>
      </c>
      <c r="X53" s="293" cm="1">
        <f t="array" ref="X53">SUMIFS([1]مرداد!$AH$2:$AH$805,[1]مرداد!$O$2:$O$805,دمونتاژ,[1]مرداد!$D$2:$D$805,$F$53,[1]مرداد!$AC$2:$AC$805,X3)</f>
        <v>0</v>
      </c>
      <c r="Y53" s="293" cm="1">
        <f t="array" ref="Y53">SUMIFS([1]مرداد!$AH$2:$AH$805,[1]مرداد!$O$2:$O$805,دمونتاژ,[1]مرداد!$D$2:$D$805,$F$53,[1]مرداد!$AC$2:$AC$805,Y3)</f>
        <v>0</v>
      </c>
      <c r="Z53" s="293" cm="1">
        <f t="array" ref="Z53">SUMIFS([1]مرداد!$AH$2:$AH$805,[1]مرداد!$O$2:$O$805,دمونتاژ,[1]مرداد!$D$2:$D$805,$F$53,[1]مرداد!$AC$2:$AC$805,Z3)</f>
        <v>0</v>
      </c>
      <c r="AA53" s="891" cm="1">
        <f t="array" ref="AA53">SUMIFS([1]مرداد!$AH$2:$AH$805,[1]مرداد!$O$2:$O$805,دمونتاژ,[1]مرداد!$D$2:$D$805,$F$53,[1]مرداد!$AC$2:$AC$805,AA3)</f>
        <v>0</v>
      </c>
      <c r="AB53" s="901" cm="1">
        <f t="array" ref="AB53">SUMIFS([1]مرداد!$AH$2:$AH$805,[1]مرداد!$O$2:$O$805,دمونتاژ,[1]مرداد!$D$2:$D$805,$F$53,[1]مرداد!$AC$2:$AC$805,AB3)</f>
        <v>0</v>
      </c>
    </row>
    <row r="54" spans="1:28" ht="33.75" customHeight="1" thickBot="1" x14ac:dyDescent="0.3">
      <c r="A54" s="967"/>
      <c r="B54" s="975"/>
      <c r="C54" s="966"/>
      <c r="D54" s="933"/>
      <c r="E54" s="933"/>
      <c r="F54" s="860"/>
      <c r="G54" s="4">
        <f t="shared" si="3"/>
        <v>0</v>
      </c>
      <c r="H54" s="765">
        <f t="shared" si="1"/>
        <v>0</v>
      </c>
      <c r="I54" s="4">
        <f t="shared" si="2"/>
        <v>0</v>
      </c>
      <c r="J54" s="25">
        <v>0</v>
      </c>
      <c r="K54" s="25">
        <v>0</v>
      </c>
      <c r="L54" s="25">
        <v>0</v>
      </c>
      <c r="M54" s="25">
        <f>SUM(G54:L54)-62</f>
        <v>-62</v>
      </c>
      <c r="N54" s="58"/>
      <c r="O54" s="294">
        <f>SUMIFS([1]شهریور!$AF$2:$AF$805,[1]شهریور!$O$2:$O$805,"دمونتاژ",[1]شهریور!$D$2:$D$805,$F$54,[1]شهریور!$AC$2:$AC$805,O3)</f>
        <v>0</v>
      </c>
      <c r="P54" s="904">
        <f>SUMIFS([1]مرداد!$AF$2:$AF$805,[1]مرداد!$O$2:$O$805,"نظافت",[1]مرداد!$D$2:$D$805,"*",[1]مرداد!$AC$2:$AC$805,P3)</f>
        <v>0</v>
      </c>
      <c r="Q54" s="294">
        <f>SUMIFS([1]مرداد!$AF$2:$AF$805,[1]مرداد!$O$2:$O$805,"نظافت",[1]مرداد!$D$2:$D$805,"*",[1]مرداد!$AC$2:$AC$805,Q3)</f>
        <v>0</v>
      </c>
      <c r="R54" s="294">
        <f>SUMIFS([1]مرداد!$AF$2:$AF$805,[1]مرداد!$O$2:$O$805,"نظافت",[1]مرداد!$D$2:$D$805,"*",[1]مرداد!$AC$2:$AC$805,R3)</f>
        <v>0</v>
      </c>
      <c r="S54" s="294">
        <f>SUMIFS([1]مرداد!$AF$2:$AF$805,[1]مرداد!$O$2:$O$805,"نظافت",[1]مرداد!$D$2:$D$805,"*",[1]مرداد!$AC$2:$AC$805,S3)</f>
        <v>0</v>
      </c>
      <c r="T54" s="904">
        <f>SUMIFS([1]مرداد!$AF$2:$AF$805,[1]مرداد!$O$2:$O$805,"نظافت",[1]مرداد!$D$2:$D$805,"*",[1]مرداد!$AC$2:$AC$805,T3)</f>
        <v>0</v>
      </c>
      <c r="U54" s="905">
        <f>SUMIFS([1]مرداد!$AF$2:$AF$805,[1]مرداد!$O$2:$O$805,"نظافت",[1]مرداد!$D$2:$D$805,"*",[1]مرداد!$AC$2:$AC$805,U3)</f>
        <v>0</v>
      </c>
      <c r="V54" s="171" cm="1">
        <f t="array" ref="V54">SUMIFS([1]مرداد!$AH$2:$AH$805,[1]مرداد!$O$2:$O$805,دمونتاژ,[1]مرداد!$D$2:$D$805,$F$54,[1]مرداد!$AC$2:$AC$805,V3)</f>
        <v>0</v>
      </c>
      <c r="W54" s="904" cm="1">
        <f t="array" ref="W54">SUMIFS([1]مرداد!$AH$2:$AH$805,[1]مرداد!$O$2:$O$805,دمونتاژ,[1]مرداد!$D$2:$D$805,$F$54,[1]مرداد!$AC$2:$AC$805,W3)</f>
        <v>0</v>
      </c>
      <c r="X54" s="294" cm="1">
        <f t="array" ref="X54">SUMIFS([1]مرداد!$AH$2:$AH$805,[1]مرداد!$O$2:$O$805,دمونتاژ,[1]مرداد!$D$2:$D$805,$F$54,[1]مرداد!$AC$2:$AC$805,X3)</f>
        <v>0</v>
      </c>
      <c r="Y54" s="294" cm="1">
        <f t="array" ref="Y54">SUMIFS([1]مرداد!$AH$2:$AH$805,[1]مرداد!$O$2:$O$805,دمونتاژ,[1]مرداد!$D$2:$D$805,$F$54,[1]مرداد!$AC$2:$AC$805,Y3)</f>
        <v>0</v>
      </c>
      <c r="Z54" s="294" cm="1">
        <f t="array" ref="Z54">SUMIFS([1]مرداد!$AH$2:$AH$805,[1]مرداد!$O$2:$O$805,دمونتاژ,[1]مرداد!$D$2:$D$805,$F$54,[1]مرداد!$AC$2:$AC$805,Z3)</f>
        <v>0</v>
      </c>
      <c r="AA54" s="904" cm="1">
        <f t="array" ref="AA54">SUMIFS([1]مرداد!$AH$2:$AH$805,[1]مرداد!$O$2:$O$805,دمونتاژ,[1]مرداد!$D$2:$D$805,$F$54,[1]مرداد!$AC$2:$AC$805,AA3)</f>
        <v>0</v>
      </c>
      <c r="AB54" s="700" cm="1">
        <f t="array" ref="AB54">SUMIFS([1]مرداد!$AH$2:$AH$805,[1]مرداد!$O$2:$O$805,دمونتاژ,[1]مرداد!$D$2:$D$805,$F$54,[1]مرداد!$AC$2:$AC$805,AB3)</f>
        <v>0</v>
      </c>
    </row>
    <row r="55" spans="1:28" ht="48.75" customHeight="1" thickBot="1" x14ac:dyDescent="0.3">
      <c r="A55" s="951" t="s">
        <v>49</v>
      </c>
      <c r="B55" s="952"/>
      <c r="C55" s="952"/>
      <c r="D55" s="952"/>
      <c r="E55" s="952"/>
      <c r="F55" s="953"/>
      <c r="G55" s="148">
        <f t="shared" ref="G55:L55" si="4">SUM(G4:G54)</f>
        <v>672.5</v>
      </c>
      <c r="H55" s="148">
        <f t="shared" si="4"/>
        <v>0</v>
      </c>
      <c r="I55" s="148">
        <f t="shared" si="4"/>
        <v>23</v>
      </c>
      <c r="J55" s="148">
        <f t="shared" si="4"/>
        <v>99</v>
      </c>
      <c r="K55" s="148">
        <f t="shared" si="4"/>
        <v>0</v>
      </c>
      <c r="L55" s="148">
        <f t="shared" si="4"/>
        <v>0</v>
      </c>
      <c r="M55" s="149">
        <f>SUMIFS(M4:M54,F4:F54,"*")</f>
        <v>-751</v>
      </c>
      <c r="N55" s="306"/>
      <c r="O55" s="302">
        <f>SUM(O4:O54)</f>
        <v>139.5</v>
      </c>
      <c r="P55" s="199">
        <f t="shared" ref="P55:U55" si="5">SUM(P4:P54)</f>
        <v>124</v>
      </c>
      <c r="Q55" s="198">
        <f t="shared" si="5"/>
        <v>139.5</v>
      </c>
      <c r="R55" s="198">
        <f t="shared" si="5"/>
        <v>115</v>
      </c>
      <c r="S55" s="198">
        <f t="shared" si="5"/>
        <v>154.5</v>
      </c>
      <c r="T55" s="199">
        <f t="shared" si="5"/>
        <v>0</v>
      </c>
      <c r="U55" s="150">
        <f t="shared" si="5"/>
        <v>0</v>
      </c>
      <c r="V55" s="302">
        <f>SUM(V4:V54)</f>
        <v>2</v>
      </c>
      <c r="W55" s="199">
        <f t="shared" ref="W55:AB55" si="6">SUM(W4:W54)</f>
        <v>18.5</v>
      </c>
      <c r="X55" s="198">
        <f t="shared" si="6"/>
        <v>0</v>
      </c>
      <c r="Y55" s="198">
        <f t="shared" si="6"/>
        <v>2.5</v>
      </c>
      <c r="Z55" s="198">
        <f t="shared" si="6"/>
        <v>0</v>
      </c>
      <c r="AA55" s="199">
        <f t="shared" si="6"/>
        <v>0</v>
      </c>
      <c r="AB55" s="150">
        <f t="shared" si="6"/>
        <v>0</v>
      </c>
    </row>
    <row r="56" spans="1:28" x14ac:dyDescent="0.25">
      <c r="G56" s="582"/>
    </row>
    <row r="57" spans="1:28" x14ac:dyDescent="0.25">
      <c r="G57" s="660"/>
    </row>
    <row r="61" spans="1:28" x14ac:dyDescent="0.25">
      <c r="G61" s="660"/>
    </row>
  </sheetData>
  <mergeCells count="52">
    <mergeCell ref="A51:A54"/>
    <mergeCell ref="C51:C54"/>
    <mergeCell ref="D51:D54"/>
    <mergeCell ref="E51:E54"/>
    <mergeCell ref="A55:F55"/>
    <mergeCell ref="A40:A41"/>
    <mergeCell ref="E40:E41"/>
    <mergeCell ref="N40:N41"/>
    <mergeCell ref="E42:E44"/>
    <mergeCell ref="N42:N44"/>
    <mergeCell ref="A47:A50"/>
    <mergeCell ref="B47:B54"/>
    <mergeCell ref="C47:C50"/>
    <mergeCell ref="D47:D50"/>
    <mergeCell ref="E47:E50"/>
    <mergeCell ref="A36:A37"/>
    <mergeCell ref="E36:E37"/>
    <mergeCell ref="N36:N37"/>
    <mergeCell ref="A38:A39"/>
    <mergeCell ref="E38:E39"/>
    <mergeCell ref="N38:N39"/>
    <mergeCell ref="A32:A33"/>
    <mergeCell ref="E32:E33"/>
    <mergeCell ref="N32:N33"/>
    <mergeCell ref="A34:A35"/>
    <mergeCell ref="E34:E35"/>
    <mergeCell ref="N34:N35"/>
    <mergeCell ref="E19:E21"/>
    <mergeCell ref="N19:N21"/>
    <mergeCell ref="E23:E25"/>
    <mergeCell ref="N23:N25"/>
    <mergeCell ref="B30:B31"/>
    <mergeCell ref="C30:C31"/>
    <mergeCell ref="D30:D31"/>
    <mergeCell ref="E30:E31"/>
    <mergeCell ref="N30:N31"/>
    <mergeCell ref="A12:A14"/>
    <mergeCell ref="B12:B14"/>
    <mergeCell ref="C12:C14"/>
    <mergeCell ref="D12:D14"/>
    <mergeCell ref="E12:E14"/>
    <mergeCell ref="A15:A16"/>
    <mergeCell ref="B15:B16"/>
    <mergeCell ref="C15:C16"/>
    <mergeCell ref="D15:D16"/>
    <mergeCell ref="E15:E16"/>
    <mergeCell ref="A1:L2"/>
    <mergeCell ref="O1:U2"/>
    <mergeCell ref="V1:AB2"/>
    <mergeCell ref="E4:E6"/>
    <mergeCell ref="N4:N6"/>
    <mergeCell ref="E7:E9"/>
  </mergeCells>
  <phoneticPr fontId="12" type="noConversion"/>
  <printOptions horizontalCentered="1" verticalCentered="1"/>
  <pageMargins left="0" right="0" top="0" bottom="1" header="0" footer="0"/>
  <pageSetup scale="80" fitToHeight="0" orientation="portrait" r:id="rId1"/>
  <headerFooter>
    <oddFooter>&amp;C&amp;G</oddFooter>
  </headerFooter>
  <ignoredErrors>
    <ignoredError sqref="M5 M8" formulaRange="1"/>
  </ignoredError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24</vt:i4>
      </vt:variant>
    </vt:vector>
  </HeadingPairs>
  <TitlesOfParts>
    <vt:vector size="48" baseType="lpstr"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'10'!Print_Titles</vt:lpstr>
      <vt:lpstr>'11'!Print_Titles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 pc</dc:creator>
  <cp:lastModifiedBy>alizadeh pc</cp:lastModifiedBy>
  <cp:lastPrinted>2026-09-07T09:39:11Z</cp:lastPrinted>
  <dcterms:created xsi:type="dcterms:W3CDTF">2025-02-08T11:38:00Z</dcterms:created>
  <dcterms:modified xsi:type="dcterms:W3CDTF">2026-09-13T06:52:22Z</dcterms:modified>
</cp:coreProperties>
</file>